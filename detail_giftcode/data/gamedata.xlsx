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A556" i="3"/>
  <c r="C556" i="3" s="1"/>
  <c r="A557" i="3"/>
  <c r="C557" i="3" s="1"/>
  <c r="A558" i="3"/>
  <c r="C558" i="3" s="1"/>
  <c r="A559" i="3"/>
  <c r="D559" i="3" s="1"/>
  <c r="A560" i="3"/>
  <c r="D560" i="3" s="1"/>
  <c r="A561" i="3"/>
  <c r="C561" i="3" s="1"/>
  <c r="A562" i="3"/>
  <c r="C562" i="3" s="1"/>
  <c r="A563" i="3"/>
  <c r="C563" i="3" s="1"/>
  <c r="A564" i="3"/>
  <c r="D564" i="3" s="1"/>
  <c r="A565" i="3"/>
  <c r="C565" i="3" s="1"/>
  <c r="A566" i="3"/>
  <c r="D566" i="3" s="1"/>
  <c r="A567" i="3"/>
  <c r="C567" i="3" s="1"/>
  <c r="A568" i="3"/>
  <c r="C568" i="3" s="1"/>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D540" i="3" l="1"/>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<sst xmlns="http://schemas.openxmlformats.org/spreadsheetml/2006/main" count="14694" uniqueCount="9430">
  <si>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</si>
  <si>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</si>
  <si>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</si>
  <si>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</si>
  <si>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</si>
  <si>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</si>
  <si>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</si>
  <si>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</si>
  <si>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</si>
  <si>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</si>
  <si>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</si>
  <si>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</si>
  <si>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</si>
  <si>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</si>
  <si>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</si>
  <si>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</si>
  <si>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</si>
  <si>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</si>
  <si>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</si>
  <si>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</si>
  <si>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</si>
  <si>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</si>
  <si>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</si>
  <si>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</si>
  <si>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</si>
  <si>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</si>
  <si>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</si>
  <si>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</si>
  <si>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</si>
  <si>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</si>
  <si>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</si>
  <si>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</si>
  <si>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</si>
  <si>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</si>
  <si>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</si>
  <si>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</si>
  <si>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</si>
  <si>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</si>
  <si>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</si>
  <si>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</si>
  <si>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</si>
  <si>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</si>
  <si>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</si>
  <si>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</si>
  <si>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</si>
  <si>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</si>
  <si>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</si>
  <si>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</si>
  <si>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</si>
  <si>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</si>
  <si>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</si>
  <si>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</si>
  <si>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</si>
  <si>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</si>
  <si>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</si>
  <si>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</si>
  <si>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</si>
  <si>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</si>
  <si>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</si>
  <si>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</si>
  <si>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</si>
  <si>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</si>
  <si>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</si>
  <si>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</si>
  <si>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</si>
  <si>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</si>
  <si>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</si>
  <si>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</si>
  <si>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</si>
  <si>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</si>
  <si>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</si>
  <si>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</si>
  <si>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</si>
  <si>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</si>
  <si>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</si>
  <si>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</si>
  <si>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</si>
  <si>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</si>
  <si>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</si>
  <si>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</si>
  <si>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</si>
  <si>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</si>
  <si>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</si>
  <si>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</si>
  <si>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</si>
  <si>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</si>
  <si>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</si>
  <si>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</si>
  <si>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</si>
  <si>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</si>
  <si>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</si>
  <si>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</si>
  <si>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</si>
  <si>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</si>
  <si>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</si>
  <si>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</si>
  <si>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</si>
  <si>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</si>
  <si>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</si>
  <si>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</si>
  <si>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</si>
  <si>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</si>
  <si>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</si>
  <si>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</si>
  <si>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</si>
  <si>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</si>
  <si>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</si>
  <si>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</si>
  <si>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</si>
  <si>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</si>
  <si>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</si>
  <si>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</si>
  <si>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</si>
  <si>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</si>
  <si>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</si>
  <si>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</si>
  <si>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</si>
  <si>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</si>
  <si>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</si>
  <si>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</si>
  <si>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</si>
  <si>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</si>
  <si>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</si>
  <si>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</si>
  <si>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</si>
  <si>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</si>
  <si>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</si>
  <si>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</si>
  <si>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</si>
  <si>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</si>
  <si>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</si>
  <si>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</si>
  <si>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</si>
  <si>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</si>
  <si>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</si>
  <si>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</si>
  <si>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</si>
  <si>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</si>
  <si>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</si>
  <si>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</si>
  <si>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</si>
  <si>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</si>
  <si>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</si>
  <si>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</si>
  <si>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</si>
  <si>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</si>
  <si>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</si>
  <si>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</si>
  <si>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</si>
  <si>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</si>
  <si>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</si>
  <si>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</si>
  <si>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</si>
  <si>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</si>
  <si>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</si>
  <si>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</si>
  <si>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</si>
  <si>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</si>
  <si>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</si>
  <si>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</si>
  <si>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</si>
  <si>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</si>
  <si>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</si>
  <si>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</si>
  <si>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</si>
  <si>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</si>
  <si>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</si>
  <si>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</si>
  <si>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</si>
  <si>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</si>
  <si>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</si>
  <si>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</si>
  <si>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</si>
  <si>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</si>
  <si>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</si>
  <si>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</si>
  <si>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</si>
  <si>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</si>
  <si>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</si>
  <si>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</si>
  <si>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</si>
  <si>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</si>
  <si>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</si>
  <si>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</si>
  <si>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</si>
  <si>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</si>
  <si>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</si>
  <si>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</si>
  <si>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</si>
  <si>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</si>
  <si>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</si>
  <si>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</si>
  <si>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</si>
  <si>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</si>
  <si>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</si>
  <si>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</si>
  <si>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</si>
  <si>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</si>
  <si>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</si>
  <si>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</si>
  <si>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</si>
  <si>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</si>
  <si>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</si>
  <si>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</si>
  <si>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</si>
  <si>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</si>
  <si>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</si>
  <si>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</si>
  <si>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</si>
  <si>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</si>
  <si>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</si>
  <si>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</si>
  <si>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</si>
  <si>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</si>
  <si>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</si>
  <si>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</si>
  <si>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</si>
  <si>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</si>
  <si>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</si>
  <si>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</si>
  <si>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</si>
  <si>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</si>
  <si>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</si>
  <si>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</si>
  <si>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</si>
  <si>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</si>
  <si>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</si>
  <si>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</si>
  <si>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</si>
  <si>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</si>
  <si>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</si>
  <si>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</si>
  <si>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</si>
  <si>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</si>
  <si>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</si>
  <si>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</si>
  <si>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</si>
  <si>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</si>
  <si>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</si>
  <si>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</si>
  <si>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</si>
  <si>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</si>
  <si>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</si>
  <si>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</si>
  <si>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</si>
  <si>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</si>
  <si>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</si>
  <si>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</si>
  <si>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</si>
  <si>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</si>
  <si>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</si>
  <si>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</si>
  <si>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</si>
  <si>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</si>
  <si>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</si>
  <si>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</si>
  <si>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</si>
  <si>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</si>
  <si>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</si>
  <si>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</si>
  <si>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</si>
  <si>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</si>
  <si>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</si>
  <si>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</si>
  <si>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</si>
  <si>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</si>
  <si>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</si>
  <si>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</si>
  <si>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</si>
  <si>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</si>
  <si>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</si>
  <si>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</si>
  <si>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</si>
  <si>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</si>
  <si>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</si>
  <si>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</si>
  <si>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</si>
  <si>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</si>
  <si>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</si>
  <si>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</si>
  <si>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</si>
  <si>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</si>
  <si>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</si>
  <si>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</si>
  <si>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</si>
  <si>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</si>
  <si>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</si>
  <si>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</si>
  <si>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</si>
  <si>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</si>
  <si>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</si>
  <si>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</si>
  <si>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</si>
  <si>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</si>
  <si>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</si>
  <si>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</si>
  <si>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</si>
  <si>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</si>
  <si>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</si>
  <si>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</si>
  <si>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</si>
  <si>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</si>
  <si>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</si>
  <si>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</si>
  <si>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</si>
  <si>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</si>
  <si>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</si>
  <si>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</si>
  <si>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</si>
  <si>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</si>
  <si>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</si>
  <si>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</si>
  <si>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</si>
  <si>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</si>
  <si>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</si>
  <si>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</si>
  <si>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</si>
  <si>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</si>
  <si>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</si>
  <si>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</si>
  <si>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</si>
  <si>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</si>
  <si>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</si>
  <si>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</si>
  <si>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</si>
  <si>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</si>
  <si>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</si>
  <si>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</si>
  <si>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</si>
  <si>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</si>
  <si>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</si>
  <si>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</si>
  <si>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</si>
  <si>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</si>
  <si>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</si>
  <si>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</si>
  <si>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</si>
  <si>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</si>
  <si>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</si>
  <si>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</si>
  <si>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</si>
  <si>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</si>
  <si>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</si>
  <si>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</si>
  <si>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</si>
  <si>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</si>
  <si>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</si>
  <si>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</si>
  <si>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</si>
  <si>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</si>
  <si>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</si>
  <si>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</si>
  <si>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</si>
  <si>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</si>
  <si>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</si>
  <si>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</si>
  <si>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</si>
  <si>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</si>
  <si>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</si>
  <si>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</si>
  <si>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</si>
  <si>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</si>
  <si>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</si>
  <si>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</si>
  <si>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</si>
  <si>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</si>
  <si>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</si>
  <si>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</si>
  <si>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</si>
  <si>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</si>
  <si>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</si>
  <si>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</si>
  <si>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</si>
  <si>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</si>
  <si>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</si>
  <si>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</si>
  <si>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</si>
  <si>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</si>
  <si>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</si>
  <si>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</si>
  <si>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</si>
  <si>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</si>
  <si>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</si>
  <si>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</si>
  <si>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</si>
  <si>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</si>
  <si>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</si>
  <si>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</si>
  <si>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</si>
  <si>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</si>
  <si>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</si>
  <si>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</si>
  <si>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</si>
  <si>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</si>
  <si>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</si>
  <si>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</si>
  <si>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</si>
  <si>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</si>
  <si>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</si>
  <si>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</si>
  <si>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</si>
  <si>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</si>
  <si>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</si>
  <si>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</si>
  <si>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</si>
  <si>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</si>
  <si>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</si>
  <si>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</si>
  <si>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</si>
  <si>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</si>
  <si>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</si>
  <si>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</si>
  <si>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</si>
  <si>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</si>
  <si>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</si>
  <si>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</si>
  <si>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</si>
  <si>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</si>
  <si>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</si>
  <si>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</si>
  <si>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</si>
  <si>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</si>
  <si>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</si>
  <si>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</si>
  <si>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</si>
  <si>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</si>
  <si>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</si>
  <si>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</si>
  <si>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</si>
  <si>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</si>
  <si>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</si>
  <si>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</si>
  <si>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</si>
  <si>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</si>
  <si>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</si>
  <si>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</si>
  <si>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</si>
  <si>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</si>
  <si>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</si>
  <si>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</si>
  <si>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</si>
  <si>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</si>
  <si>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</si>
  <si>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</si>
  <si>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</si>
  <si>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</si>
  <si>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</si>
  <si>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</si>
  <si>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</si>
  <si>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</si>
  <si>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</si>
  <si>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</si>
  <si>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</si>
  <si>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</si>
  <si>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</si>
  <si>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</si>
  <si>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</si>
  <si>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</si>
  <si>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</si>
  <si>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</si>
  <si>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</si>
  <si>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</si>
  <si>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</si>
  <si>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</si>
  <si>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</si>
  <si>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</si>
  <si>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</si>
  <si>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</si>
  <si>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</si>
  <si>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</si>
  <si>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</si>
  <si>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</si>
  <si>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</si>
  <si>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</si>
  <si>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</si>
  <si>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</si>
  <si>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</si>
  <si>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</si>
  <si>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</si>
  <si>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</si>
  <si>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</si>
  <si>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</si>
  <si>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</si>
  <si>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</si>
  <si>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</si>
  <si>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</si>
  <si>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</si>
  <si>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</si>
  <si>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</si>
  <si>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</si>
  <si>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</si>
  <si>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</si>
  <si>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</si>
  <si>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</si>
  <si>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</si>
  <si>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</si>
  <si>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</si>
  <si>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</si>
  <si>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</si>
  <si>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</si>
  <si>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</si>
  <si>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</si>
  <si>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</si>
  <si>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</si>
  <si>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</si>
  <si>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</si>
  <si>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</si>
  <si>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</si>
  <si>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</si>
  <si>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</si>
  <si>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</si>
  <si>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</si>
  <si>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</si>
  <si>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</si>
  <si>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</si>
  <si>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</si>
  <si>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</si>
  <si>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</si>
  <si>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</si>
  <si>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</si>
  <si>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</si>
  <si>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</si>
  <si>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</si>
  <si>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</si>
  <si>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</si>
  <si>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</si>
  <si>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</si>
  <si>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</si>
  <si>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</si>
  <si>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</si>
  <si>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</si>
  <si>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</si>
  <si>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</si>
  <si>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</si>
  <si>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</si>
  <si>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</si>
  <si>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</si>
  <si>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</si>
  <si>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</si>
  <si>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</si>
  <si>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</si>
  <si>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</si>
  <si>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</si>
  <si>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</si>
  <si>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</si>
  <si>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</si>
  <si>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</si>
  <si>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</si>
  <si>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</si>
  <si>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</si>
  <si>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</si>
  <si>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</si>
  <si>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</si>
  <si>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</si>
  <si>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</si>
  <si>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</si>
  <si>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</si>
  <si>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</si>
  <si>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</si>
  <si>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</si>
  <si>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</si>
  <si>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</si>
  <si>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</si>
  <si>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</si>
  <si>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</si>
  <si>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</si>
  <si>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</si>
  <si>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</si>
  <si>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</si>
  <si>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</si>
  <si>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</si>
  <si>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</si>
  <si>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</si>
  <si>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</si>
  <si>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</si>
  <si>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</si>
  <si>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</si>
  <si>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</si>
  <si>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</si>
  <si>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</si>
  <si>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</si>
  <si>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</si>
  <si>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</si>
  <si>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</si>
  <si>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</si>
  <si>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</si>
  <si>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</si>
  <si>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</si>
  <si>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</si>
  <si>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</si>
  <si>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</si>
  <si>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</si>
  <si>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</si>
  <si>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</si>
  <si>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</si>
  <si>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</si>
  <si>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</si>
  <si>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</si>
  <si>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</si>
  <si>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</si>
  <si>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</si>
  <si>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</si>
  <si>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</si>
  <si>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</si>
  <si>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</si>
  <si>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</si>
  <si>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</si>
  <si>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</si>
  <si>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</si>
  <si>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</si>
  <si>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</si>
  <si>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</si>
  <si>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</si>
  <si>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</si>
  <si>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</si>
  <si>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</si>
  <si>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</si>
  <si>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</si>
  <si>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</si>
  <si>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</si>
  <si>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</si>
  <si>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</si>
  <si>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</si>
  <si>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</si>
  <si>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</si>
  <si>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</si>
  <si>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</si>
  <si>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</si>
  <si>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</si>
  <si>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</si>
  <si>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</si>
  <si>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</si>
  <si>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</si>
  <si>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</si>
  <si>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</si>
  <si>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</si>
  <si>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</si>
  <si>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</si>
  <si>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</si>
  <si>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</si>
  <si>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</si>
  <si>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</si>
  <si>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</si>
  <si>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</si>
  <si>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</si>
  <si>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</si>
  <si>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</si>
  <si>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</si>
  <si>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</si>
  <si>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</si>
  <si>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</si>
  <si>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</si>
  <si>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</si>
  <si>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</si>
  <si>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</si>
  <si>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</si>
  <si>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</si>
  <si>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</si>
  <si>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</si>
  <si>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</si>
  <si>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</si>
  <si>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</si>
  <si>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</si>
  <si>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</si>
  <si>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</si>
  <si>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</si>
  <si>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</si>
  <si>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</si>
  <si>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</si>
  <si>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</si>
  <si>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</si>
  <si>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</si>
  <si>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</si>
  <si>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</si>
  <si>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</si>
  <si>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</si>
  <si>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</si>
  <si>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</si>
  <si>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</si>
  <si>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</si>
  <si>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</si>
  <si>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</si>
  <si>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</si>
  <si>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</si>
  <si>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</si>
  <si>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</si>
  <si>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</si>
  <si>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</si>
  <si>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</si>
  <si>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</si>
  <si>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</si>
  <si>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</si>
  <si>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</si>
  <si>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</si>
  <si>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</si>
  <si>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</si>
  <si>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</si>
  <si>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</si>
  <si>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</si>
  <si>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</si>
  <si>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</si>
  <si>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</si>
  <si>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</si>
  <si>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</si>
  <si>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</si>
  <si>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</si>
  <si>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</si>
  <si>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</si>
  <si>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</si>
  <si>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</si>
  <si>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</si>
  <si>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</si>
  <si>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</si>
  <si>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</si>
  <si>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</si>
  <si>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</si>
  <si>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</si>
  <si>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</si>
  <si>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</si>
  <si>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</si>
  <si>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</si>
  <si>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</si>
  <si>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</si>
  <si>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</si>
  <si>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</si>
  <si>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</si>
  <si>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</si>
  <si>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</si>
  <si>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</si>
  <si>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</si>
  <si>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</si>
  <si>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</si>
  <si>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</si>
  <si>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</si>
  <si>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</si>
  <si>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</si>
  <si>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</si>
  <si>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</si>
  <si>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</si>
  <si>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</si>
  <si>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</si>
  <si>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</si>
  <si>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</si>
  <si>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</si>
  <si>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</si>
  <si>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</si>
  <si>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</si>
  <si>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</si>
  <si>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</si>
  <si>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</si>
  <si>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</si>
  <si>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</si>
  <si>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</si>
  <si>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</si>
  <si>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</si>
  <si>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</si>
  <si>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</si>
  <si>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</si>
  <si>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</si>
  <si>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</si>
  <si>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</si>
  <si>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</si>
  <si>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</si>
  <si>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</si>
  <si>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</si>
  <si>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</si>
  <si>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</si>
  <si>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</si>
  <si>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</si>
  <si>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</si>
  <si>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</si>
  <si>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</si>
  <si>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</si>
  <si>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</si>
  <si>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</si>
  <si>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</si>
  <si>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</si>
  <si>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</si>
  <si>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</si>
  <si>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</si>
  <si>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</si>
  <si>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</si>
  <si>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</si>
  <si>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</si>
  <si>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</si>
  <si>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</si>
  <si>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</si>
  <si>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</si>
  <si>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</si>
  <si>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</si>
  <si>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</si>
  <si>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</si>
  <si>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</si>
  <si>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</si>
  <si>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</si>
  <si>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</si>
  <si>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</si>
  <si>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</si>
  <si>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</si>
  <si>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</si>
  <si>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</si>
  <si>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</si>
  <si>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</si>
  <si>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</si>
  <si>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</si>
  <si>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</si>
  <si>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</si>
  <si>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</si>
  <si>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</si>
  <si>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</si>
  <si>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</si>
  <si>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</si>
  <si>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</si>
  <si>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</si>
  <si>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</si>
  <si>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</si>
  <si>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</si>
  <si>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</si>
  <si>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</si>
  <si>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</si>
  <si>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</si>
  <si>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</si>
  <si>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</si>
  <si>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</si>
  <si>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</si>
  <si>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</si>
  <si>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</si>
  <si>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</si>
  <si>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</si>
  <si>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</si>
  <si>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</si>
  <si>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</si>
  <si>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</si>
  <si>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</si>
  <si>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</si>
  <si>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</si>
  <si>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</si>
  <si>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</si>
  <si>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</si>
  <si>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</si>
  <si>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</si>
  <si>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</si>
  <si>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</si>
  <si>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</si>
  <si>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</si>
  <si>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</si>
  <si>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</si>
  <si>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</si>
  <si>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</si>
  <si>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</si>
  <si>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</si>
  <si>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</si>
  <si>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</si>
  <si>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</si>
  <si>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</si>
  <si>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</si>
  <si>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</si>
  <si>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</si>
  <si>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</si>
  <si>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</si>
  <si>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</si>
  <si>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</si>
  <si>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</si>
  <si>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</si>
  <si>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</si>
  <si>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</si>
  <si>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</si>
  <si>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</si>
  <si>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</si>
  <si>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</si>
  <si>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</si>
  <si>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</si>
  <si>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</si>
  <si>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</si>
  <si>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</si>
  <si>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</si>
  <si>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</si>
  <si>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</si>
  <si>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</si>
  <si>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</si>
  <si>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</si>
  <si>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</si>
  <si>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</si>
  <si>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</si>
  <si>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</si>
  <si>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</si>
  <si>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</si>
  <si>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</si>
  <si>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</si>
  <si>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</si>
  <si>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</si>
  <si>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</si>
  <si>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</si>
  <si>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</si>
  <si>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</si>
  <si>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</si>
  <si>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</si>
  <si>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</si>
  <si>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</si>
  <si>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</si>
  <si>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</si>
  <si>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</si>
  <si>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</si>
  <si>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</si>
  <si>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</si>
  <si>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</si>
  <si>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</si>
  <si>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</si>
  <si>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</si>
  <si>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</si>
  <si>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</si>
  <si>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</si>
  <si>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</si>
  <si>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</si>
  <si>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</si>
  <si>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</si>
  <si>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</si>
  <si>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</si>
  <si>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</si>
  <si>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</si>
  <si>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</si>
  <si>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</si>
  <si>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</si>
  <si>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</si>
  <si>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</si>
  <si>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</si>
  <si>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</si>
  <si>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</si>
  <si>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</si>
  <si>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</si>
  <si>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</si>
  <si>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</si>
  <si>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</si>
  <si>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</si>
  <si>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</si>
  <si>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</si>
  <si>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</si>
  <si>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</si>
  <si>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</si>
  <si>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</si>
  <si>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</si>
  <si>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</si>
  <si>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</si>
  <si>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</si>
  <si>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</si>
  <si>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</si>
  <si>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</si>
  <si>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</si>
  <si>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</si>
  <si>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</si>
  <si>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</si>
  <si>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</si>
  <si>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</si>
  <si>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</si>
  <si>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</si>
  <si>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</si>
  <si>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</si>
  <si>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</si>
  <si>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</si>
  <si>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</si>
  <si>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</si>
  <si>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</si>
  <si>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</si>
  <si>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</si>
  <si>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</si>
  <si>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</si>
  <si>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</si>
  <si>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</si>
  <si>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</si>
  <si>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</si>
  <si>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</si>
  <si>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</si>
  <si>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</si>
  <si>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</si>
  <si>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</si>
  <si>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</si>
  <si>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</si>
  <si>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</si>
  <si>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</si>
  <si>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</si>
  <si>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</si>
  <si>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</si>
  <si>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</si>
  <si>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</si>
  <si>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</si>
  <si>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</si>
  <si>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</si>
  <si>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</si>
  <si>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</si>
  <si>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</si>
  <si>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</si>
  <si>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</si>
  <si>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</si>
  <si>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</si>
  <si>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</si>
  <si>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</si>
  <si>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</si>
  <si>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</si>
  <si>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</si>
  <si>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</si>
  <si>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</si>
  <si>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</si>
  <si>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</si>
  <si>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</si>
  <si>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</si>
  <si>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</si>
  <si>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</si>
  <si>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</si>
  <si>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</si>
  <si>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</si>
  <si>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</si>
  <si>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</si>
  <si>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</si>
  <si>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</si>
  <si>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</si>
  <si>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</si>
  <si>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</si>
  <si>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</si>
  <si>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</si>
  <si>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</si>
  <si>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</si>
  <si>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</si>
  <si>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</si>
  <si>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</si>
  <si>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</si>
  <si>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</si>
  <si>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</si>
  <si>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</si>
  <si>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</si>
  <si>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</si>
  <si>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</si>
  <si>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</si>
  <si>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</si>
  <si>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</si>
  <si>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</si>
  <si>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</si>
  <si>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</si>
  <si>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</si>
  <si>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</si>
  <si>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</si>
  <si>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</si>
  <si>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</si>
  <si>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</si>
  <si>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</si>
  <si>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</si>
  <si>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</si>
  <si>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</si>
  <si>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</si>
  <si>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</si>
  <si>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</si>
  <si>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</si>
  <si>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</si>
  <si>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</si>
  <si>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</si>
  <si>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</si>
  <si>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</si>
  <si>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</si>
  <si>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</si>
  <si>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</si>
  <si>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</si>
  <si>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</si>
  <si>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</si>
  <si>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</si>
  <si>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</si>
  <si>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</si>
  <si>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</si>
  <si>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</si>
  <si>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</si>
  <si>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</si>
  <si>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</si>
  <si>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</si>
  <si>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</si>
  <si>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</si>
  <si>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</si>
  <si>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</si>
  <si>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</si>
  <si>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</si>
  <si>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</si>
  <si>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</si>
  <si>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</si>
  <si>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</si>
  <si>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</si>
  <si>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</si>
  <si>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</si>
  <si>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</si>
  <si>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</si>
  <si>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</si>
  <si>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</si>
  <si>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</si>
  <si>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</si>
  <si>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</si>
  <si>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</si>
  <si>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</si>
  <si>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</si>
  <si>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</si>
  <si>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</si>
  <si>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</si>
  <si>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</si>
  <si>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</si>
  <si>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</si>
  <si>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</si>
  <si>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</si>
  <si>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</si>
  <si>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</si>
  <si>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</si>
  <si>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</si>
  <si>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</si>
  <si>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</si>
  <si>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</si>
  <si>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</si>
  <si>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</si>
  <si>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</si>
  <si>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</si>
  <si>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</si>
  <si>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</si>
  <si>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</si>
  <si>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</si>
  <si>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</si>
  <si>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</si>
  <si>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</si>
  <si>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</si>
  <si>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</si>
  <si>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</si>
  <si>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</si>
  <si>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</si>
  <si>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</si>
  <si>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</si>
  <si>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</si>
  <si>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</si>
  <si>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</si>
  <si>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</si>
  <si>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</si>
  <si>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</si>
  <si>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</si>
  <si>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</si>
  <si>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</si>
  <si>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</si>
  <si>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</si>
  <si>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</si>
  <si>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</si>
  <si>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</si>
  <si>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</si>
  <si>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</si>
  <si>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</si>
  <si>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</si>
  <si>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</si>
  <si>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</si>
  <si>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</si>
  <si>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</si>
  <si>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</si>
  <si>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</si>
  <si>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</si>
  <si>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</si>
  <si>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</si>
  <si>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</si>
  <si>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</si>
  <si>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</si>
  <si>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</si>
  <si>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</si>
  <si>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</si>
  <si>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</si>
  <si>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</si>
  <si>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</si>
  <si>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</si>
  <si>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</si>
  <si>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</si>
  <si>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</si>
  <si>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</si>
  <si>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</si>
  <si>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</si>
  <si>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</si>
  <si>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</si>
  <si>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</si>
  <si>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</si>
  <si>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</si>
  <si>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</si>
  <si>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</si>
  <si>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</si>
  <si>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</si>
  <si>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</si>
  <si>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</si>
  <si>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</si>
  <si>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</si>
  <si>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</si>
  <si>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</si>
  <si>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</si>
  <si>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</si>
  <si>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</si>
  <si>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</si>
  <si>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</si>
  <si>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</si>
  <si>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</si>
  <si>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</si>
  <si>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</si>
  <si>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</si>
  <si>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</si>
  <si>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</si>
  <si>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</si>
  <si>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</si>
  <si>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</si>
  <si>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</si>
  <si>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</si>
  <si>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</si>
  <si>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</si>
  <si>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</si>
  <si>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</si>
  <si>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</si>
  <si>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</si>
  <si>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</si>
  <si>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</si>
  <si>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</si>
  <si>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</si>
  <si>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</si>
  <si>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</si>
  <si>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</si>
  <si>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</si>
  <si>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</si>
  <si>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</si>
  <si>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</si>
  <si>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</si>
  <si>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</si>
  <si>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</si>
  <si>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</si>
  <si>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</si>
  <si>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</si>
  <si>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</si>
  <si>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</si>
  <si>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</si>
  <si>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</si>
  <si>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</si>
  <si>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</si>
  <si>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</si>
  <si>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</si>
  <si>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</si>
  <si>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</si>
  <si>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</si>
  <si>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</si>
  <si>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</si>
  <si>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</si>
  <si>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</si>
  <si>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</si>
  <si>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</si>
  <si>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</si>
  <si>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</si>
  <si>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</si>
  <si>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</si>
  <si>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</si>
  <si>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</si>
  <si>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</si>
  <si>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</si>
  <si>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</si>
  <si>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</si>
  <si>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</si>
  <si>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</si>
  <si>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</si>
  <si>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</si>
  <si>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</si>
  <si>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</si>
  <si>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</si>
  <si>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</si>
  <si>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</si>
  <si>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</si>
  <si>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</si>
  <si>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</si>
  <si>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</si>
  <si>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</si>
  <si>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</si>
  <si>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</si>
  <si>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</si>
  <si>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</si>
  <si>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</si>
  <si>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</si>
  <si>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</si>
  <si>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</si>
  <si>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</si>
  <si>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</si>
  <si>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</si>
  <si>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</si>
  <si>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</si>
  <si>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</si>
  <si>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</si>
  <si>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</si>
  <si>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</si>
  <si>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</si>
  <si>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</si>
  <si>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</si>
  <si>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</si>
  <si>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</si>
  <si>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</si>
  <si>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</si>
  <si>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</si>
  <si>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</si>
  <si>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</si>
  <si>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</si>
  <si>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</si>
  <si>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</si>
  <si>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</si>
  <si>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</si>
  <si>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</si>
  <si>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</si>
  <si>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</si>
  <si>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</si>
  <si>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</si>
  <si>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</si>
  <si>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</si>
  <si>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</si>
  <si>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</si>
  <si>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</si>
  <si>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</si>
  <si>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</si>
  <si>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</si>
  <si>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</si>
  <si>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</si>
  <si>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</si>
  <si>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</si>
  <si>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</si>
  <si>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</si>
  <si>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</si>
  <si>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</si>
  <si>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</si>
  <si>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</si>
  <si>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</si>
  <si>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</si>
  <si>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</si>
  <si>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</si>
  <si>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</si>
  <si>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</si>
  <si>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</si>
  <si>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</si>
  <si>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</si>
  <si>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</si>
  <si>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</si>
  <si>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</si>
  <si>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</si>
  <si>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</si>
  <si>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</si>
  <si>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</si>
  <si>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</si>
  <si>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</si>
  <si>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</si>
  <si>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</si>
  <si>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</si>
  <si>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</si>
  <si>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</si>
  <si>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</si>
  <si>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</si>
  <si>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</si>
  <si>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</si>
  <si>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</si>
  <si>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</si>
  <si>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</si>
  <si>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</si>
  <si>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</si>
  <si>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</si>
  <si>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</si>
  <si>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</si>
  <si>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</si>
  <si>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</si>
  <si>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</si>
  <si>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</si>
  <si>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</si>
  <si>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</si>
  <si>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</si>
  <si>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</si>
  <si>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</si>
  <si>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</si>
  <si>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</si>
  <si>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</si>
  <si>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</si>
  <si>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</si>
  <si>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</si>
  <si>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</si>
  <si>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</si>
  <si>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</si>
  <si>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</si>
  <si>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</si>
  <si>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</si>
  <si>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</si>
  <si>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</si>
  <si>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</si>
  <si>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</si>
  <si>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</si>
  <si>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</si>
  <si>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</si>
  <si>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</si>
  <si>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</si>
  <si>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</si>
  <si>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</si>
  <si>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</si>
  <si>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</si>
  <si>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</si>
  <si>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</si>
  <si>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</si>
  <si>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</si>
  <si>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</si>
  <si>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</si>
  <si>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</si>
  <si>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</si>
  <si>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</si>
  <si>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</si>
  <si>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</si>
  <si>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</si>
  <si>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</si>
  <si>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</si>
  <si>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</si>
  <si>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</si>
  <si>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</si>
  <si>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</si>
  <si>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</si>
  <si>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</si>
  <si>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</si>
  <si>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</si>
  <si>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</si>
  <si>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</si>
  <si>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</si>
  <si>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</si>
  <si>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</si>
  <si>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</si>
  <si>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</si>
  <si>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</si>
  <si>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</si>
  <si>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</si>
  <si>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</si>
  <si>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</si>
  <si>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</si>
  <si>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</si>
  <si>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</si>
  <si>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</si>
  <si>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</si>
  <si>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</si>
  <si>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</si>
  <si>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</si>
  <si>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</si>
  <si>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</si>
  <si>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</si>
  <si>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</si>
  <si>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</si>
  <si>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</si>
  <si>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</si>
  <si>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</si>
  <si>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</si>
  <si>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</si>
  <si>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</si>
  <si>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</si>
  <si>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</si>
  <si>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</si>
  <si>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</si>
  <si>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</si>
  <si>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</si>
  <si>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</si>
  <si>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</si>
  <si>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</si>
  <si>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</si>
  <si>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</si>
  <si>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</si>
  <si>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</si>
  <si>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</si>
  <si>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</si>
  <si>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</si>
  <si>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</si>
  <si>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</si>
  <si>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</si>
  <si>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</si>
  <si>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</si>
  <si>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</si>
  <si>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</si>
  <si>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</si>
  <si>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</si>
  <si>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</si>
  <si>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</si>
  <si>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</si>
  <si>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</si>
  <si>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</si>
  <si>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</si>
  <si>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</si>
  <si>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</si>
  <si>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</si>
  <si>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</si>
  <si>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</si>
  <si>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</si>
  <si>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</si>
  <si>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</si>
  <si>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</si>
  <si>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</si>
  <si>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</si>
  <si>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</si>
  <si>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</si>
  <si>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</si>
  <si>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</si>
  <si>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</si>
  <si>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</si>
  <si>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</si>
  <si>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</si>
  <si>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</si>
  <si>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</si>
  <si>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</si>
  <si>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</si>
  <si>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</si>
  <si>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</si>
  <si>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</si>
  <si>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</si>
  <si>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</si>
  <si>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</si>
  <si>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</si>
  <si>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</si>
  <si>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</si>
  <si>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</si>
  <si>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</si>
  <si>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</si>
  <si>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</si>
  <si>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</si>
  <si>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</si>
  <si>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</si>
  <si>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</si>
  <si>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</si>
  <si>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</si>
  <si>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</si>
  <si>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</si>
  <si>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</si>
  <si>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</si>
  <si>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</si>
  <si>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</si>
  <si>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</si>
  <si>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</si>
  <si>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</si>
  <si>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</si>
  <si>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</si>
  <si>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</si>
  <si>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</si>
  <si>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</si>
  <si>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</si>
  <si>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</si>
  <si>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</si>
  <si>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</si>
  <si>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</si>
  <si>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</si>
  <si>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</si>
  <si>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</si>
  <si>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</si>
  <si>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</si>
  <si>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</si>
  <si>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</si>
  <si>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</si>
  <si>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</si>
  <si>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</si>
  <si>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</si>
  <si>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</si>
  <si>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</si>
  <si>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</si>
  <si>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</si>
  <si>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</si>
  <si>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</si>
  <si>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</si>
  <si>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</si>
  <si>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</si>
  <si>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</si>
  <si>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</si>
  <si>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</si>
  <si>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</si>
  <si>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</si>
  <si>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</si>
  <si>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</si>
  <si>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</si>
  <si>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</si>
  <si>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</si>
  <si>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</si>
  <si>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</si>
  <si>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</si>
  <si>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</si>
  <si>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</si>
  <si>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</si>
  <si>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</si>
  <si>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</si>
  <si>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</si>
  <si>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</si>
  <si>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</si>
  <si>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</si>
  <si>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</si>
  <si>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</si>
  <si>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</si>
  <si>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</si>
  <si>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</si>
  <si>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</si>
  <si>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</si>
  <si>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</si>
  <si>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</si>
  <si>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</si>
  <si>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</si>
  <si>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</si>
  <si>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</si>
  <si>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</si>
  <si>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</si>
  <si>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</si>
  <si>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</si>
  <si>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</si>
  <si>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</si>
  <si>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</si>
  <si>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</si>
  <si>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</si>
  <si>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</si>
  <si>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</si>
  <si>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</si>
  <si>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</si>
  <si>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</si>
  <si>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</si>
  <si>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</si>
  <si>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</si>
  <si>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</si>
  <si>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</si>
  <si>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</si>
  <si>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</si>
  <si>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</si>
  <si>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</si>
  <si>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</si>
  <si>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</si>
  <si>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</si>
  <si>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</si>
  <si>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</si>
  <si>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</si>
  <si>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</si>
  <si>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</si>
  <si>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</si>
  <si>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</si>
  <si>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</si>
  <si>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</si>
  <si>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</si>
  <si>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</si>
  <si>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</si>
  <si>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</si>
  <si>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</si>
  <si>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</si>
  <si>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</si>
  <si>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</si>
  <si>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</si>
  <si>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</si>
  <si>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</si>
  <si>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</si>
  <si>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</si>
  <si>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</si>
  <si>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</si>
  <si>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</si>
  <si>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</si>
  <si>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</si>
  <si>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</si>
  <si>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</si>
  <si>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</si>
  <si>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</si>
  <si>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</si>
  <si>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</si>
  <si>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</si>
  <si>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</si>
  <si>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</si>
  <si>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</si>
  <si>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</si>
  <si>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</si>
  <si>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</si>
  <si>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</si>
  <si>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</si>
  <si>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</si>
  <si>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</si>
  <si>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</si>
  <si>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</si>
  <si>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</si>
  <si>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</si>
  <si>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</si>
  <si>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</si>
  <si>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</si>
  <si>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</si>
  <si>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</si>
  <si>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</si>
  <si>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</si>
  <si>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</si>
  <si>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</si>
  <si>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</si>
  <si>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</si>
  <si>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</si>
  <si>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</si>
  <si>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</si>
  <si>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</si>
  <si>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</si>
  <si>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</si>
  <si>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</si>
  <si>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</si>
  <si>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</si>
  <si>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</si>
  <si>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</si>
  <si>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</si>
  <si>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</si>
  <si>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</si>
  <si>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</si>
  <si>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</si>
  <si>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</si>
  <si>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</si>
  <si>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</si>
  <si>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</si>
  <si>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</si>
  <si>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</si>
  <si>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</si>
  <si>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</si>
  <si>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</si>
  <si>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</si>
  <si>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</si>
  <si>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</si>
  <si>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</si>
  <si>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</si>
  <si>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</si>
  <si>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</si>
  <si>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</si>
  <si>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</si>
  <si>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</si>
  <si>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</si>
  <si>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</si>
  <si>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</si>
  <si>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</si>
  <si>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</si>
  <si>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</si>
  <si>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</si>
  <si>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</si>
  <si>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</si>
  <si>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</si>
  <si>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</si>
  <si>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</si>
  <si>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</si>
  <si>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</si>
  <si>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</si>
  <si>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</si>
  <si>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</si>
  <si>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</si>
  <si>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</si>
  <si>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</si>
  <si>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</si>
  <si>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</si>
  <si>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</si>
  <si>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</si>
  <si>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</si>
  <si>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</si>
  <si>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</si>
  <si>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</si>
  <si>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</si>
  <si>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</si>
  <si>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</si>
  <si>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</si>
  <si>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</si>
  <si>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</si>
  <si>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</si>
  <si>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</si>
  <si>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</si>
  <si>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</si>
  <si>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</si>
  <si>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</si>
  <si>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</si>
  <si>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</si>
  <si>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</si>
  <si>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</si>
  <si>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</si>
  <si>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</si>
  <si>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</si>
  <si>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</si>
  <si>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</si>
  <si>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</si>
  <si>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</si>
  <si>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</si>
  <si>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</si>
  <si>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</si>
  <si>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</si>
  <si>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</si>
  <si>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</si>
  <si>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</si>
  <si>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</si>
  <si>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</si>
  <si>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</si>
  <si>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</si>
  <si>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</si>
  <si>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</si>
  <si>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</si>
  <si>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</si>
  <si>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</si>
  <si>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</si>
  <si>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</si>
  <si>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</si>
  <si>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</si>
  <si>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</si>
  <si>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</si>
  <si>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</si>
  <si>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</si>
  <si>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</si>
  <si>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</si>
  <si>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</si>
  <si>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</si>
  <si>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</si>
  <si>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</si>
  <si>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</si>
  <si>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</si>
  <si>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</si>
  <si>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</si>
  <si>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</si>
  <si>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</si>
  <si>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</si>
  <si>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</si>
  <si>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</si>
  <si>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</si>
  <si>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</si>
  <si>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</si>
  <si>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</si>
  <si>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</si>
  <si>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</si>
  <si>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</si>
  <si>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</si>
  <si>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</si>
  <si>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</si>
  <si>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</si>
  <si>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</si>
  <si>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</si>
  <si>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</si>
  <si>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</si>
  <si>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</si>
  <si>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</si>
  <si>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</si>
  <si>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</si>
  <si>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</si>
  <si>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</si>
  <si>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</si>
  <si>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</si>
  <si>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</si>
  <si>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</si>
  <si>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</si>
  <si>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</si>
  <si>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</si>
  <si>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</si>
  <si>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</si>
  <si>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</si>
  <si>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</si>
  <si>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</si>
  <si>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</si>
  <si>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</si>
  <si>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</si>
  <si>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</si>
  <si>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</si>
  <si>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</si>
  <si>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</si>
  <si>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</si>
  <si>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</si>
  <si>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</si>
  <si>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</si>
  <si>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</si>
  <si>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</si>
  <si>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</si>
  <si>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</si>
  <si>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</si>
  <si>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</si>
  <si>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</si>
  <si>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</si>
  <si>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</si>
  <si>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</si>
  <si>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</si>
  <si>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</si>
  <si>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</si>
  <si>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</si>
  <si>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</si>
  <si>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</si>
  <si>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</si>
  <si>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</si>
  <si>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</si>
  <si>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</si>
  <si>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</si>
  <si>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</si>
  <si>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</si>
  <si>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</si>
  <si>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</si>
  <si>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</si>
  <si>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</si>
  <si>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</si>
  <si>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</si>
  <si>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</si>
  <si>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</si>
  <si>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</si>
  <si>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</si>
  <si>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</si>
  <si>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</si>
  <si>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</si>
  <si>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</si>
  <si>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</si>
  <si>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</si>
  <si>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</si>
  <si>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</si>
  <si>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</si>
  <si>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</si>
  <si>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</si>
  <si>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</si>
  <si>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</si>
  <si>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</si>
  <si>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</si>
  <si>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</si>
  <si>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</si>
  <si>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</si>
  <si>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</si>
  <si>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</si>
  <si>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</si>
  <si>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</si>
  <si>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</si>
  <si>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</si>
  <si>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</si>
  <si>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</si>
  <si>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</si>
  <si>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</si>
  <si>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</si>
  <si>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</si>
  <si>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</si>
  <si>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</si>
  <si>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</si>
  <si>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</si>
  <si>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</si>
  <si>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</si>
  <si>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</si>
  <si>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</si>
  <si>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</si>
  <si>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</si>
  <si>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</si>
  <si>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</si>
  <si>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</si>
  <si>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</si>
  <si>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</si>
  <si>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</si>
  <si>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</si>
  <si>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</si>
  <si>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</si>
  <si>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</si>
  <si>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</si>
  <si>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</si>
  <si>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</si>
  <si>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</si>
  <si>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</si>
  <si>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</si>
  <si>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</si>
  <si>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</si>
  <si>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</si>
  <si>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</si>
  <si>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</si>
  <si>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</si>
  <si>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</si>
  <si>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</si>
  <si>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</si>
  <si>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</si>
  <si>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</si>
  <si>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</si>
  <si>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</si>
  <si>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</si>
  <si>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</si>
  <si>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</si>
  <si>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</si>
  <si>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</si>
  <si>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</si>
  <si>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</si>
  <si>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</si>
  <si>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</si>
  <si>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</si>
  <si>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</si>
  <si>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</si>
  <si>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</si>
  <si>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</si>
  <si>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</si>
  <si>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</si>
  <si>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</si>
  <si>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</si>
  <si>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</si>
  <si>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</si>
  <si>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</si>
  <si>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</si>
  <si>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</si>
  <si>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</si>
  <si>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</si>
  <si>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</si>
  <si>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</si>
  <si>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</si>
  <si>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</si>
  <si>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</si>
  <si>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</si>
  <si>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</si>
  <si>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</si>
  <si>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</si>
  <si>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</si>
  <si>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</si>
  <si>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</si>
  <si>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</si>
  <si>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</si>
  <si>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</si>
  <si>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</si>
  <si>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</si>
  <si>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</si>
  <si>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</si>
  <si>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</si>
  <si>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</si>
  <si>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</si>
  <si>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</si>
  <si>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</si>
  <si>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</si>
  <si>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</si>
  <si>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</si>
  <si>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</si>
  <si>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</si>
  <si>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</si>
  <si>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</si>
  <si>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</si>
  <si>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</si>
  <si>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</si>
  <si>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</si>
  <si>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</si>
  <si>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</si>
  <si>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</si>
  <si>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</si>
  <si>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</si>
  <si>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</si>
  <si>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</si>
  <si>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</si>
  <si>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</si>
  <si>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</si>
  <si>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</si>
  <si>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</si>
  <si>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</si>
  <si>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</si>
  <si>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</si>
  <si>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</si>
  <si>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</si>
  <si>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</si>
  <si>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</si>
  <si>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</si>
  <si>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</si>
  <si>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</si>
  <si>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</si>
  <si>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</si>
  <si>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</si>
  <si>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</si>
  <si>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</si>
  <si>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</si>
  <si>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</si>
  <si>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</si>
  <si>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</si>
  <si>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</si>
  <si>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</si>
  <si>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</si>
  <si>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</si>
  <si>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</si>
  <si>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</si>
  <si>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</si>
  <si>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</si>
  <si>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</si>
  <si>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</si>
  <si>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</si>
  <si>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</si>
  <si>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</si>
  <si>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</si>
  <si>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</si>
  <si>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</si>
  <si>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</si>
  <si>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</si>
  <si>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</si>
  <si>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</si>
  <si>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</si>
  <si>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</si>
  <si>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</si>
  <si>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</si>
  <si>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</si>
  <si>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</si>
  <si>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</si>
  <si>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</si>
  <si>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</si>
  <si>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</si>
  <si>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</si>
  <si>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</si>
  <si>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</si>
  <si>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</si>
  <si>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</si>
  <si>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</si>
  <si>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</si>
  <si>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</si>
  <si>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</si>
  <si>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</si>
  <si>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</si>
  <si>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</si>
  <si>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</si>
  <si>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</si>
  <si>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</si>
  <si>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</si>
  <si>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</si>
  <si>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</si>
  <si>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</si>
  <si>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</si>
  <si>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</si>
  <si>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</si>
  <si>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</si>
  <si>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</si>
  <si>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</si>
  <si>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</si>
  <si>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</si>
  <si>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</si>
  <si>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</si>
  <si>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</si>
  <si>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</si>
  <si>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</si>
  <si>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</si>
  <si>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</si>
  <si>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</si>
  <si>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</si>
  <si>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</si>
  <si>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</si>
  <si>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</si>
  <si>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</si>
  <si>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</si>
  <si>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</si>
  <si>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</si>
  <si>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</si>
  <si>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</si>
  <si>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</si>
  <si>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</si>
  <si>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</si>
  <si>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</si>
  <si>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</si>
  <si>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</si>
  <si>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</si>
  <si>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</si>
  <si>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</si>
  <si>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</si>
  <si>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</si>
  <si>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</si>
  <si>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</si>
  <si>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</si>
  <si>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</si>
  <si>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</si>
  <si>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</si>
  <si>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</si>
  <si>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</si>
  <si>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</si>
  <si>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</si>
  <si>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</si>
  <si>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</si>
  <si>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</si>
  <si>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</si>
  <si>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</si>
  <si>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</si>
  <si>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</si>
  <si>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</si>
  <si>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</si>
  <si>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</si>
  <si>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</si>
  <si>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</si>
  <si>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</si>
  <si>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</si>
  <si>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</si>
  <si>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</si>
  <si>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</si>
  <si>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</si>
  <si>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</si>
  <si>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</si>
  <si>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</si>
  <si>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</si>
  <si>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</si>
  <si>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</si>
  <si>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</si>
  <si>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</si>
  <si>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</si>
  <si>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</si>
  <si>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</si>
  <si>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</si>
  <si>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</si>
  <si>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</si>
  <si>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</si>
  <si>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</si>
  <si>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</si>
  <si>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</si>
  <si>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</si>
  <si>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</si>
  <si>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</si>
  <si>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</si>
  <si>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</si>
  <si>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</si>
  <si>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</si>
  <si>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</si>
  <si>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</si>
  <si>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</si>
  <si>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</si>
  <si>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</si>
  <si>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</si>
  <si>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</si>
  <si>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</si>
  <si>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</si>
  <si>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</si>
  <si>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</si>
  <si>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</si>
  <si>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</si>
  <si>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</si>
  <si>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</si>
  <si>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</si>
  <si>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</si>
  <si>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</si>
  <si>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</si>
  <si>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</si>
  <si>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</si>
  <si>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</si>
  <si>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</si>
  <si>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</si>
  <si>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</si>
  <si>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</si>
  <si>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</si>
  <si>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</si>
  <si>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</si>
  <si>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</si>
  <si>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</si>
  <si>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</si>
  <si>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</si>
  <si>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</si>
  <si>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</si>
  <si>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</si>
  <si>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</si>
  <si>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</si>
  <si>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</si>
  <si>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</si>
  <si>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</si>
  <si>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</si>
  <si>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</si>
  <si>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</si>
  <si>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</si>
  <si>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</si>
  <si>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</si>
  <si>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</si>
  <si>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</si>
  <si>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</si>
  <si>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</si>
  <si>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</si>
  <si>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</si>
  <si>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</si>
  <si>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</si>
  <si>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</si>
  <si>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</si>
  <si>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</si>
  <si>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</si>
  <si>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</si>
  <si>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</si>
  <si>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</si>
  <si>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</si>
  <si>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</si>
  <si>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</si>
  <si>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</si>
  <si>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</si>
  <si>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</si>
  <si>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</si>
  <si>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</si>
  <si>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</si>
  <si>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</si>
  <si>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</si>
  <si>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</si>
  <si>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</si>
  <si>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</si>
  <si>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</si>
  <si>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</si>
  <si>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</si>
  <si>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</si>
  <si>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</si>
  <si>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</si>
  <si>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</si>
  <si>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</si>
  <si>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</si>
  <si>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</si>
  <si>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</si>
  <si>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</si>
  <si>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</si>
  <si>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</si>
  <si>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</si>
  <si>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</si>
  <si>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</si>
  <si>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</si>
  <si>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</si>
  <si>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</si>
  <si>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</si>
  <si>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</si>
  <si>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</si>
  <si>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</si>
  <si>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</si>
  <si>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</si>
  <si>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</si>
  <si>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</si>
  <si>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</si>
  <si>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</si>
  <si>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</si>
  <si>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</si>
  <si>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</si>
  <si>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</si>
  <si>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</si>
  <si>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</si>
  <si>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</si>
  <si>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</si>
  <si>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</si>
  <si>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</si>
  <si>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</si>
  <si>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</si>
  <si>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</si>
  <si>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</si>
  <si>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</si>
  <si>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</si>
  <si>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</si>
  <si>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</si>
  <si>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</si>
  <si>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</si>
  <si>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</si>
  <si>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</si>
  <si>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</si>
  <si>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</si>
  <si>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</si>
  <si>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</si>
  <si>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</si>
  <si>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</si>
  <si>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</si>
  <si>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</si>
  <si>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</si>
  <si>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</si>
  <si>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</si>
  <si>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</si>
  <si>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</si>
  <si>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</si>
  <si>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</si>
  <si>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</si>
  <si>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</si>
  <si>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</si>
  <si>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</si>
  <si>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</si>
  <si>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</si>
  <si>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</si>
  <si>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</si>
  <si>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</si>
  <si>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</si>
  <si>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</si>
  <si>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</si>
  <si>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</si>
  <si>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</si>
  <si>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</si>
  <si>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</si>
  <si>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</si>
  <si>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</si>
  <si>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</si>
  <si>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</si>
  <si>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</si>
  <si>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</si>
  <si>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</si>
  <si>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</si>
  <si>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</si>
  <si>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</si>
  <si>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</si>
  <si>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</si>
  <si>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</si>
  <si>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</si>
  <si>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</si>
  <si>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</si>
  <si>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</si>
  <si>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</si>
  <si>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</si>
  <si>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</si>
  <si>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</si>
  <si>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</si>
  <si>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</si>
  <si>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</si>
  <si>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</si>
  <si>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</si>
  <si>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</si>
  <si>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</si>
  <si>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</si>
  <si>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</si>
  <si>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</si>
  <si>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</si>
  <si>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</si>
  <si>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</si>
  <si>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</si>
  <si>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</si>
  <si>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</si>
  <si>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</si>
  <si>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</si>
  <si>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</si>
  <si>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</si>
  <si>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</si>
  <si>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</si>
  <si>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</si>
  <si>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</si>
  <si>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</si>
  <si>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</si>
  <si>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</si>
  <si>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</si>
  <si>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</si>
  <si>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</si>
  <si>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</si>
  <si>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</si>
  <si>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</si>
  <si>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</si>
  <si>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</si>
  <si>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</si>
  <si>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</si>
  <si>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</si>
  <si>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</si>
  <si>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</si>
  <si>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</si>
  <si>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</si>
  <si>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</si>
  <si>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</si>
  <si>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</si>
  <si>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</si>
  <si>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</si>
  <si>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</si>
  <si>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</si>
  <si>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</si>
  <si>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</si>
  <si>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</si>
  <si>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</si>
  <si>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</si>
  <si>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</si>
  <si>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</si>
  <si>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</si>
  <si>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</si>
  <si>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</si>
  <si>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</si>
  <si>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</si>
  <si>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</si>
  <si>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</si>
  <si>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</si>
  <si>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</si>
  <si>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</si>
  <si>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</si>
  <si>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</si>
  <si>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</si>
  <si>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</si>
  <si>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</si>
  <si>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</si>
  <si>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</si>
  <si>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</si>
  <si>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</si>
  <si>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</si>
  <si>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</si>
  <si>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</si>
  <si>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</si>
  <si>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</si>
  <si>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</si>
  <si>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</si>
  <si>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</si>
  <si>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</si>
  <si>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</si>
  <si>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</si>
  <si>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</si>
  <si>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</si>
  <si>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</si>
  <si>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</si>
  <si>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</si>
  <si>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</si>
  <si>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</si>
  <si>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</si>
  <si>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</si>
  <si>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</si>
  <si>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</si>
  <si>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</si>
  <si>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</si>
  <si>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</si>
  <si>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</si>
  <si>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</si>
  <si>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</si>
  <si>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</si>
  <si>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</si>
  <si>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</si>
  <si>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</si>
  <si>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</si>
  <si>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</si>
  <si>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</si>
  <si>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</si>
  <si>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</si>
  <si>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</si>
  <si>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</si>
  <si>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</si>
  <si>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</si>
  <si>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</si>
  <si>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</si>
  <si>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</si>
  <si>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</si>
  <si>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</si>
  <si>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</si>
  <si>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</si>
  <si>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</si>
  <si>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</si>
  <si>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</si>
  <si>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</si>
  <si>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</si>
  <si>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</si>
  <si>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</si>
  <si>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</si>
  <si>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</si>
  <si>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</si>
  <si>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</si>
  <si>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</si>
  <si>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</si>
  <si>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</si>
  <si>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</si>
  <si>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</si>
  <si>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</si>
  <si>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</si>
  <si>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</si>
  <si>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</si>
  <si>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</si>
  <si>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</si>
  <si>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</si>
  <si>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</si>
  <si>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</si>
  <si>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</si>
  <si>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</si>
  <si>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</si>
  <si>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</si>
  <si>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</si>
  <si>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</si>
  <si>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</si>
  <si>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</si>
  <si>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</si>
  <si>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</si>
  <si>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</si>
  <si>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</si>
  <si>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</si>
  <si>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</si>
  <si>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</si>
  <si>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</si>
  <si>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</si>
  <si>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</si>
  <si>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</si>
  <si>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</si>
  <si>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</si>
  <si>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</si>
  <si>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</si>
  <si>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</si>
  <si>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</si>
  <si>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</si>
  <si>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</si>
  <si>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</si>
  <si>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</si>
  <si>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</si>
  <si>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</si>
  <si>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</si>
  <si>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</si>
  <si>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</si>
  <si>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</si>
  <si>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</si>
  <si>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</si>
  <si>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</si>
  <si>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</si>
  <si>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</si>
  <si>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</si>
  <si>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</si>
  <si>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</si>
  <si>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</si>
  <si>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</si>
  <si>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</si>
  <si>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</si>
  <si>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</si>
  <si>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</si>
  <si>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</si>
  <si>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</si>
  <si>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</si>
  <si>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</si>
  <si>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</si>
  <si>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</si>
  <si>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</si>
  <si>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</si>
  <si>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</si>
  <si>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</si>
  <si>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</si>
  <si>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</si>
  <si>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</si>
  <si>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</si>
  <si>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</si>
  <si>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</si>
  <si>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</si>
  <si>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</si>
  <si>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</si>
  <si>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</si>
  <si>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</si>
  <si>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</si>
  <si>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</si>
  <si>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</si>
  <si>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</si>
  <si>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</si>
  <si>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</si>
  <si>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</si>
  <si>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</si>
  <si>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</si>
  <si>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</si>
  <si>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</si>
  <si>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</si>
  <si>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</si>
  <si>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</si>
  <si>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</si>
  <si>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</si>
  <si>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</si>
  <si>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</si>
  <si>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</si>
  <si>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</si>
  <si>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</si>
  <si>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</si>
  <si>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</si>
  <si>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</si>
  <si>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</si>
  <si>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</si>
  <si>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</si>
  <si>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</si>
  <si>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</si>
  <si>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</si>
  <si>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</si>
  <si>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</si>
  <si>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</si>
  <si>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</si>
  <si>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</si>
  <si>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</si>
  <si>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</si>
  <si>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</si>
  <si>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</si>
  <si>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</si>
  <si>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</si>
  <si>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</si>
  <si>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</si>
  <si>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</si>
  <si>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</si>
  <si>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</si>
  <si>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</si>
  <si>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</si>
  <si>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</si>
  <si>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</si>
  <si>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</si>
  <si>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</si>
  <si>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</si>
  <si>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</si>
  <si>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</si>
  <si>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</si>
  <si>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</si>
  <si>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</si>
  <si>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</si>
  <si>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</si>
  <si>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</si>
  <si>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</si>
  <si>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</si>
  <si>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</si>
  <si>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</si>
  <si>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</si>
  <si>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</si>
  <si>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</si>
  <si>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</si>
  <si>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</si>
  <si>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</si>
  <si>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</si>
  <si>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</si>
  <si>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</si>
  <si>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</si>
  <si>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</si>
  <si>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</si>
  <si>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</si>
  <si>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</si>
  <si>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</si>
  <si>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</si>
  <si>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</si>
  <si>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</si>
  <si>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</si>
  <si>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</si>
  <si>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</si>
  <si>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</si>
  <si>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</si>
  <si>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</si>
  <si>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</si>
  <si>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</si>
  <si>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</si>
  <si>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</si>
  <si>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</si>
  <si>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</si>
  <si>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</si>
  <si>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</si>
  <si>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</si>
  <si>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</si>
  <si>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</si>
  <si>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</si>
  <si>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</si>
  <si>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</si>
  <si>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</si>
  <si>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</si>
  <si>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</si>
  <si>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</si>
  <si>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</si>
  <si>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</si>
  <si>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</si>
  <si>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</si>
  <si>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</si>
  <si>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</si>
  <si>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</si>
  <si>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</si>
  <si>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</si>
  <si>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</si>
  <si>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</si>
  <si>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</si>
  <si>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</si>
  <si>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</si>
  <si>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</si>
  <si>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</si>
  <si>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</si>
  <si>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</si>
  <si>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</si>
  <si>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</si>
  <si>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</si>
  <si>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</si>
  <si>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</si>
  <si>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</si>
  <si>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</si>
  <si>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</si>
  <si>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</si>
  <si>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</si>
  <si>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</si>
  <si>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</si>
  <si>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</si>
  <si>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</si>
  <si>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</si>
  <si>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</si>
  <si>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</si>
  <si>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</si>
  <si>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</si>
  <si>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</si>
  <si>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</si>
  <si>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</si>
  <si>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</si>
  <si>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</si>
  <si>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</si>
  <si>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</si>
  <si>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</si>
  <si>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</si>
  <si>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</si>
  <si>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</si>
  <si>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</si>
  <si>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</si>
  <si>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</si>
  <si>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</si>
  <si>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</si>
  <si>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</si>
  <si>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</si>
  <si>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</si>
  <si>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</si>
  <si>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</si>
  <si>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</si>
  <si>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</si>
  <si>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</si>
  <si>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</si>
  <si>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</si>
  <si>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</si>
  <si>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</si>
  <si>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</si>
  <si>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</si>
  <si>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</si>
  <si>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</si>
  <si>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</si>
  <si>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</si>
  <si>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</si>
  <si>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</si>
  <si>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</si>
  <si>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</si>
  <si>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</si>
  <si>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</si>
  <si>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</si>
  <si>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</si>
  <si>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</si>
  <si>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</si>
  <si>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</si>
  <si>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</si>
  <si>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</si>
  <si>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</si>
  <si>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</si>
  <si>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</si>
  <si>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</si>
  <si>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</si>
  <si>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</si>
  <si>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</si>
  <si>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</si>
  <si>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</si>
  <si>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</si>
  <si>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</si>
  <si>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</si>
  <si>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</si>
  <si>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</si>
  <si>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</si>
  <si>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</si>
  <si>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</si>
  <si>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</si>
  <si>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</si>
  <si>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</si>
  <si>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</si>
  <si>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</si>
  <si>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</si>
  <si>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</si>
  <si>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</si>
  <si>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</si>
  <si>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</si>
  <si>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</si>
  <si>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</si>
  <si>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</si>
  <si>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</si>
  <si>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</si>
  <si>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</si>
  <si>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</si>
  <si>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</si>
  <si>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</si>
  <si>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</si>
  <si>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</si>
  <si>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</si>
  <si>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</si>
  <si>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</si>
  <si>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</si>
  <si>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</si>
  <si>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</si>
  <si>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</si>
  <si>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</si>
  <si>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</si>
  <si>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</si>
  <si>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</si>
  <si>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</si>
  <si>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</si>
  <si>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</si>
  <si>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</si>
  <si>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</si>
  <si>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</si>
  <si>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</si>
  <si>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</si>
  <si>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</si>
  <si>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</si>
  <si>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</si>
  <si>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</si>
  <si>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</si>
  <si>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</si>
  <si>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</si>
  <si>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</si>
  <si>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</si>
  <si>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</si>
  <si>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</si>
  <si>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</si>
  <si>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</si>
  <si>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</si>
  <si>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</si>
  <si>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</si>
  <si>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</si>
  <si>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</si>
  <si>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</si>
  <si>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</si>
  <si>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</si>
  <si>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</si>
  <si>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</si>
  <si>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</si>
  <si>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</si>
  <si>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</si>
  <si>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</si>
  <si>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</si>
  <si>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</si>
  <si>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</si>
  <si>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</si>
  <si>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</si>
  <si>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</si>
  <si>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</si>
  <si>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</si>
  <si>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</si>
  <si>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</si>
  <si>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</si>
  <si>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</si>
  <si>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</si>
  <si>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</si>
  <si>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</si>
  <si>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</si>
  <si>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</si>
  <si>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</si>
  <si>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</si>
  <si>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</si>
  <si>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</si>
  <si>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</si>
  <si>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</si>
  <si>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</si>
  <si>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</si>
  <si>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</si>
  <si>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</si>
  <si>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</si>
  <si>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</si>
  <si>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</si>
  <si>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</si>
  <si>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</si>
  <si>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</si>
  <si>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</si>
  <si>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</si>
  <si>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</si>
  <si>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</si>
  <si>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</si>
  <si>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</si>
  <si>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</si>
  <si>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</si>
  <si>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</si>
  <si>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</si>
  <si>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</si>
  <si>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</si>
  <si>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</si>
  <si>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</si>
  <si>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</si>
  <si>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</si>
  <si>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</si>
  <si>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</si>
  <si>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</si>
  <si>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</si>
  <si>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</si>
  <si>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</si>
  <si>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</si>
  <si>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</si>
  <si>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</si>
  <si>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</si>
  <si>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</si>
  <si>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</si>
  <si>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</si>
  <si>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</si>
  <si>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</si>
  <si>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</si>
  <si>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</si>
  <si>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</si>
  <si>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</si>
  <si>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</si>
  <si>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</si>
  <si>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</si>
  <si>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</si>
  <si>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</si>
  <si>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</si>
  <si>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</si>
  <si>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</si>
  <si>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</si>
  <si>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</si>
  <si>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</si>
  <si>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</si>
  <si>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</si>
  <si>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</si>
  <si>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</si>
  <si>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</si>
  <si>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</si>
  <si>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</si>
  <si>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</si>
  <si>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</si>
  <si>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</si>
  <si>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</si>
  <si>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</si>
  <si>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</si>
  <si>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</si>
  <si>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</si>
  <si>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</si>
  <si>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</si>
  <si>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</si>
  <si>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</si>
  <si>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</si>
  <si>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</si>
  <si>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</si>
  <si>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</si>
  <si>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</si>
  <si>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</si>
  <si>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</si>
  <si>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</si>
  <si>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</si>
  <si>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</si>
  <si>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</si>
  <si>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</si>
  <si>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</si>
  <si>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</si>
  <si>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</si>
  <si>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</si>
  <si>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</si>
  <si>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</si>
  <si>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</si>
  <si>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</si>
  <si>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</si>
  <si>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</si>
  <si>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</si>
  <si>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</si>
  <si>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</si>
  <si>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</si>
  <si>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</si>
  <si>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</si>
  <si>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</si>
  <si>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</si>
  <si>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</si>
  <si>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</si>
  <si>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</si>
  <si>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</si>
  <si>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</si>
  <si>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</si>
  <si>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</si>
  <si>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</si>
  <si>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</si>
  <si>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</si>
  <si>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</si>
  <si>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</si>
  <si>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</si>
  <si>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</si>
  <si>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</si>
  <si>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</si>
  <si>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</si>
  <si>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</si>
  <si>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</si>
  <si>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</si>
  <si>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</si>
  <si>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</si>
  <si>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</si>
  <si>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</si>
  <si>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</si>
  <si>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</si>
  <si>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</si>
  <si>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</si>
  <si>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</si>
  <si>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</si>
  <si>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</si>
  <si>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</si>
  <si>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</si>
  <si>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</si>
  <si>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</si>
  <si>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</si>
  <si>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</si>
  <si>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</si>
  <si>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</si>
  <si>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</si>
  <si>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</si>
  <si>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</si>
  <si>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</si>
  <si>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</si>
  <si>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</si>
  <si>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</si>
  <si>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</si>
  <si>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</si>
  <si>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</si>
  <si>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</si>
  <si>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</si>
  <si>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</si>
  <si>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</si>
  <si>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</si>
  <si>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</si>
  <si>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</si>
  <si>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</si>
  <si>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</si>
  <si>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</si>
  <si>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</si>
  <si>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</si>
  <si>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</si>
  <si>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</si>
  <si>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</si>
  <si>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</si>
  <si>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</si>
  <si>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</si>
  <si>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</si>
  <si>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</si>
  <si>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</si>
  <si>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</si>
  <si>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</si>
  <si>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</si>
  <si>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</si>
  <si>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</si>
  <si>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</si>
  <si>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</si>
  <si>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</si>
  <si>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</si>
  <si>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</si>
  <si>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</si>
  <si>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</si>
  <si>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</si>
  <si>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</si>
  <si>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</si>
  <si>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</si>
  <si>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</si>
  <si>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</si>
  <si>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</si>
  <si>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</si>
  <si>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</si>
  <si>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</si>
  <si>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</si>
  <si>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</si>
  <si>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</si>
  <si>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</si>
  <si>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</si>
  <si>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</si>
  <si>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</si>
  <si>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</si>
  <si>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</si>
  <si>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</si>
  <si>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</si>
  <si>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</si>
  <si>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</si>
  <si>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</si>
  <si>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</si>
  <si>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</si>
  <si>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</si>
  <si>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</si>
  <si>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</si>
  <si>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</si>
  <si>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</si>
  <si>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</si>
  <si>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</si>
  <si>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</si>
  <si>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</si>
  <si>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</si>
  <si>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</si>
  <si>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</si>
  <si>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</si>
  <si>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</si>
  <si>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</si>
  <si>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</si>
  <si>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</si>
  <si>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</si>
  <si>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</si>
  <si>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</si>
  <si>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</si>
  <si>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</si>
  <si>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</si>
  <si>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</si>
  <si>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</si>
  <si>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</si>
  <si>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</si>
  <si>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</si>
  <si>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</si>
  <si>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</si>
  <si>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</si>
  <si>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</si>
  <si>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</si>
  <si>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</si>
  <si>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</si>
  <si>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</si>
  <si>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</si>
  <si>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</si>
  <si>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</si>
  <si>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</si>
  <si>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</si>
  <si>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</si>
  <si>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</si>
  <si>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</si>
  <si>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</si>
  <si>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</si>
  <si>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</si>
  <si>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</si>
  <si>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</si>
  <si>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</si>
  <si>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</si>
  <si>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</si>
  <si>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</si>
  <si>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</si>
  <si>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</si>
  <si>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</si>
  <si>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</si>
  <si>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</si>
  <si>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</si>
  <si>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</si>
  <si>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</si>
  <si>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</si>
  <si>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</si>
  <si>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</si>
  <si>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</si>
  <si>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</si>
  <si>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</si>
  <si>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</si>
  <si>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</si>
  <si>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</si>
  <si>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</si>
  <si>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</si>
  <si>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</si>
  <si>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</si>
  <si>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</si>
  <si>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</si>
  <si>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</si>
  <si>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</si>
  <si>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</si>
  <si>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</si>
  <si>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</si>
  <si>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</si>
  <si>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</si>
  <si>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</si>
  <si>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</si>
  <si>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</si>
  <si>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</si>
  <si>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</si>
  <si>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</si>
  <si>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</si>
  <si>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</si>
  <si>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</si>
  <si>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</si>
  <si>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</si>
  <si>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</si>
  <si>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</si>
  <si>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</si>
  <si>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</si>
  <si>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</si>
  <si>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</si>
  <si>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</si>
  <si>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</si>
  <si>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</si>
  <si>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</si>
  <si>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</si>
  <si>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</si>
  <si>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</si>
  <si>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</si>
  <si>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</si>
  <si>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</si>
  <si>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</si>
  <si>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</si>
  <si>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</si>
  <si>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</si>
  <si>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</si>
  <si>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</si>
  <si>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</si>
  <si>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</si>
  <si>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</si>
  <si>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</si>
  <si>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</si>
  <si>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</si>
  <si>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</si>
  <si>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</si>
  <si>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</si>
  <si>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</si>
  <si>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</si>
  <si>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</si>
  <si>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</si>
  <si>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</si>
  <si>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</si>
  <si>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</si>
  <si>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</si>
  <si>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</si>
  <si>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</si>
  <si>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</si>
  <si>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</si>
  <si>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</si>
  <si>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</si>
  <si>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</si>
  <si>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</si>
  <si>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</si>
  <si>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</si>
  <si>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</si>
  <si>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</si>
  <si>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</si>
  <si>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</si>
  <si>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</si>
  <si>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</si>
  <si>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</si>
  <si>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</si>
  <si>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</si>
  <si>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</si>
  <si>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</si>
  <si>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</si>
  <si>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</si>
  <si>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</si>
  <si>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</si>
  <si>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</si>
  <si>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</si>
  <si>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</si>
  <si>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</si>
  <si>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</si>
  <si>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</si>
  <si>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</si>
  <si>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</si>
  <si>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</si>
  <si>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</si>
  <si>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</si>
  <si>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</si>
  <si>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</si>
  <si>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</si>
  <si>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</si>
  <si>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</si>
  <si>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</si>
  <si>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</si>
  <si>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</si>
  <si>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</si>
  <si>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</si>
  <si>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</si>
  <si>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</si>
  <si>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</si>
  <si>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</si>
  <si>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</si>
  <si>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</si>
  <si>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</si>
  <si>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</si>
  <si>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</si>
  <si>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</si>
  <si>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</si>
  <si>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</si>
  <si>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</si>
  <si>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</si>
  <si>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</si>
  <si>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</si>
  <si>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</si>
  <si>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</si>
  <si>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</si>
  <si>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</si>
  <si>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</si>
  <si>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</si>
  <si>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</si>
  <si>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</si>
  <si>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</si>
  <si>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</si>
  <si>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</si>
  <si>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</si>
  <si>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</si>
  <si>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</si>
  <si>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</si>
  <si>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</si>
  <si>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</si>
  <si>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</si>
  <si>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</si>
  <si>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</si>
  <si>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</si>
  <si>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</si>
  <si>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</si>
  <si>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</si>
  <si>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</si>
  <si>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</si>
  <si>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</si>
  <si>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</si>
  <si>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</si>
  <si>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</si>
  <si>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</si>
  <si>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</si>
  <si>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</si>
  <si>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</si>
  <si>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</si>
  <si>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</si>
  <si>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</si>
  <si>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</si>
  <si>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</si>
  <si>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</si>
  <si>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</si>
  <si>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</si>
  <si>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</si>
  <si>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</si>
  <si>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</si>
  <si>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</si>
  <si>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</si>
  <si>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</si>
  <si>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</si>
  <si>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</si>
  <si>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</si>
  <si>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</si>
  <si>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</si>
  <si>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</si>
  <si>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</si>
  <si>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</si>
  <si>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</si>
  <si>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</si>
  <si>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</si>
  <si>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</si>
  <si>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</si>
  <si>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</si>
  <si>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</si>
  <si>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</si>
  <si>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</si>
  <si>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</si>
  <si>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</si>
  <si>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</si>
  <si>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</si>
  <si>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</si>
  <si>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</si>
  <si>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</si>
  <si>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</si>
  <si>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</si>
  <si>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</si>
  <si>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</si>
  <si>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</si>
  <si>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</si>
  <si>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</si>
  <si>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</si>
  <si>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</si>
  <si>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</si>
  <si>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</si>
  <si>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</si>
  <si>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</si>
  <si>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</si>
  <si>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</si>
  <si>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</si>
  <si>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</si>
  <si>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</si>
  <si>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</si>
  <si>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</si>
  <si>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</si>
  <si>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</si>
  <si>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</si>
  <si>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</si>
  <si>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</si>
  <si>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</si>
  <si>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</si>
  <si>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</si>
  <si>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</si>
  <si>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</si>
  <si>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</si>
  <si>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</si>
  <si>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</si>
  <si>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</si>
  <si>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</si>
  <si>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</si>
  <si>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</si>
  <si>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</si>
  <si>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</si>
  <si>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</si>
  <si>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</si>
  <si>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</si>
  <si>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</si>
  <si>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</si>
  <si>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</si>
  <si>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</si>
  <si>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</si>
  <si>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</si>
  <si>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</si>
  <si>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</si>
  <si>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</si>
  <si>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</si>
  <si>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</si>
  <si>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</si>
  <si>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</si>
  <si>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</si>
  <si>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</si>
  <si>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</si>
  <si>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</si>
  <si>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</si>
  <si>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</si>
  <si>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</si>
  <si>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</si>
  <si>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</si>
  <si>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</si>
  <si>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</si>
  <si>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</si>
  <si>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</si>
  <si>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</si>
  <si>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</si>
  <si>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</si>
  <si>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</si>
  <si>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</si>
  <si>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</si>
  <si>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</si>
  <si>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</si>
  <si>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</si>
  <si>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</si>
  <si>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</si>
  <si>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</si>
  <si>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</si>
  <si>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</si>
  <si>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</si>
  <si>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</si>
  <si>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</si>
  <si>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</si>
  <si>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</si>
  <si>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</si>
  <si>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</si>
  <si>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</si>
  <si>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</si>
  <si>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</si>
  <si>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</si>
  <si>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</si>
  <si>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</si>
  <si>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</si>
  <si>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</si>
  <si>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</si>
  <si>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</si>
  <si>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</si>
  <si>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</si>
  <si>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</si>
  <si>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</si>
  <si>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</si>
  <si>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</si>
  <si>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</si>
  <si>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</si>
  <si>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</si>
  <si>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</si>
  <si>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</si>
  <si>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</si>
  <si>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</si>
  <si>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</si>
  <si>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</si>
  <si>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</si>
  <si>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</si>
  <si>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</si>
  <si>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</si>
  <si>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</si>
  <si>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</si>
  <si>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</si>
  <si>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</si>
  <si>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</si>
  <si>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</si>
  <si>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</si>
  <si>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</si>
  <si>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</si>
  <si>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</si>
  <si>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</si>
  <si>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</si>
  <si>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</si>
  <si>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</si>
  <si>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</si>
  <si>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</si>
  <si>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</si>
  <si>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</si>
  <si>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</si>
  <si>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</si>
  <si>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</si>
  <si>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</si>
  <si>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</si>
  <si>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</si>
  <si>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</si>
  <si>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</si>
  <si>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</si>
  <si>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</si>
  <si>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</si>
  <si>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</si>
  <si>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</si>
  <si>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</si>
  <si>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</si>
  <si>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</si>
  <si>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</si>
  <si>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</si>
  <si>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</si>
  <si>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</si>
  <si>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</si>
  <si>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</si>
  <si>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</si>
  <si>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</si>
  <si>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</si>
  <si>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</si>
  <si>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</si>
  <si>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</si>
  <si>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</si>
  <si>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</si>
  <si>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</si>
  <si>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</si>
  <si>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</si>
  <si>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</si>
  <si>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</si>
  <si>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</si>
  <si>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</si>
  <si>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</si>
  <si>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</si>
  <si>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</si>
  <si>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</si>
  <si>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</si>
  <si>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</si>
  <si>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</si>
  <si>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</si>
  <si>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</si>
  <si>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</si>
  <si>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</si>
  <si>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</si>
  <si>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</si>
  <si>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</si>
  <si>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</si>
  <si>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</si>
  <si>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</si>
  <si>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</si>
  <si>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</si>
  <si>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</si>
  <si>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</si>
  <si>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</si>
  <si>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</si>
  <si>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</si>
  <si>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</si>
  <si>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</si>
  <si>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</si>
  <si>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</si>
  <si>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</si>
  <si>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</si>
  <si>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</si>
  <si>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</si>
  <si>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</si>
  <si>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</si>
  <si>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</si>
  <si>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</si>
  <si>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</si>
  <si>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</si>
  <si>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</si>
  <si>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</si>
  <si>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</si>
  <si>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</si>
  <si>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</si>
  <si>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</si>
  <si>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</si>
  <si>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</si>
  <si>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</si>
  <si>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</si>
  <si>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</si>
  <si>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</si>
  <si>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</si>
  <si>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</si>
  <si>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</si>
  <si>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</si>
  <si>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</si>
  <si>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</si>
  <si>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</si>
  <si>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</si>
  <si>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</si>
  <si>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</si>
  <si>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</si>
  <si>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</si>
  <si>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</si>
  <si>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</si>
  <si>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</si>
  <si>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</si>
  <si>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</si>
  <si>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</si>
  <si>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</si>
  <si>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</si>
  <si>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</si>
  <si>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</si>
  <si>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</si>
  <si>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</si>
  <si>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</si>
  <si>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</si>
  <si>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</si>
  <si>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</si>
  <si>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</si>
  <si>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</si>
  <si>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</si>
  <si>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</si>
  <si>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</si>
  <si>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</si>
  <si>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</si>
  <si>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</si>
  <si>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</si>
  <si>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</si>
  <si>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</si>
  <si>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</si>
  <si>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</si>
  <si>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</si>
  <si>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</si>
  <si>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</si>
  <si>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</si>
  <si>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</si>
  <si>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</si>
  <si>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</si>
  <si>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</si>
  <si>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</si>
  <si>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</si>
  <si>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</si>
  <si>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</si>
  <si>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</si>
  <si>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</si>
  <si>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</si>
  <si>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</si>
  <si>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</si>
  <si>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</si>
  <si>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</si>
  <si>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</si>
  <si>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</si>
  <si>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</si>
  <si>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</si>
  <si>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</si>
  <si>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</si>
  <si>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</si>
  <si>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</si>
  <si>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</si>
  <si>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</si>
  <si>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</si>
  <si>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</si>
  <si>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</si>
  <si>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</si>
  <si>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</si>
  <si>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</si>
  <si>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</si>
  <si>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</si>
  <si>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</si>
  <si>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</si>
  <si>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</si>
  <si>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</si>
  <si>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</si>
  <si>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</si>
  <si>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</si>
  <si>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</si>
  <si>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</si>
  <si>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</si>
  <si>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</si>
  <si>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</si>
  <si>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</si>
  <si>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</si>
  <si>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</si>
  <si>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</si>
  <si>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</si>
  <si>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</si>
  <si>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</si>
  <si>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</si>
  <si>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</si>
  <si>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</si>
  <si>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</si>
  <si>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</si>
  <si>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</si>
  <si>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</si>
  <si>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</si>
  <si>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</si>
  <si>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</si>
  <si>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</si>
  <si>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</si>
  <si>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</si>
  <si>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</si>
  <si>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</si>
  <si>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</si>
  <si>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</si>
  <si>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</si>
  <si>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</si>
  <si>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</si>
  <si>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</si>
  <si>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</si>
  <si>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</si>
  <si>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</si>
  <si>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</si>
  <si>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</si>
  <si>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</si>
  <si>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</si>
  <si>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</si>
  <si>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</si>
  <si>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</si>
  <si>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</si>
  <si>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</si>
  <si>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</si>
  <si>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</si>
  <si>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</si>
  <si>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</si>
  <si>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</si>
  <si>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</si>
  <si>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</si>
  <si>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</si>
  <si>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</si>
  <si>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</si>
  <si>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</si>
  <si>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</si>
  <si>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</si>
  <si>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</si>
  <si>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</si>
  <si>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</si>
  <si>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</si>
  <si>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</si>
  <si>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</si>
  <si>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</si>
  <si>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</si>
  <si>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</si>
  <si>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</si>
  <si>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</si>
  <si>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</si>
  <si>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</si>
  <si>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</si>
  <si>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</si>
  <si>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</si>
  <si>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</si>
  <si>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</si>
  <si>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</si>
  <si>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</si>
  <si>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</si>
  <si>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</si>
  <si>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</si>
  <si>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</si>
  <si>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</si>
  <si>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</si>
  <si>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</si>
  <si>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</si>
  <si>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</si>
  <si>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</si>
  <si>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</si>
  <si>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</si>
  <si>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</si>
  <si>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</si>
  <si>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</si>
  <si>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</si>
  <si>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</si>
  <si>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</si>
  <si>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</si>
  <si>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</si>
  <si>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</si>
  <si>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</si>
  <si>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</si>
  <si>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</si>
  <si>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</si>
  <si>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</si>
  <si>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</si>
  <si>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</si>
  <si>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</si>
  <si>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</si>
  <si>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</si>
  <si>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</si>
  <si>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</si>
  <si>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</si>
  <si>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</si>
  <si>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</si>
  <si>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</si>
  <si>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</si>
  <si>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</si>
  <si>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</si>
  <si>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</si>
  <si>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</si>
  <si>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</si>
  <si>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</si>
  <si>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</si>
  <si>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</si>
  <si>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</si>
  <si>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</si>
  <si>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</si>
  <si>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</si>
  <si>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</si>
  <si>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</si>
  <si>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</si>
  <si>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</si>
  <si>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</si>
  <si>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</si>
  <si>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</si>
  <si>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</si>
  <si>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</si>
  <si>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</si>
  <si>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</si>
  <si>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</si>
  <si>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</si>
  <si>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</si>
  <si>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</si>
  <si>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</si>
  <si>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</si>
  <si>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</si>
  <si>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</si>
  <si>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</si>
  <si>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</si>
  <si>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</si>
  <si>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</si>
  <si>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</si>
  <si>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</si>
  <si>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</si>
  <si>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</si>
  <si>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</si>
  <si>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</si>
  <si>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</si>
  <si>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</si>
  <si>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</si>
  <si>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</si>
  <si>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</si>
  <si>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</si>
  <si>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</si>
  <si>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</si>
  <si>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</si>
  <si>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</si>
  <si>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</si>
  <si>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</si>
  <si>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</si>
  <si>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</si>
  <si>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</si>
  <si>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</si>
  <si>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</si>
  <si>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</si>
  <si>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</si>
  <si>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</si>
  <si>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</si>
  <si>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</si>
  <si>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</si>
  <si>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</si>
  <si>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</si>
  <si>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</si>
  <si>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</si>
  <si>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</si>
  <si>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</si>
  <si>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</si>
  <si>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</si>
  <si>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</si>
  <si>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</si>
  <si>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</si>
  <si>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</si>
  <si>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</si>
  <si>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</si>
  <si>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</si>
  <si>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</si>
  <si>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</si>
  <si>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</si>
  <si>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</si>
  <si>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</si>
  <si>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</si>
  <si>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</si>
  <si>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</si>
  <si>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</si>
  <si>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</si>
  <si>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</si>
  <si>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</si>
  <si>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</si>
  <si>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</si>
  <si>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</si>
  <si>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</si>
  <si>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</si>
  <si>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</si>
  <si>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</si>
  <si>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</si>
  <si>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</si>
  <si>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</si>
  <si>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</si>
  <si>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</si>
  <si>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</si>
  <si>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</si>
  <si>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</si>
  <si>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</si>
  <si>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</si>
  <si>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</si>
  <si>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</si>
  <si>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</si>
  <si>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</si>
  <si>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</si>
  <si>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</si>
  <si>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</si>
  <si>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</si>
  <si>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</si>
  <si>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</si>
  <si>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</si>
  <si>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</si>
  <si>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</si>
  <si>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</si>
  <si>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</si>
  <si>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</si>
  <si>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</si>
  <si>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</si>
  <si>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</si>
  <si>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</si>
  <si>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</si>
  <si>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</si>
  <si>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</si>
  <si>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</si>
  <si>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</si>
  <si>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</si>
  <si>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</si>
  <si>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</si>
  <si>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</si>
  <si>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</si>
  <si>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</si>
  <si>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</si>
  <si>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</si>
  <si>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</si>
  <si>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</si>
  <si>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</si>
  <si>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</si>
  <si>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</si>
  <si>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</si>
  <si>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</si>
  <si>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</si>
  <si>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</si>
  <si>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</si>
  <si>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</si>
  <si>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</si>
  <si>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</si>
  <si>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</si>
  <si>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</si>
  <si>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</si>
  <si>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</si>
  <si>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</si>
  <si>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</si>
  <si>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</si>
  <si>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</si>
  <si>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</si>
  <si>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</si>
  <si>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</si>
  <si>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</si>
  <si>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</si>
  <si>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</si>
  <si>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</si>
  <si>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</si>
  <si>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</si>
  <si>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</si>
  <si>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</si>
  <si>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</si>
  <si>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</si>
  <si>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</si>
  <si>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</si>
  <si>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</si>
  <si>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</si>
  <si>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</si>
  <si>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</si>
  <si>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</si>
  <si>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</si>
  <si>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</si>
  <si>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</si>
  <si>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</si>
  <si>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</si>
  <si>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</si>
  <si>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</si>
  <si>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</si>
  <si>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</si>
  <si>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</si>
  <si>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</si>
  <si>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</si>
  <si>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</si>
  <si>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</si>
  <si>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</si>
  <si>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</si>
  <si>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</si>
  <si>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</si>
  <si>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</si>
  <si>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</si>
  <si>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</si>
  <si>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</si>
  <si>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</si>
  <si>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</si>
  <si>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</si>
  <si>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</si>
  <si>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</si>
  <si>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</si>
  <si>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</si>
  <si>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</si>
  <si>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</si>
  <si>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</si>
  <si>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</si>
  <si>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</si>
  <si>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</si>
  <si>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</si>
  <si>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</si>
  <si>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</si>
  <si>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</si>
  <si>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</si>
  <si>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</si>
  <si>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</si>
  <si>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</si>
  <si>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</si>
  <si>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</si>
  <si>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</si>
  <si>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</si>
  <si>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</si>
  <si>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</si>
  <si>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</si>
  <si>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</si>
  <si>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</si>
  <si>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</si>
  <si>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</si>
  <si>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</si>
  <si>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</si>
  <si>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</si>
  <si>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</si>
  <si>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</si>
  <si>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</si>
  <si>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</si>
  <si>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</si>
  <si>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</si>
  <si>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</si>
  <si>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</si>
  <si>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</si>
  <si>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</si>
  <si>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</si>
  <si>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</si>
  <si>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</si>
  <si>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</si>
  <si>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</si>
  <si>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</si>
  <si>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</si>
  <si>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</si>
  <si>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</si>
  <si>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</si>
  <si>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</si>
  <si>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</si>
  <si>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</si>
  <si>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</si>
  <si>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</si>
  <si>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</si>
  <si>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</si>
  <si>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</si>
  <si>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</si>
  <si>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</si>
  <si>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</si>
  <si>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</si>
  <si>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</si>
  <si>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</si>
  <si>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</si>
  <si>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</si>
  <si>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</si>
  <si>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</si>
  <si>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</si>
  <si>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</si>
  <si>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</si>
  <si>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</si>
  <si>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</si>
  <si>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</si>
  <si>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</si>
  <si>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</si>
  <si>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</si>
  <si>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</si>
  <si>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</si>
  <si>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</si>
  <si>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</si>
  <si>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</si>
  <si>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</si>
  <si>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</si>
  <si>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</si>
  <si>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</si>
  <si>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</si>
  <si>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</si>
  <si>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</si>
  <si>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</si>
  <si>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</si>
  <si>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</si>
  <si>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</si>
  <si>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</si>
  <si>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</si>
  <si>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</si>
  <si>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</si>
  <si>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</si>
  <si>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</si>
  <si>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</si>
  <si>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</si>
  <si>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</si>
  <si>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</si>
  <si>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</si>
  <si>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</si>
  <si>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</si>
  <si>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</si>
  <si>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</si>
  <si>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</si>
  <si>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</si>
  <si>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</si>
  <si>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</si>
  <si>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</si>
  <si>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</si>
  <si>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</si>
  <si>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</si>
  <si>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</si>
  <si>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</si>
  <si>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</si>
  <si>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</si>
  <si>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</si>
  <si>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</si>
  <si>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</si>
  <si>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</si>
  <si>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</si>
  <si>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</si>
  <si>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</si>
  <si>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</si>
  <si>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</si>
  <si>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</si>
  <si>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</si>
  <si>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</si>
  <si>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</si>
  <si>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</si>
  <si>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</si>
  <si>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</si>
  <si>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</si>
  <si>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</si>
  <si>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</si>
  <si>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</si>
  <si>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</si>
  <si>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</si>
  <si>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</si>
  <si>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</si>
  <si>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</si>
  <si>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</si>
  <si>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</si>
  <si>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</si>
  <si>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</si>
  <si>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</si>
  <si>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</si>
  <si>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</si>
  <si>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</si>
  <si>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</si>
  <si>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</si>
  <si>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</si>
  <si>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</si>
  <si>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</si>
  <si>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</si>
  <si>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</si>
  <si>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</si>
  <si>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</si>
  <si>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</si>
  <si>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</si>
  <si>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</si>
  <si>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</si>
  <si>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</si>
  <si>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</si>
  <si>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</si>
  <si>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</si>
  <si>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</si>
  <si>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</si>
  <si>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</si>
  <si>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</si>
  <si>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</si>
  <si>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</si>
  <si>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</si>
  <si>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</si>
  <si>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</si>
  <si>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</si>
  <si>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</si>
  <si>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</si>
  <si>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</si>
  <si>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</si>
  <si>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</si>
  <si>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</si>
  <si>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</si>
  <si>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</si>
  <si>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</si>
  <si>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</si>
  <si>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</si>
  <si>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</si>
  <si>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</si>
  <si>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</si>
  <si>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</si>
  <si>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</si>
  <si>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</si>
  <si>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</si>
  <si>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</si>
  <si>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</si>
  <si>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</si>
  <si>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</si>
  <si>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</si>
  <si>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</si>
  <si>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</si>
  <si>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</si>
  <si>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</si>
  <si>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</si>
  <si>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</si>
  <si>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</si>
  <si>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</si>
  <si>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</si>
  <si>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</si>
  <si>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</si>
  <si>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</si>
  <si>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</si>
  <si>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</si>
  <si>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</si>
  <si>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</si>
  <si>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</si>
  <si>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</si>
  <si>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</si>
  <si>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</si>
  <si>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</si>
  <si>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</si>
  <si>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</si>
  <si>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</si>
  <si>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</si>
  <si>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</si>
  <si>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</si>
  <si>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</si>
  <si>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</si>
  <si>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</si>
  <si>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</si>
  <si>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</si>
  <si>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</si>
  <si>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</si>
  <si>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</si>
  <si>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</si>
  <si>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</si>
  <si>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</si>
  <si>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</si>
  <si>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</si>
  <si>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</si>
  <si>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</si>
  <si>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</si>
  <si>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</si>
  <si>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</si>
  <si>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</si>
  <si>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</si>
  <si>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</si>
  <si>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</si>
  <si>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</si>
  <si>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</si>
  <si>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</si>
  <si>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</si>
  <si>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</si>
  <si>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</si>
  <si>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</si>
  <si>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</si>
  <si>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</si>
  <si>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</si>
  <si>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</si>
  <si>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</si>
  <si>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</si>
  <si>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</si>
  <si>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</si>
  <si>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</si>
  <si>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</si>
  <si>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</si>
  <si>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</si>
  <si>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</si>
  <si>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</si>
  <si>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</si>
  <si>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</si>
  <si>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</si>
  <si>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</si>
  <si>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</si>
  <si>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</si>
  <si>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</si>
  <si>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</si>
  <si>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</si>
  <si>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</si>
  <si>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</si>
  <si>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</si>
  <si>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</si>
  <si>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</si>
  <si>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</si>
  <si>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</si>
  <si>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</si>
  <si>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</si>
  <si>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</si>
  <si>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</si>
  <si>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</si>
  <si>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</si>
  <si>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</si>
  <si>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</si>
  <si>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</si>
  <si>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</si>
  <si>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</si>
  <si>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</si>
  <si>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</si>
  <si>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</si>
  <si>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</si>
  <si>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</si>
  <si>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</si>
  <si>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</si>
  <si>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</si>
  <si>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</si>
  <si>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</si>
  <si>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</si>
  <si>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</si>
  <si>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</si>
  <si>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</si>
  <si>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</si>
  <si>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</si>
  <si>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</si>
  <si>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</si>
  <si>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</si>
  <si>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</si>
  <si>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</si>
  <si>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</si>
  <si>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</si>
  <si>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</si>
  <si>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</si>
  <si>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</si>
  <si>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</si>
  <si>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</si>
  <si>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</si>
  <si>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</si>
  <si>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</si>
  <si>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</si>
  <si>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</si>
  <si>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</si>
  <si>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</si>
  <si>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</si>
  <si>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</si>
  <si>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</si>
  <si>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</si>
  <si>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</si>
  <si>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</si>
  <si>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</si>
  <si>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</si>
  <si>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</si>
  <si>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</si>
  <si>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</si>
  <si>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</si>
  <si>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</si>
  <si>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</si>
  <si>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</si>
  <si>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</si>
  <si>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</si>
  <si>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</si>
  <si>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</si>
  <si>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</si>
  <si>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</si>
  <si>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</si>
  <si>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</si>
  <si>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</si>
  <si>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</si>
  <si>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</si>
  <si>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</si>
  <si>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</si>
  <si>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</si>
  <si>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</si>
  <si>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</si>
  <si>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</si>
  <si>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</si>
  <si>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</si>
  <si>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</si>
  <si>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</si>
  <si>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</si>
  <si>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</si>
  <si>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</si>
  <si>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</si>
  <si>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</si>
  <si>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</si>
  <si>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</si>
  <si>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</si>
  <si>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</si>
  <si>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</si>
  <si>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</si>
  <si>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</si>
  <si>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</si>
  <si>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</si>
  <si>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</si>
  <si>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</si>
  <si>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</si>
  <si>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</si>
  <si>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</si>
  <si>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</si>
  <si>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</si>
  <si>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</si>
  <si>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</si>
  <si>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</si>
  <si>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</si>
  <si>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</si>
  <si>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</si>
  <si>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</si>
  <si>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</si>
  <si>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</si>
  <si>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</si>
  <si>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</si>
  <si>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</si>
  <si>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</si>
  <si>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</si>
  <si>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</si>
  <si>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</si>
  <si>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</si>
  <si>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</si>
  <si>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</si>
  <si>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</si>
  <si>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</si>
  <si>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</si>
  <si>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</si>
  <si>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</si>
  <si>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</si>
  <si>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</si>
  <si>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</si>
  <si>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</si>
  <si>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</si>
  <si>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</si>
  <si>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</si>
  <si>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</si>
  <si>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</si>
  <si>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</si>
  <si>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</si>
  <si>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</si>
  <si>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</si>
  <si>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</si>
  <si>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</si>
  <si>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</si>
  <si>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</si>
  <si>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</si>
  <si>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</si>
  <si>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</si>
  <si>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</si>
  <si>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</si>
  <si>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</si>
  <si>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</si>
  <si>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</si>
  <si>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</si>
  <si>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</si>
  <si>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</si>
  <si>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</si>
  <si>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</si>
  <si>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</si>
  <si>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</si>
  <si>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</si>
  <si>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</si>
  <si>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</si>
  <si>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</si>
  <si>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</si>
  <si>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</si>
  <si>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</si>
  <si>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</si>
  <si>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</si>
  <si>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</si>
  <si>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</si>
  <si>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</si>
  <si>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</si>
  <si>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</si>
  <si>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</si>
  <si>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</si>
  <si>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</si>
  <si>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</si>
  <si>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</si>
  <si>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</si>
  <si>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</si>
  <si>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</si>
  <si>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</si>
  <si>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</si>
  <si>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</si>
  <si>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</si>
  <si>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</si>
  <si>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</si>
  <si>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</si>
  <si>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</si>
  <si>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</si>
  <si>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</si>
  <si>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</si>
  <si>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</si>
  <si>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</si>
  <si>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</si>
  <si>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</si>
  <si>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</si>
  <si>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</si>
  <si>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</si>
  <si>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</si>
  <si>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</si>
  <si>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</si>
  <si>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</si>
  <si>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</si>
  <si>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</si>
  <si>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</si>
  <si>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</si>
  <si>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</si>
  <si>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</si>
  <si>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</si>
  <si>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</si>
  <si>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</si>
  <si>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</si>
  <si>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</si>
  <si>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</si>
  <si>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</si>
  <si>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</si>
  <si>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</si>
  <si>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</si>
  <si>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</si>
  <si>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</si>
  <si>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</si>
  <si>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</si>
  <si>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</si>
  <si>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</si>
  <si>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</si>
  <si>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</si>
  <si>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</si>
  <si>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</si>
  <si>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</si>
  <si>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</si>
  <si>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</si>
  <si>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</si>
  <si>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</si>
  <si>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</si>
  <si>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</si>
  <si>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</si>
  <si>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</si>
  <si>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</si>
  <si>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</si>
  <si>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</si>
  <si>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</si>
  <si>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</si>
  <si>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</si>
  <si>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</si>
  <si>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</si>
  <si>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</si>
  <si>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</si>
  <si>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</si>
  <si>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</si>
  <si>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</si>
  <si>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</si>
  <si>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</si>
  <si>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</si>
  <si>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</si>
  <si>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</si>
  <si>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</si>
  <si>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</si>
  <si>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</si>
  <si>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</si>
  <si>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</si>
  <si>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</si>
  <si>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</si>
  <si>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</si>
  <si>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</si>
  <si>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</si>
  <si>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</si>
  <si>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</si>
  <si>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</si>
  <si>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</si>
  <si>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</si>
  <si>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</si>
  <si>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</si>
  <si>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</si>
  <si>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</si>
  <si>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</si>
  <si>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</si>
  <si>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</si>
  <si>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</si>
  <si>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</si>
  <si>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</si>
  <si>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</si>
  <si>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</si>
  <si>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</si>
  <si>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</si>
  <si>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</si>
  <si>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</si>
  <si>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</si>
  <si>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</si>
  <si>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</si>
  <si>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</si>
  <si>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</si>
  <si>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</si>
  <si>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</si>
  <si>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</si>
  <si>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</si>
  <si>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</si>
  <si>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</si>
  <si>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</si>
  <si>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</si>
  <si>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</si>
  <si>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</si>
  <si>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</si>
  <si>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</si>
  <si>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</si>
  <si>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</si>
  <si>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</si>
  <si>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</si>
  <si>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</si>
  <si>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</si>
  <si>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</si>
  <si>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</si>
  <si>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</si>
  <si>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</si>
  <si>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</si>
  <si>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</si>
  <si>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</si>
  <si>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</si>
  <si>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</si>
  <si>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</si>
  <si>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</si>
  <si>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</si>
  <si>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</si>
  <si>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</si>
  <si>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</si>
  <si>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</si>
  <si>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</si>
  <si>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</si>
  <si>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</si>
  <si>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</si>
  <si>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</si>
  <si>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</si>
  <si>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</si>
  <si>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</si>
  <si>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</si>
  <si>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</si>
  <si>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</si>
  <si>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</si>
  <si>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</si>
  <si>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</si>
  <si>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</si>
  <si>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</si>
  <si>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</si>
  <si>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</si>
  <si>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</si>
  <si>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</si>
  <si>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</si>
  <si>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</si>
  <si>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</si>
  <si>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</si>
  <si>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</si>
  <si>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</si>
  <si>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</si>
  <si>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</si>
  <si>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</si>
  <si>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</si>
  <si>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</si>
  <si>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</si>
  <si>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</si>
  <si>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</si>
  <si>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</si>
  <si>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</si>
  <si>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</si>
  <si>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</si>
  <si>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</si>
  <si>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</si>
  <si>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</si>
  <si>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</si>
  <si>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</si>
  <si>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</si>
  <si>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</si>
  <si>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</si>
  <si>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</si>
  <si>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</si>
  <si>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</si>
  <si>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</si>
  <si>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</si>
  <si>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</si>
  <si>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</si>
  <si>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</si>
  <si>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</si>
  <si>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</si>
  <si>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</si>
  <si>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</si>
  <si>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</si>
  <si>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</si>
  <si>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</si>
  <si>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</si>
  <si>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</si>
  <si>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</si>
  <si>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</si>
  <si>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</si>
  <si>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</si>
  <si>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</si>
  <si>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</si>
  <si>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</si>
  <si>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</si>
  <si>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</si>
  <si>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</si>
  <si>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</si>
  <si>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</si>
  <si>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</si>
  <si>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</si>
  <si>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</si>
  <si>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</si>
  <si>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</si>
  <si>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</si>
  <si>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</si>
  <si>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</si>
  <si>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</si>
  <si>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</si>
  <si>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</si>
  <si>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</si>
  <si>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</si>
  <si>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</si>
  <si>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</si>
  <si>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</si>
  <si>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</si>
  <si>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</si>
  <si>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</si>
  <si>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</si>
  <si>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</si>
  <si>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</si>
  <si>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</si>
  <si>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</si>
  <si>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</si>
  <si>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</si>
  <si>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</si>
  <si>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</si>
  <si>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</si>
  <si>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</si>
  <si>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</si>
  <si>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</si>
  <si>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</si>
  <si>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</si>
  <si>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</si>
  <si>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</si>
  <si>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</si>
  <si>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</si>
  <si>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</si>
  <si>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</si>
  <si>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</si>
  <si>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</si>
  <si>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</si>
  <si>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</si>
  <si>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</si>
  <si>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</si>
  <si>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</si>
  <si>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</si>
  <si>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</si>
  <si>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</si>
  <si>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</si>
  <si>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</si>
  <si>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</si>
  <si>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</si>
  <si>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</si>
  <si>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</si>
  <si>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</si>
  <si>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</si>
  <si>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</si>
  <si>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</si>
  <si>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</si>
  <si>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</si>
  <si>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</si>
  <si>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</si>
  <si>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</si>
  <si>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</si>
  <si>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</si>
  <si>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</si>
  <si>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</si>
  <si>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</si>
  <si>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</si>
  <si>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</si>
  <si>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</si>
  <si>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</si>
  <si>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</si>
  <si>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</si>
  <si>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</si>
  <si>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</si>
  <si>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</si>
  <si>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</si>
  <si>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</si>
  <si>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</si>
  <si>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</si>
  <si>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</si>
  <si>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</si>
  <si>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</si>
  <si>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</si>
  <si>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</si>
  <si>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</si>
  <si>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</si>
  <si>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</si>
  <si>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</si>
  <si>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</si>
  <si>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</si>
  <si>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</si>
  <si>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</si>
  <si>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</si>
  <si>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</si>
  <si>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</si>
  <si>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</si>
  <si>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</si>
  <si>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</si>
  <si>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</si>
  <si>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</si>
  <si>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</si>
  <si>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</si>
  <si>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</si>
  <si>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</si>
  <si>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</si>
  <si>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</si>
  <si>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</si>
  <si>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</si>
  <si>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</si>
  <si>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</si>
  <si>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</si>
  <si>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</si>
  <si>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</si>
  <si>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</si>
  <si>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</si>
  <si>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</si>
  <si>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</si>
  <si>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</si>
  <si>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</si>
  <si>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</si>
  <si>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</si>
  <si>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</si>
  <si>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</si>
  <si>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</si>
  <si>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</si>
  <si>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</si>
  <si>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</si>
  <si>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</si>
  <si>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</si>
  <si>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</si>
  <si>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</si>
  <si>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</si>
  <si>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</si>
  <si>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</si>
  <si>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</si>
  <si>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</si>
  <si>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</si>
  <si>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</si>
  <si>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</si>
  <si>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</si>
  <si>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</si>
  <si>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</si>
  <si>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</si>
  <si>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</si>
  <si>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</si>
  <si>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</si>
  <si>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</si>
  <si>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</si>
  <si>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</si>
  <si>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</si>
  <si>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</si>
  <si>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</si>
  <si>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</si>
  <si>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</si>
  <si>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</si>
  <si>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</si>
  <si>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</si>
  <si>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</si>
  <si>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</si>
  <si>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</si>
  <si>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</si>
  <si>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</si>
  <si>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</si>
  <si>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</si>
  <si>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</si>
  <si>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</si>
  <si>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</si>
  <si>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</si>
  <si>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</si>
  <si>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</si>
  <si>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</si>
  <si>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</si>
  <si>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</si>
  <si>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</si>
  <si>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</si>
  <si>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</si>
  <si>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</si>
  <si>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</si>
  <si>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</si>
  <si>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</si>
  <si>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</si>
  <si>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</si>
  <si>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</si>
  <si>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</si>
  <si>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</si>
  <si>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</si>
  <si>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</si>
  <si>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</si>
  <si>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</si>
  <si>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</si>
  <si>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</si>
  <si>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</si>
  <si>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</si>
  <si>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</si>
  <si>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</si>
  <si>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</si>
  <si>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</si>
  <si>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</si>
  <si>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</si>
  <si>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</si>
  <si>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</si>
  <si>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</si>
  <si>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</si>
  <si>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</si>
  <si>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</si>
  <si>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</si>
  <si>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</si>
  <si>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</si>
  <si>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</si>
  <si>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</si>
  <si>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</si>
  <si>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</si>
  <si>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</si>
  <si>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</si>
  <si>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</si>
  <si>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</si>
  <si>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</si>
  <si>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</si>
  <si>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</si>
  <si>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</si>
  <si>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</si>
  <si>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</si>
  <si>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</si>
  <si>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</si>
  <si>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</si>
  <si>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</si>
  <si>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</si>
  <si>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</si>
  <si>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</si>
  <si>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</si>
  <si>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</si>
  <si>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</si>
  <si>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</si>
  <si>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</si>
  <si>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</si>
  <si>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</si>
  <si>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</si>
  <si>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</si>
  <si>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</si>
  <si>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</si>
  <si>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</si>
  <si>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</si>
  <si>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</si>
  <si>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</si>
  <si>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</si>
  <si>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</si>
  <si>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</si>
  <si>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</si>
  <si>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</si>
  <si>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</si>
  <si>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</si>
  <si>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</si>
  <si>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</si>
  <si>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</si>
  <si>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</si>
  <si>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</si>
  <si>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</si>
  <si>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</si>
  <si>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</si>
  <si>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</si>
  <si>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</si>
  <si>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</si>
  <si>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</si>
  <si>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</si>
  <si>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</si>
  <si>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</si>
  <si>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</si>
  <si>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</si>
  <si>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</si>
  <si>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</si>
  <si>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</si>
  <si>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</si>
  <si>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</si>
  <si>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</si>
  <si>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</si>
  <si>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</si>
  <si>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</si>
  <si>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</si>
  <si>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</si>
  <si>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</si>
  <si>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</si>
  <si>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</si>
  <si>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</si>
  <si>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</si>
  <si>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</si>
  <si>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</si>
  <si>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</si>
  <si>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</si>
  <si>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</si>
  <si>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</si>
  <si>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</si>
  <si>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</si>
  <si>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</si>
  <si>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</si>
  <si>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</si>
  <si>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</si>
  <si>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</si>
  <si>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</si>
  <si>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</si>
  <si>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</si>
  <si>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</si>
  <si>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</si>
  <si>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</si>
  <si>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</si>
  <si>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</si>
  <si>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</si>
  <si>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</si>
  <si>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</si>
  <si>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</si>
  <si>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</si>
  <si>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</si>
  <si>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</si>
  <si>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</si>
  <si>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</si>
  <si>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</si>
  <si>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</si>
  <si>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</si>
  <si>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</si>
  <si>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</si>
  <si>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</si>
  <si>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</si>
  <si>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</si>
  <si>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</si>
  <si>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</si>
  <si>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</si>
  <si>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</si>
  <si>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</si>
  <si>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</si>
  <si>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</si>
  <si>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</si>
  <si>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</si>
  <si>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</si>
  <si>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</si>
  <si>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</si>
  <si>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</si>
  <si>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</si>
  <si>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</si>
  <si>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</si>
  <si>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</si>
  <si>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</si>
  <si>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</si>
  <si>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</si>
  <si>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</si>
  <si>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</si>
  <si>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</si>
  <si>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</si>
  <si>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</si>
  <si>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</si>
  <si>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</si>
  <si>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</si>
  <si>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</si>
  <si>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</si>
  <si>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</si>
  <si>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</si>
  <si>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</si>
  <si>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</si>
  <si>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</si>
  <si>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</si>
  <si>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</si>
  <si>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</si>
  <si>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</si>
  <si>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</si>
  <si>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</si>
  <si>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</si>
  <si>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</si>
  <si>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</si>
  <si>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</si>
  <si>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</si>
  <si>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</si>
  <si>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</si>
  <si>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</si>
  <si>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</si>
  <si>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</si>
  <si>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</si>
  <si>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</si>
  <si>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</si>
  <si>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</si>
  <si>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</si>
  <si>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</si>
  <si>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</si>
  <si>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</si>
  <si>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</si>
  <si>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</si>
  <si>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</si>
  <si>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</si>
  <si>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</si>
  <si>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</si>
  <si>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</si>
  <si>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</si>
  <si>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</si>
  <si>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</si>
  <si>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</si>
  <si>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</si>
  <si>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</si>
  <si>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</si>
  <si>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</si>
  <si>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</si>
  <si>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</si>
  <si>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</si>
  <si>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</si>
  <si>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</si>
  <si>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</si>
  <si>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</si>
  <si>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</si>
  <si>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</si>
  <si>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</si>
  <si>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</si>
  <si>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</si>
  <si>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</si>
  <si>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</si>
  <si>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</si>
  <si>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</si>
  <si>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</si>
  <si>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</si>
  <si>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</si>
  <si>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</si>
  <si>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</si>
  <si>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</si>
  <si>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</si>
  <si>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</si>
  <si>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</si>
  <si>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</si>
  <si>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</si>
  <si>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</si>
  <si>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</si>
  <si>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</si>
  <si>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</si>
  <si>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</si>
  <si>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</si>
  <si>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</si>
  <si>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</si>
  <si>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</si>
  <si>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</si>
  <si>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</si>
  <si>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</si>
  <si>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</si>
  <si>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</si>
  <si>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</si>
  <si>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</si>
  <si>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</si>
  <si>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</si>
  <si>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</si>
  <si>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</si>
  <si>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</si>
  <si>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</si>
  <si>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</si>
  <si>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</si>
  <si>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</si>
  <si>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</si>
  <si>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</si>
  <si>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</si>
  <si>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</si>
  <si>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</si>
  <si>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</si>
  <si>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</si>
  <si>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</si>
  <si>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</si>
  <si>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</si>
  <si>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</si>
  <si>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</si>
  <si>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</si>
  <si>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</si>
  <si>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</si>
  <si>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</si>
  <si>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</si>
  <si>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</si>
  <si>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</si>
  <si>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</si>
  <si>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</si>
  <si>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</si>
  <si>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</si>
  <si>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</si>
  <si>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</si>
  <si>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</si>
  <si>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</si>
  <si>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</si>
  <si>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</si>
  <si>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</si>
  <si>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</si>
  <si>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</si>
  <si>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</si>
  <si>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</si>
  <si>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</si>
  <si>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</si>
  <si>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</si>
  <si>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</si>
  <si>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</si>
  <si>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</si>
  <si>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</si>
  <si>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</si>
  <si>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</si>
  <si>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</si>
  <si>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</si>
  <si>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</si>
  <si>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</si>
  <si>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</si>
  <si>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</si>
  <si>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</si>
  <si>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</si>
  <si>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</si>
  <si>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</si>
  <si>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</si>
  <si>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</si>
  <si>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</si>
  <si>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</si>
  <si>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</si>
  <si>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</si>
  <si>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</si>
  <si>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</si>
  <si>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</si>
  <si>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</si>
  <si>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</si>
  <si>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</si>
  <si>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</si>
  <si>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</si>
  <si>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</si>
  <si>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</si>
  <si>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</si>
  <si>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</si>
  <si>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</si>
  <si>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</si>
  <si>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</si>
  <si>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</si>
  <si>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</si>
  <si>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</si>
  <si>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</si>
  <si>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</si>
  <si>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</si>
  <si>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</si>
  <si>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</si>
  <si>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</si>
  <si>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</si>
  <si>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</si>
  <si>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</si>
  <si>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</si>
  <si>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</si>
  <si>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</si>
  <si>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</si>
  <si>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</si>
  <si>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</si>
  <si>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</si>
  <si>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</si>
  <si>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</si>
  <si>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</si>
  <si>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</si>
  <si>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</si>
  <si>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</si>
  <si>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</si>
  <si>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</si>
  <si>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</si>
  <si>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</si>
  <si>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</si>
  <si>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</si>
  <si>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</si>
  <si>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</si>
  <si>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</si>
  <si>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</si>
  <si>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</si>
  <si>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</si>
  <si>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</si>
  <si>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</si>
  <si>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</si>
  <si>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</si>
  <si>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</si>
  <si>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</si>
  <si>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</si>
  <si>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</si>
  <si>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</si>
  <si>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</si>
  <si>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</si>
  <si>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</si>
  <si>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</si>
  <si>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</si>
  <si>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</si>
  <si>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</si>
  <si>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</si>
  <si>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</si>
  <si>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</si>
  <si>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</si>
  <si>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</si>
  <si>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</si>
  <si>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</si>
  <si>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</si>
  <si>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</si>
  <si>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</si>
  <si>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</si>
  <si>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</si>
  <si>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</si>
  <si>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</si>
  <si>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</si>
  <si>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</si>
  <si>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</si>
  <si>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</si>
  <si>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</si>
  <si>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</si>
  <si>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</si>
  <si>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</si>
  <si>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</si>
  <si>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</si>
  <si>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</si>
  <si>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</si>
  <si>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</si>
  <si>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</si>
  <si>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</si>
  <si>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</si>
  <si>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</si>
  <si>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</si>
  <si>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</si>
  <si>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</si>
  <si>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</si>
  <si>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</si>
  <si>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</si>
  <si>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</si>
  <si>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</si>
  <si>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</si>
  <si>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</si>
  <si>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</si>
  <si>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</si>
  <si>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</si>
  <si>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</si>
  <si>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</si>
  <si>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</si>
  <si>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</si>
  <si>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</si>
  <si>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</si>
  <si>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</si>
  <si>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</si>
  <si>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</si>
  <si>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</si>
  <si>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</si>
  <si>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</si>
  <si>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</si>
  <si>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</si>
  <si>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</si>
  <si>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</si>
  <si>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</si>
  <si>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</si>
  <si>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</si>
  <si>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</si>
  <si>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</si>
  <si>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</si>
  <si>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</si>
  <si>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</si>
  <si>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</si>
  <si>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</si>
  <si>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</si>
  <si>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</si>
  <si>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</si>
  <si>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</si>
  <si>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</si>
  <si>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</si>
  <si>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</si>
  <si>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</si>
  <si>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</si>
  <si>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</si>
  <si>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</si>
  <si>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</si>
  <si>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</si>
  <si>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</si>
  <si>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</si>
  <si>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</si>
  <si>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</si>
  <si>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</si>
  <si>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</si>
  <si>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</si>
  <si>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</si>
  <si>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</si>
  <si>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</si>
  <si>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</si>
  <si>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</si>
  <si>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</si>
  <si>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</si>
  <si>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</si>
  <si>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</si>
  <si>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</si>
  <si>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</si>
  <si>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</si>
  <si>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</si>
  <si>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</si>
  <si>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</si>
  <si>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</si>
  <si>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</si>
  <si>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</si>
  <si>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</si>
  <si>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</si>
  <si>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</si>
  <si>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</si>
  <si>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</si>
  <si>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</si>
  <si>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</si>
  <si>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</si>
  <si>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</si>
  <si>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</si>
  <si>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</si>
  <si>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</si>
  <si>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</si>
  <si>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</si>
  <si>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</si>
  <si>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</si>
  <si>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</si>
  <si>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</si>
  <si>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</si>
  <si>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</si>
  <si>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</si>
  <si>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</si>
  <si>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</si>
  <si>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</si>
  <si>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</si>
  <si>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</si>
  <si>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</si>
  <si>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</si>
  <si>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</si>
  <si>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</si>
  <si>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</si>
  <si>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</si>
  <si>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</si>
  <si>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</si>
  <si>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</si>
  <si>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</si>
  <si>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</si>
  <si>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</si>
  <si>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</si>
  <si>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</si>
  <si>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</si>
  <si>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</si>
  <si>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</si>
  <si>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</si>
  <si>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</si>
  <si>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</si>
  <si>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</si>
  <si>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</si>
  <si>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</si>
  <si>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</si>
  <si>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</si>
  <si>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</si>
  <si>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</si>
  <si>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</si>
  <si>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</si>
  <si>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</si>
  <si>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</si>
  <si>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</si>
  <si>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</si>
  <si>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</si>
  <si>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</si>
  <si>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</si>
  <si>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</si>
  <si>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</si>
  <si>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</si>
  <si>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</si>
  <si>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</si>
  <si>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</si>
  <si>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</si>
  <si>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</si>
  <si>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</si>
  <si>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</si>
  <si>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</si>
  <si>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</si>
  <si>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</si>
  <si>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</si>
  <si>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</si>
  <si>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</si>
  <si>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</si>
  <si>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</si>
  <si>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</si>
  <si>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</si>
  <si>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</si>
  <si>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</si>
  <si>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</si>
  <si>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</si>
  <si>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</si>
  <si>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</si>
  <si>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</si>
  <si>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</si>
  <si>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</si>
  <si>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</si>
  <si>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</si>
  <si>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</si>
  <si>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</si>
  <si>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</si>
  <si>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</si>
  <si>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</si>
  <si>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</si>
  <si>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</si>
  <si>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</si>
  <si>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</si>
  <si>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</si>
  <si>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</si>
  <si>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</si>
  <si>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</si>
  <si>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</si>
  <si>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</si>
  <si>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</si>
  <si>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</si>
  <si>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</si>
  <si>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</si>
  <si>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</si>
  <si>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</si>
  <si>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</si>
  <si>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</si>
  <si>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</si>
  <si>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</si>
  <si>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</si>
  <si>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</si>
  <si>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</si>
  <si>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</si>
  <si>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</si>
  <si>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</si>
  <si>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</si>
  <si>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</si>
  <si>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</si>
  <si>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</si>
  <si>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</si>
  <si>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</si>
  <si>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</si>
  <si>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</si>
  <si>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</si>
  <si>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</si>
  <si>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</si>
  <si>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</si>
  <si>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</si>
  <si>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</si>
  <si>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</si>
  <si>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</si>
  <si>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</si>
  <si>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</si>
  <si>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</si>
  <si>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</si>
  <si>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</si>
  <si>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</si>
  <si>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</si>
  <si>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</si>
  <si>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</si>
  <si>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</si>
  <si>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</si>
  <si>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</si>
  <si>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</si>
  <si>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</si>
  <si>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</si>
  <si>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</si>
  <si>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</si>
  <si>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</si>
  <si>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</si>
  <si>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</si>
  <si>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</si>
  <si>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</si>
  <si>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</si>
  <si>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</si>
  <si>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</si>
  <si>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</si>
  <si>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</si>
  <si>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</si>
  <si>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</si>
  <si>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</si>
  <si>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</si>
  <si>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</si>
  <si>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</si>
  <si>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</si>
  <si>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</si>
  <si>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</si>
  <si>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</si>
  <si>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</si>
  <si>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</si>
  <si>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</si>
  <si>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</si>
  <si>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</si>
  <si>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</si>
  <si>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</si>
  <si>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</si>
  <si>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</si>
  <si>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</si>
  <si>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</si>
  <si>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</si>
  <si>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</si>
  <si>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</si>
  <si>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</si>
  <si>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</si>
  <si>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</si>
  <si>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</si>
  <si>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</si>
  <si>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</si>
  <si>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</si>
  <si>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</si>
  <si>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</si>
  <si>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</si>
  <si>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</si>
  <si>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</si>
  <si>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</si>
  <si>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</si>
  <si>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</si>
  <si>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</si>
  <si>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</si>
  <si>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</si>
  <si>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</si>
  <si>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</si>
  <si>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</si>
  <si>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</si>
  <si>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</si>
  <si>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</si>
  <si>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</si>
  <si>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</si>
  <si>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</si>
  <si>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</si>
  <si>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</si>
  <si>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</si>
  <si>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</si>
  <si>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</si>
  <si>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</si>
  <si>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</si>
  <si>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</si>
  <si>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</si>
  <si>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</si>
  <si>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</si>
  <si>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</si>
  <si>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</si>
  <si>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</si>
  <si>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</si>
  <si>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</si>
  <si>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</si>
  <si>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</si>
  <si>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</si>
  <si>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</si>
  <si>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</si>
  <si>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</si>
  <si>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</si>
  <si>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</si>
  <si>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</si>
  <si>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</si>
  <si>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</si>
  <si>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</si>
  <si>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</si>
  <si>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</si>
  <si>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</si>
  <si>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</si>
  <si>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</si>
  <si>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</si>
  <si>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</si>
  <si>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</si>
  <si>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</si>
  <si>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</si>
  <si>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</si>
  <si>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</si>
  <si>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</si>
  <si>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</si>
  <si>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</si>
  <si>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</si>
  <si>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</si>
  <si>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</si>
  <si>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</si>
  <si>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</si>
  <si>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</si>
  <si>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</si>
  <si>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</si>
  <si>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</si>
  <si>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</si>
  <si>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</si>
  <si>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</si>
  <si>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</si>
  <si>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</si>
  <si>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</si>
  <si>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</si>
  <si>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</si>
  <si>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</si>
  <si>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</si>
  <si>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</si>
  <si>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</si>
  <si>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</si>
  <si>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</si>
  <si>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</si>
  <si>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</si>
  <si>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</si>
  <si>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</si>
  <si>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</si>
  <si>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</si>
  <si>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</si>
  <si>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</si>
  <si>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</si>
  <si>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</si>
  <si>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</si>
  <si>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</si>
  <si>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</si>
  <si>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</si>
  <si>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</si>
  <si>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</si>
  <si>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</si>
  <si>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</si>
  <si>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</si>
  <si>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</si>
  <si>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</si>
  <si>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</si>
  <si>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</si>
  <si>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</si>
  <si>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</si>
  <si>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</si>
  <si>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</si>
  <si>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</si>
  <si>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</si>
  <si>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</si>
  <si>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</si>
  <si>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</si>
  <si>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</si>
  <si>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</si>
  <si>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</si>
  <si>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</si>
  <si>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</si>
  <si>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</si>
  <si>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</si>
  <si>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</si>
  <si>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</si>
  <si>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</si>
  <si>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</si>
  <si>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</si>
  <si>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</si>
  <si>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</si>
  <si>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</si>
  <si>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</si>
  <si>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</si>
  <si>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</si>
  <si>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</si>
  <si>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</si>
  <si>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</si>
  <si>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</si>
  <si>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</si>
  <si>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</si>
  <si>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</si>
  <si>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</si>
  <si>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</si>
  <si>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</si>
  <si>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</si>
  <si>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</si>
  <si>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</si>
  <si>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</si>
  <si>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</si>
  <si>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</si>
  <si>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</si>
  <si>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</si>
  <si>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</si>
  <si>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</si>
  <si>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</si>
  <si>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</si>
  <si>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</si>
  <si>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</si>
  <si>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</si>
  <si>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</si>
  <si>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</si>
  <si>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</si>
  <si>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</si>
  <si>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</si>
  <si>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</si>
  <si>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</si>
  <si>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</si>
  <si>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</si>
  <si>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</si>
  <si>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</si>
  <si>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</si>
  <si>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</si>
  <si>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</si>
  <si>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</si>
  <si>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</si>
  <si>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</si>
  <si>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</si>
  <si>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</si>
  <si>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</si>
  <si>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</si>
  <si>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</si>
  <si>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</si>
  <si>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</si>
  <si>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</si>
  <si>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</si>
  <si>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</si>
  <si>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</si>
  <si>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</si>
  <si>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</si>
  <si>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</si>
  <si>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</si>
  <si>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</si>
  <si>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</si>
  <si>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</si>
  <si>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</si>
  <si>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</si>
  <si>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</si>
  <si>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</si>
  <si>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</si>
  <si>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</si>
  <si>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</si>
  <si>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</si>
  <si>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</si>
  <si>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</si>
  <si>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</si>
  <si>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</si>
  <si>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</si>
  <si>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</si>
  <si>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</si>
  <si>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</si>
  <si>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</si>
  <si>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</si>
  <si>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</si>
  <si>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</si>
  <si>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</si>
  <si>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</si>
  <si>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</si>
  <si>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</si>
  <si>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</si>
  <si>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</si>
  <si>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</si>
  <si>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</si>
  <si>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</si>
  <si>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</si>
  <si>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</si>
  <si>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</si>
  <si>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</si>
  <si>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</si>
  <si>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</si>
  <si>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</si>
  <si>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</si>
  <si>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</si>
  <si>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</si>
  <si>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</si>
  <si>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</si>
  <si>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</si>
  <si>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</si>
  <si>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</si>
  <si>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</si>
  <si>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</si>
  <si>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</si>
  <si>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</si>
  <si>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</si>
  <si>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</si>
  <si>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</si>
  <si>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</si>
  <si>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</si>
  <si>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</si>
  <si>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</si>
  <si>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</si>
  <si>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</si>
  <si>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</si>
  <si>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</si>
  <si>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</si>
  <si>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</si>
  <si>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</si>
  <si>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</si>
  <si>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</si>
  <si>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</si>
  <si>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</si>
  <si>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</si>
  <si>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</si>
  <si>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</si>
  <si>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</si>
  <si>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</si>
  <si>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</si>
  <si>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</si>
  <si>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</si>
  <si>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</si>
  <si>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</si>
  <si>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</si>
  <si>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</si>
  <si>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</si>
  <si>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</si>
  <si>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</si>
  <si>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</si>
  <si>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</si>
  <si>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</si>
  <si>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</si>
  <si>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</si>
  <si>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</si>
  <si>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</si>
  <si>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</si>
  <si>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</si>
  <si>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</si>
  <si>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</si>
  <si>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</si>
  <si>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</si>
  <si>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</si>
  <si>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</si>
  <si>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</si>
  <si>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</si>
  <si>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</si>
  <si>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</si>
  <si>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</si>
  <si>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</si>
  <si>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</si>
  <si>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</si>
  <si>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</si>
  <si>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</si>
  <si>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</si>
  <si>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</si>
  <si>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</si>
  <si>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</si>
  <si>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</si>
  <si>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</si>
  <si>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</si>
  <si>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</si>
  <si>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</si>
  <si>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</si>
  <si>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</si>
  <si>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</si>
  <si>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</si>
  <si>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</si>
  <si>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</si>
  <si>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</si>
  <si>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</si>
  <si>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</si>
  <si>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</si>
  <si>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</si>
  <si>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</si>
  <si>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</si>
  <si>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</si>
  <si>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</si>
  <si>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</si>
  <si>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</si>
  <si>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</si>
  <si>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</si>
  <si>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</si>
  <si>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</si>
  <si>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</si>
  <si>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</si>
  <si>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</si>
  <si>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</si>
  <si>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</si>
  <si>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</si>
  <si>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</si>
  <si>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</si>
  <si>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</si>
  <si>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</si>
  <si>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</si>
  <si>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</si>
  <si>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</si>
  <si>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</si>
  <si>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</si>
  <si>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</si>
  <si>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</si>
  <si>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</si>
  <si>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</si>
  <si>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</si>
  <si>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</si>
  <si>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</si>
  <si>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</si>
  <si>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</si>
  <si>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</si>
  <si>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</si>
  <si>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</si>
  <si>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</si>
  <si>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</si>
  <si>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</si>
  <si>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</si>
  <si>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</si>
  <si>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</si>
  <si>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</si>
  <si>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</si>
  <si>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</si>
  <si>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</si>
  <si>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</si>
  <si>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</si>
  <si>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</si>
  <si>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</si>
  <si>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</si>
  <si>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</si>
  <si>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</si>
  <si>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</si>
  <si>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</si>
  <si>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</si>
  <si>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</si>
  <si>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</si>
  <si>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</si>
  <si>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</si>
  <si>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</si>
  <si>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</si>
  <si>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</si>
  <si>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</si>
  <si>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</si>
  <si>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</si>
  <si>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</si>
  <si>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</si>
  <si>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</si>
  <si>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</si>
  <si>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</si>
  <si>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</si>
  <si>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</si>
  <si>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</si>
  <si>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</si>
  <si>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</si>
  <si>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</si>
  <si>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</si>
  <si>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</si>
  <si>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</si>
  <si>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</si>
  <si>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</si>
  <si>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</si>
  <si>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</si>
  <si>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</si>
  <si>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</si>
  <si>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</si>
  <si>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</si>
  <si>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</si>
  <si>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</si>
  <si>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</si>
  <si>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</si>
  <si>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</si>
  <si>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</si>
  <si>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</si>
  <si>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</si>
  <si>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</si>
  <si>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</si>
  <si>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</si>
  <si>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</si>
  <si>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</si>
  <si>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</si>
  <si>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</si>
  <si>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</si>
  <si>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</si>
  <si>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</si>
  <si>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</si>
  <si>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</si>
  <si>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</si>
  <si>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</si>
  <si>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</si>
  <si>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</si>
  <si>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</si>
  <si>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</si>
  <si>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</si>
  <si>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</si>
  <si>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</si>
  <si>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</si>
  <si>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</si>
  <si>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</si>
  <si>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</si>
  <si>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</si>
  <si>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</si>
  <si>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</si>
  <si>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</si>
  <si>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</si>
  <si>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</si>
  <si>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</si>
  <si>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</si>
  <si>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</si>
  <si>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</si>
  <si>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</si>
  <si>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</si>
  <si>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</si>
  <si>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</si>
  <si>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</si>
  <si>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</si>
  <si>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</si>
  <si>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</si>
  <si>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</si>
  <si>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</si>
  <si>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</si>
  <si>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</si>
  <si>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</si>
  <si>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</si>
  <si>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</si>
  <si>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</si>
  <si>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</si>
  <si>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</si>
  <si>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</si>
  <si>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</si>
  <si>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</si>
  <si>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</si>
  <si>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</si>
  <si>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</si>
  <si>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</si>
  <si>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</si>
  <si>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</si>
  <si>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</si>
  <si>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</si>
  <si>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</si>
  <si>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</si>
  <si>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</si>
  <si>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</si>
  <si>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</si>
  <si>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</si>
  <si>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</si>
  <si>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</si>
  <si>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</si>
  <si>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</si>
  <si>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</si>
  <si>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</si>
  <si>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</si>
  <si>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</si>
  <si>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</si>
  <si>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</si>
  <si>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</si>
  <si>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</si>
  <si>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</si>
  <si>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</si>
  <si>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</si>
  <si>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</si>
  <si>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</si>
  <si>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</si>
  <si>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</si>
  <si>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</si>
  <si>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</si>
  <si>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</si>
  <si>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</si>
  <si>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</si>
  <si>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</si>
  <si>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</si>
  <si>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</si>
  <si>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</si>
  <si>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</si>
  <si>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</si>
  <si>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</si>
  <si>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</si>
  <si>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</si>
  <si>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</si>
  <si>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</si>
  <si>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</si>
  <si>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</si>
  <si>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</si>
  <si>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</si>
  <si>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</si>
  <si>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</si>
  <si>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</si>
  <si>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</si>
  <si>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</si>
  <si>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</si>
  <si>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</si>
  <si>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</si>
  <si>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</si>
  <si>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</si>
  <si>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</si>
  <si>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</si>
  <si>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</si>
  <si>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</si>
  <si>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</si>
  <si>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</si>
  <si>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</si>
  <si>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</si>
  <si>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</si>
  <si>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</si>
  <si>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</si>
  <si>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</si>
  <si>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</si>
  <si>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</si>
  <si>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</si>
  <si>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</si>
  <si>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</si>
  <si>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</si>
  <si>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</si>
  <si>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</si>
  <si>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</si>
  <si>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</si>
  <si>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</si>
  <si>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</si>
  <si>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</si>
  <si>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</si>
  <si>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</si>
  <si>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</si>
  <si>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</si>
  <si>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</si>
  <si>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</si>
  <si>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</si>
  <si>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</si>
  <si>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</si>
  <si>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</si>
  <si>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</si>
  <si>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</si>
  <si>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</si>
  <si>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</si>
  <si>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</si>
  <si>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</si>
  <si>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</si>
  <si>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</si>
  <si>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</si>
  <si>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</si>
  <si>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</si>
  <si>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</si>
  <si>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</si>
  <si>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</si>
  <si>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</si>
  <si>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</si>
  <si>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</si>
  <si>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</si>
  <si>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</si>
  <si>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</si>
  <si>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</si>
  <si>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</si>
  <si>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</si>
  <si>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</si>
  <si>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</si>
  <si>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</si>
  <si>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</si>
  <si>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</si>
  <si>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</si>
  <si>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</si>
  <si>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</si>
  <si>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</si>
  <si>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</si>
  <si>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</si>
  <si>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</si>
  <si>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</si>
  <si>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</si>
  <si>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</si>
  <si>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</si>
  <si>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</si>
  <si>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</si>
  <si>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</si>
  <si>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</si>
  <si>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</si>
  <si>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</si>
  <si>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</si>
  <si>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</si>
  <si>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</si>
  <si>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</si>
  <si>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</si>
  <si>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</si>
  <si>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</si>
  <si>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</si>
  <si>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</si>
  <si>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</si>
  <si>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</si>
  <si>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</si>
  <si>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</si>
  <si>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</si>
  <si>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</si>
  <si>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</si>
  <si>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</si>
  <si>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</si>
  <si>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</si>
  <si>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</si>
  <si>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</si>
  <si>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</si>
  <si>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</si>
  <si>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</si>
  <si>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</si>
  <si>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</si>
  <si>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</si>
  <si>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</si>
  <si>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</si>
  <si>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</si>
  <si>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</si>
  <si>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</si>
  <si>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</si>
  <si>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</si>
  <si>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</si>
  <si>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</si>
  <si>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</si>
  <si>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</si>
  <si>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</si>
  <si>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</si>
  <si>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</si>
  <si>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</si>
  <si>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</si>
  <si>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</si>
  <si>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</si>
  <si>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</si>
  <si>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</si>
  <si>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</si>
  <si>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</si>
  <si>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</si>
  <si>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</si>
  <si>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</si>
  <si>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</si>
  <si>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</si>
  <si>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</si>
  <si>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</si>
  <si>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</si>
  <si>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</si>
  <si>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</si>
  <si>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</si>
  <si>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</si>
  <si>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</si>
  <si>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</si>
  <si>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</si>
  <si>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</si>
  <si>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</si>
  <si>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</si>
  <si>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</si>
  <si>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</si>
  <si>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</si>
  <si>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</si>
  <si>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</si>
  <si>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</si>
  <si>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</si>
  <si>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</si>
  <si>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</si>
  <si>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</si>
  <si>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</si>
  <si>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</si>
  <si>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</si>
  <si>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</si>
  <si>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</si>
  <si>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</si>
  <si>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</si>
  <si>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</si>
  <si>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</si>
  <si>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</si>
  <si>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</si>
  <si>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</si>
  <si>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</si>
  <si>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</si>
  <si>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</si>
  <si>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</si>
  <si>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</si>
  <si>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</si>
  <si>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</si>
  <si>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</si>
  <si>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</si>
  <si>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</si>
  <si>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</si>
  <si>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</si>
  <si>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</si>
  <si>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</si>
  <si>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</si>
  <si>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</si>
  <si>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</si>
  <si>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</si>
  <si>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</si>
  <si>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</si>
  <si>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</si>
  <si>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</si>
  <si>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</si>
  <si>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</si>
  <si>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</si>
  <si>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</si>
  <si>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</si>
  <si>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</si>
  <si>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</si>
  <si>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</si>
  <si>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</si>
  <si>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</si>
  <si>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</si>
  <si>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</si>
  <si>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</si>
  <si>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</si>
  <si>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</si>
  <si>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</si>
  <si>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</si>
  <si>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</si>
  <si>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</si>
  <si>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</si>
  <si>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</si>
  <si>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</si>
  <si>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</si>
  <si>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</si>
  <si>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</si>
  <si>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</si>
  <si>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</si>
  <si>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</si>
  <si>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</si>
  <si>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</si>
  <si>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</si>
  <si>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</si>
  <si>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</si>
  <si>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</si>
  <si>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</si>
  <si>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</si>
  <si>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</si>
  <si>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</si>
  <si>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</si>
  <si>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</si>
  <si>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</si>
  <si>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</si>
  <si>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</si>
  <si>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</si>
  <si>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</si>
  <si>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</si>
  <si>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</si>
  <si>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</si>
  <si>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</si>
  <si>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</si>
  <si>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</si>
  <si>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</si>
  <si>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</si>
  <si>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</si>
  <si>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</si>
  <si>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</si>
  <si>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</si>
  <si>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</si>
  <si>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</si>
  <si>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</si>
  <si>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</si>
  <si>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</si>
  <si>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</si>
  <si>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</si>
  <si>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</si>
  <si>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</si>
  <si>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</si>
  <si>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</si>
  <si>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</si>
  <si>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</si>
  <si>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</si>
  <si>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</si>
  <si>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</si>
  <si>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</si>
  <si>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</si>
  <si>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</si>
  <si>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</si>
  <si>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</si>
  <si>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</si>
  <si>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</si>
  <si>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</si>
  <si>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</si>
  <si>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</si>
  <si>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</si>
  <si>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</si>
  <si>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</si>
  <si>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</si>
  <si>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</si>
  <si>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</si>
  <si>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</si>
  <si>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</si>
  <si>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</si>
  <si>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</si>
  <si>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</si>
  <si>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</si>
  <si>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</si>
  <si>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</si>
  <si>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</si>
  <si>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</si>
  <si>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</si>
  <si>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</si>
  <si>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</si>
  <si>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</si>
  <si>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</si>
  <si>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</si>
  <si>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</si>
  <si>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</si>
  <si>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</si>
  <si>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</si>
  <si>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</si>
  <si>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</si>
  <si>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</si>
  <si>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</si>
  <si>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</si>
  <si>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</si>
  <si>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</si>
  <si>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</si>
  <si>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</si>
  <si>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</si>
  <si>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</si>
  <si>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</si>
  <si>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</si>
  <si>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</si>
  <si>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</si>
  <si>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</si>
  <si>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</si>
  <si>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</si>
  <si>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</si>
  <si>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</si>
  <si>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</si>
  <si>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</si>
  <si>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</si>
  <si>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</si>
  <si>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</si>
  <si>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</si>
  <si>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</si>
  <si>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</si>
  <si>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</si>
  <si>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</si>
  <si>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</si>
  <si>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</si>
  <si>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</si>
  <si>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</si>
  <si>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</si>
  <si>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</si>
  <si>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</si>
  <si>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</si>
  <si>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</si>
  <si>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</si>
  <si>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</si>
  <si>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</si>
  <si>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</si>
  <si>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</si>
  <si>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</si>
  <si>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</si>
  <si>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</si>
  <si>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</si>
  <si>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</si>
  <si>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</si>
  <si>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</si>
  <si>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</si>
  <si>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</si>
  <si>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</si>
  <si>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</si>
  <si>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</si>
  <si>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</si>
  <si>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</si>
  <si>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</si>
  <si>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</si>
  <si>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</si>
  <si>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</si>
  <si>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</si>
  <si>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</si>
  <si>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</si>
  <si>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</si>
  <si>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</si>
  <si>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</si>
  <si>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</si>
  <si>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</si>
  <si>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</si>
  <si>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</si>
  <si>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</si>
  <si>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</si>
  <si>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</si>
  <si>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</si>
  <si>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</si>
  <si>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</si>
  <si>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</si>
  <si>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</si>
  <si>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</si>
  <si>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</si>
  <si>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</si>
  <si>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</si>
  <si>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</si>
  <si>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</si>
  <si>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</si>
  <si>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</si>
  <si>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</si>
  <si>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</si>
  <si>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</si>
  <si>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</si>
  <si>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</si>
  <si>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</si>
  <si>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</si>
  <si>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</si>
  <si>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</si>
  <si>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</si>
  <si>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</si>
  <si>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</si>
  <si>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</si>
  <si>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</si>
  <si>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</si>
  <si>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</si>
  <si>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</si>
  <si>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</si>
  <si>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</si>
  <si>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</si>
  <si>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</si>
  <si>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</si>
  <si>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</si>
  <si>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</si>
  <si>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</si>
  <si>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</si>
  <si>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</si>
  <si>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</si>
  <si>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</si>
  <si>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</si>
  <si>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</si>
  <si>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</si>
  <si>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</si>
  <si>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</si>
  <si>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</si>
  <si>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</si>
  <si>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</si>
  <si>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</si>
  <si>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</si>
  <si>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</si>
  <si>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</si>
  <si>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</si>
  <si>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</si>
  <si>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</si>
  <si>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</si>
  <si>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</si>
  <si>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</si>
  <si>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</si>
  <si>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</si>
  <si>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</si>
  <si>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</si>
  <si>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</si>
  <si>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</si>
  <si>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</si>
  <si>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</si>
  <si>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</si>
  <si>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</si>
  <si>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</si>
  <si>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</si>
  <si>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</si>
  <si>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</si>
  <si>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</si>
  <si>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</si>
  <si>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</si>
  <si>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</si>
  <si>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</si>
  <si>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</si>
  <si>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</si>
  <si>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</si>
  <si>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</si>
  <si>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</si>
  <si>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</si>
  <si>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</si>
  <si>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</si>
  <si>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</si>
  <si>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</si>
  <si>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</si>
  <si>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</si>
  <si>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</si>
  <si>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</si>
  <si>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</si>
  <si>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</si>
  <si>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</si>
  <si>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</si>
  <si>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</si>
  <si>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</si>
  <si>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</si>
  <si>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</si>
  <si>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</si>
  <si>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</si>
  <si>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</si>
  <si>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</si>
  <si>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</si>
  <si>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</si>
  <si>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</si>
  <si>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</si>
  <si>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</si>
  <si>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</si>
  <si>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</si>
  <si>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</si>
  <si>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</si>
  <si>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</si>
  <si>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</si>
  <si>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</si>
  <si>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</si>
  <si>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</si>
  <si>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</si>
  <si>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</si>
  <si>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</si>
  <si>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</si>
  <si>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</si>
  <si>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</si>
  <si>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</si>
  <si>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</si>
  <si>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</si>
  <si>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</si>
  <si>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</si>
  <si>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</si>
  <si>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</si>
  <si>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</si>
  <si>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</si>
  <si>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</si>
  <si>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</si>
  <si>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</si>
  <si>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</si>
  <si>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</si>
  <si>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</si>
  <si>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</si>
  <si>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</si>
  <si>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</si>
  <si>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</si>
  <si>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</si>
  <si>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</si>
  <si>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</si>
  <si>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</si>
  <si>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</si>
  <si>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</si>
  <si>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</si>
  <si>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</si>
  <si>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</si>
  <si>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</si>
  <si>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</si>
  <si>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</si>
  <si>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</si>
  <si>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</si>
  <si>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</si>
  <si>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</si>
  <si>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</si>
  <si>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</si>
  <si>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</si>
  <si>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</si>
  <si>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</si>
  <si>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</si>
  <si>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</si>
  <si>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</si>
  <si>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</si>
  <si>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</si>
  <si>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</si>
  <si>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</si>
  <si>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</si>
  <si>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</si>
  <si>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</si>
  <si>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</si>
  <si>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</si>
  <si>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</si>
  <si>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</si>
  <si>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</si>
  <si>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</si>
  <si>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</si>
  <si>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</si>
  <si>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</si>
  <si>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</si>
  <si>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</si>
  <si>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</si>
  <si>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</si>
  <si>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</si>
  <si>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</si>
  <si>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</si>
  <si>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</si>
  <si>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</si>
  <si>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</si>
  <si>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</si>
  <si>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</si>
  <si>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</si>
  <si>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</si>
  <si>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</si>
  <si>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</si>
  <si>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</si>
  <si>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</si>
  <si>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</si>
  <si>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</si>
  <si>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</si>
  <si>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</si>
  <si>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</si>
  <si>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</si>
  <si>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</si>
  <si>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</si>
  <si>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</si>
  <si>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</si>
  <si>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</si>
  <si>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</si>
  <si>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</si>
  <si>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</si>
  <si>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</si>
  <si>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</si>
  <si>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</si>
  <si>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</si>
  <si>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</si>
  <si>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</si>
  <si>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</si>
  <si>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</si>
  <si>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</si>
  <si>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</si>
  <si>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</si>
  <si>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</si>
  <si>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</si>
  <si>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</si>
  <si>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</si>
  <si>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</si>
  <si>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</si>
  <si>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</si>
  <si>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</si>
  <si>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</si>
  <si>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</si>
  <si>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</si>
  <si>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</si>
  <si>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</si>
  <si>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</si>
  <si>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</si>
  <si>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</si>
  <si>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</si>
  <si>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</si>
  <si>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</si>
  <si>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</si>
  <si>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</si>
  <si>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</si>
  <si>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</si>
  <si>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</si>
  <si>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</si>
  <si>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</si>
  <si>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</si>
  <si>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</si>
  <si>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</si>
  <si>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</si>
  <si>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</si>
  <si>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</si>
  <si>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</si>
  <si>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</si>
  <si>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</si>
  <si>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</si>
  <si>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</si>
  <si>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</si>
  <si>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</si>
  <si>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</si>
  <si>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</si>
  <si>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</si>
  <si>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</si>
  <si>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</si>
  <si>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</si>
  <si>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</si>
  <si>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</si>
  <si>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</si>
  <si>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</si>
  <si>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</si>
  <si>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</si>
  <si>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</si>
  <si>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</si>
  <si>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</si>
  <si>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</si>
  <si>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</si>
  <si>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</si>
  <si>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</si>
  <si>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</si>
  <si>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</si>
  <si>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</si>
  <si>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</si>
  <si>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</si>
  <si>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</si>
  <si>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</si>
  <si>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</si>
  <si>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</si>
  <si>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</si>
  <si>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</si>
  <si>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</si>
  <si>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</si>
  <si>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</si>
  <si>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</si>
  <si>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</si>
  <si>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</si>
  <si>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</si>
  <si>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</si>
  <si>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</si>
  <si>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</si>
  <si>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</si>
  <si>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</si>
  <si>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</si>
  <si>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</si>
  <si>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</si>
  <si>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</si>
  <si>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</si>
  <si>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</si>
  <si>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</si>
  <si>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</si>
  <si>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</si>
  <si>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</si>
  <si>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</si>
  <si>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</si>
  <si>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</si>
  <si>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</si>
  <si>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</si>
  <si>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</si>
  <si>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</si>
  <si>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</si>
  <si>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</si>
  <si>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</si>
  <si>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</si>
  <si>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</si>
  <si>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</si>
  <si>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</si>
  <si>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</si>
  <si>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</si>
  <si>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</si>
  <si>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</si>
  <si>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</si>
  <si>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</si>
  <si>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</si>
  <si>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</si>
  <si>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</si>
  <si>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</si>
  <si>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</si>
  <si>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</si>
  <si>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</si>
  <si>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</si>
  <si>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</si>
  <si>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</si>
  <si>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</si>
  <si>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</si>
  <si>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</si>
  <si>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</si>
  <si>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</si>
  <si>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</si>
  <si>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</si>
  <si>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</si>
  <si>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</si>
  <si>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</si>
  <si>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</si>
  <si>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</si>
  <si>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</si>
  <si>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</si>
  <si>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</si>
  <si>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</si>
  <si>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</si>
  <si>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</si>
  <si>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</si>
  <si>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</si>
  <si>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</si>
  <si>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</si>
  <si>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</si>
  <si>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</si>
  <si>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</si>
  <si>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</si>
  <si>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</si>
  <si>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</si>
  <si>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</si>
  <si>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</si>
  <si>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</si>
  <si>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</si>
  <si>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</si>
  <si>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</si>
  <si>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</si>
  <si>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</si>
  <si>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</si>
  <si>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</si>
  <si>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</si>
  <si>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</si>
  <si>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</si>
  <si>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</si>
  <si>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</si>
  <si>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</si>
  <si>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</si>
  <si>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</si>
  <si>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</si>
  <si>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</si>
  <si>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</si>
  <si>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</si>
  <si>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</si>
  <si>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</si>
  <si>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</si>
  <si>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</si>
  <si>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</si>
  <si>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</si>
  <si>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</si>
  <si>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</si>
  <si>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</si>
  <si>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</si>
  <si>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</si>
  <si>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</si>
  <si>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</si>
  <si>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</si>
  <si>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</si>
  <si>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</si>
  <si>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</si>
  <si>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</si>
  <si>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</si>
  <si>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</si>
  <si>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</si>
  <si>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</si>
  <si>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</si>
  <si>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</si>
  <si>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</si>
  <si>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</si>
  <si>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</si>
  <si>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</si>
  <si>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</si>
  <si>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</si>
  <si>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</si>
  <si>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</si>
  <si>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</si>
  <si>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</si>
  <si>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</si>
  <si>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</si>
  <si>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</si>
  <si>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</si>
  <si>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</si>
  <si>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</si>
  <si>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</si>
  <si>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</si>
  <si>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</si>
  <si>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</si>
  <si>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</si>
  <si>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</si>
  <si>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</si>
  <si>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</si>
  <si>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</si>
  <si>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</si>
  <si>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</si>
  <si>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</si>
  <si>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</si>
  <si>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</si>
  <si>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</si>
  <si>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</si>
  <si>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</si>
  <si>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</si>
  <si>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</si>
  <si>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</si>
  <si>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</si>
  <si>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</si>
  <si>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</si>
  <si>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</si>
  <si>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</si>
  <si>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</si>
  <si>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</si>
  <si>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</si>
  <si>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</si>
  <si>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</si>
  <si>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</si>
  <si>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</si>
  <si>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</si>
  <si>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</si>
  <si>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</si>
  <si>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</si>
  <si>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</si>
  <si>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</si>
  <si>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</si>
  <si>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</si>
  <si>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</si>
  <si>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</si>
  <si>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</si>
  <si>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</si>
  <si>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</si>
  <si>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</si>
  <si>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</si>
  <si>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</si>
  <si>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</si>
  <si>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</si>
  <si>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</si>
  <si>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</si>
  <si>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</si>
  <si>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</si>
  <si>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</si>
  <si>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</si>
  <si>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</si>
  <si>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</si>
  <si>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</si>
  <si>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</si>
  <si>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</si>
  <si>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</si>
  <si>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</si>
  <si>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</si>
  <si>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</si>
  <si>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</si>
  <si>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</si>
  <si>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</si>
  <si>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</si>
  <si>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</si>
  <si>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</si>
  <si>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</si>
  <si>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</si>
  <si>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</si>
  <si>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</si>
  <si>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</si>
  <si>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</si>
  <si>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</si>
  <si>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</si>
  <si>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</si>
  <si>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</si>
  <si>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</si>
  <si>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</si>
  <si>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</si>
  <si>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</si>
  <si>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</si>
  <si>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</si>
  <si>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</si>
  <si>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</si>
  <si>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</si>
  <si>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</si>
  <si>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</si>
  <si>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</si>
  <si>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</si>
  <si>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</si>
  <si>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</si>
  <si>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</si>
  <si>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</si>
  <si>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</si>
  <si>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</si>
  <si>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</si>
  <si>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</si>
  <si>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</si>
  <si>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</si>
  <si>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</si>
  <si>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</si>
  <si>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</si>
  <si>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</si>
  <si>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</si>
  <si>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</si>
  <si>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</si>
  <si>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</si>
  <si>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</si>
  <si>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</si>
  <si>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</si>
  <si>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</si>
  <si>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</si>
  <si>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</si>
  <si>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</si>
  <si>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</si>
  <si>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</si>
  <si>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</si>
  <si>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</si>
  <si>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</si>
  <si>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</si>
  <si>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</si>
  <si>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</si>
  <si>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</si>
  <si>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</si>
  <si>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</si>
  <si>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</si>
  <si>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</si>
  <si>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</si>
  <si>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</si>
  <si>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</si>
  <si>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</si>
  <si>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</si>
  <si>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</si>
  <si>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</si>
  <si>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</si>
  <si>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</si>
  <si>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</si>
  <si>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</si>
  <si>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</si>
  <si>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</si>
  <si>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</si>
  <si>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</si>
  <si>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</si>
  <si>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</si>
  <si>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</si>
  <si>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</si>
  <si>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</si>
  <si>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</si>
  <si>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</si>
  <si>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</si>
  <si>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</si>
  <si>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</si>
  <si>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</si>
  <si>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</si>
  <si>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</si>
  <si>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</si>
  <si>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</si>
  <si>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</si>
  <si>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</si>
  <si>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</si>
  <si>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</si>
  <si>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</si>
  <si>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</si>
  <si>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</si>
  <si>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</si>
  <si>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</si>
  <si>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</si>
  <si>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</si>
  <si>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</si>
  <si>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</si>
  <si>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</si>
  <si>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</si>
  <si>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</si>
  <si>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</si>
  <si>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</si>
  <si>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</si>
  <si>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</si>
  <si>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</si>
  <si>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</si>
  <si>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</si>
  <si>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</si>
  <si>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</si>
  <si>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</si>
  <si>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</si>
  <si>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</si>
  <si>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</si>
  <si>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</si>
  <si>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</si>
  <si>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</si>
  <si>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</si>
  <si>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</si>
  <si>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</si>
  <si>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</si>
  <si>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</si>
  <si>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</si>
  <si>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</si>
  <si>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</si>
  <si>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</si>
  <si>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</si>
  <si>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</si>
  <si>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</si>
  <si>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</si>
  <si>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</si>
  <si>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</si>
  <si>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</si>
  <si>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</si>
  <si>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</si>
  <si>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</si>
  <si>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</si>
  <si>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</si>
  <si>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</si>
  <si>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</si>
  <si>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</si>
  <si>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</si>
  <si>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</si>
  <si>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</si>
  <si>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</si>
  <si>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</si>
  <si>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</si>
  <si>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</si>
  <si>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</si>
  <si>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</si>
  <si>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</si>
  <si>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</si>
  <si>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</si>
  <si>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</si>
  <si>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</si>
  <si>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</si>
  <si>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</si>
  <si>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</si>
  <si>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</si>
  <si>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</si>
  <si>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</si>
  <si>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</si>
  <si>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</si>
  <si>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</si>
  <si>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</si>
  <si>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</si>
  <si>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</si>
  <si>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</si>
  <si>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</si>
  <si>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</si>
  <si>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</si>
  <si>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</si>
  <si>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</si>
  <si>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</si>
  <si>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</si>
  <si>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</si>
  <si>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</si>
  <si>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</si>
  <si>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</si>
  <si>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</si>
  <si>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</si>
  <si>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</si>
  <si>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</si>
  <si>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</si>
  <si>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</si>
  <si>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</si>
  <si>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</si>
  <si>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</si>
  <si>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</si>
  <si>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</si>
  <si>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</si>
  <si>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</si>
  <si>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</si>
  <si>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</si>
  <si>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</si>
  <si>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</si>
  <si>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</si>
  <si>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</si>
  <si>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</si>
  <si>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</si>
  <si>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</si>
  <si>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</si>
  <si>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</si>
  <si>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</si>
  <si>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</si>
  <si>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</si>
  <si>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</si>
  <si>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</si>
  <si>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</si>
  <si>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</si>
  <si>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</si>
  <si>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</si>
  <si>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</si>
  <si>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</si>
  <si>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</si>
  <si>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</si>
  <si>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</si>
  <si>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</si>
  <si>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</si>
  <si>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</si>
  <si>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</si>
  <si>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</si>
  <si>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</si>
  <si>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</si>
  <si>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</si>
  <si>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</si>
  <si>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</si>
  <si>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</si>
  <si>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</si>
  <si>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</si>
  <si>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</si>
  <si>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</si>
  <si>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</si>
  <si>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</si>
  <si>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</si>
  <si>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</si>
  <si>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</si>
  <si>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</si>
  <si>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</si>
  <si>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</si>
  <si>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</si>
  <si>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</si>
  <si>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</si>
  <si>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</si>
  <si>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</si>
  <si>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</si>
  <si>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</si>
  <si>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</si>
  <si>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</si>
  <si>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</si>
  <si>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</si>
  <si>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</si>
  <si>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</si>
  <si>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</si>
  <si>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</si>
  <si>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</si>
  <si>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</si>
  <si>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</si>
  <si>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</si>
  <si>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</si>
  <si>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</si>
  <si>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</si>
  <si>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</si>
  <si>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</si>
  <si>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</si>
  <si>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</si>
  <si>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</si>
  <si>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</si>
  <si>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</si>
  <si>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</si>
  <si>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</si>
  <si>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</si>
  <si>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</si>
  <si>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</si>
  <si>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</si>
  <si>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</si>
  <si>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</si>
  <si>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</si>
  <si>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</si>
  <si>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</si>
  <si>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</si>
  <si>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</si>
  <si>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</si>
  <si>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</si>
  <si>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</si>
  <si>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</si>
  <si>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</si>
  <si>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</si>
  <si>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</si>
  <si>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</si>
  <si>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</si>
  <si>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</si>
  <si>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</si>
  <si>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</si>
  <si>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</si>
  <si>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</si>
  <si>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</si>
  <si>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</si>
  <si>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</si>
  <si>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</si>
  <si>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</si>
  <si>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</si>
  <si>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</si>
  <si>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</si>
  <si>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</si>
  <si>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</si>
  <si>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</si>
  <si>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</si>
  <si>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</si>
  <si>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</si>
  <si>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</si>
  <si>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</si>
  <si>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</si>
  <si>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</si>
  <si>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</si>
  <si>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</si>
  <si>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</si>
  <si>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</si>
  <si>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</si>
  <si>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</si>
  <si>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</si>
  <si>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</si>
  <si>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</si>
  <si>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</si>
  <si>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</si>
  <si>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</si>
  <si>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</si>
  <si>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</si>
  <si>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</si>
  <si>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</si>
  <si>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</si>
  <si>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</si>
  <si>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</si>
  <si>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</si>
  <si>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</si>
  <si>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</si>
  <si>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</si>
  <si>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</si>
  <si>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</si>
  <si>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</si>
  <si>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</si>
  <si>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</si>
  <si>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</si>
  <si>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</si>
  <si>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</si>
  <si>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</si>
  <si>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</si>
  <si>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</si>
  <si>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</si>
  <si>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</si>
  <si>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</si>
  <si>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</si>
  <si>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</si>
  <si>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</si>
  <si>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</si>
  <si>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</si>
  <si>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</si>
  <si>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</si>
  <si>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</si>
  <si>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</si>
  <si>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</si>
  <si>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</si>
  <si>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</si>
  <si>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</si>
  <si>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</si>
  <si>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</si>
  <si>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</si>
  <si>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</si>
  <si>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</si>
  <si>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</si>
  <si>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</si>
  <si>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</si>
  <si>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</si>
  <si>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</si>
  <si>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</si>
  <si>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</si>
  <si>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</si>
  <si>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</si>
  <si>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</si>
  <si>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</si>
  <si>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</si>
  <si>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</si>
  <si>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</si>
  <si>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</si>
  <si>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</si>
  <si>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</si>
  <si>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</si>
  <si>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</si>
  <si>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</si>
  <si>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</si>
  <si>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</si>
  <si>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</si>
  <si>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</si>
  <si>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</si>
  <si>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</si>
  <si>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</si>
  <si>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</si>
  <si>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</si>
  <si>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</si>
  <si>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</si>
  <si>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</si>
  <si>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</si>
  <si>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</si>
  <si>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</si>
  <si>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</si>
  <si>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</si>
  <si>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</si>
  <si>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</si>
  <si>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</si>
  <si>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</si>
  <si>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</si>
  <si>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</si>
  <si>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</si>
  <si>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</si>
  <si>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</si>
  <si>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</si>
  <si>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</si>
  <si>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</si>
  <si>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</si>
  <si>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</si>
  <si>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</si>
  <si>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</si>
  <si>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</si>
  <si>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</si>
  <si>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</si>
  <si>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</si>
  <si>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</si>
  <si>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</si>
  <si>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</si>
  <si>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</si>
  <si>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</si>
  <si>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</si>
  <si>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</si>
  <si>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</si>
  <si>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</si>
  <si>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</si>
  <si>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</si>
  <si>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</si>
  <si>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</si>
  <si>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</si>
  <si>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</si>
  <si>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</si>
  <si>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</si>
  <si>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</si>
  <si>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</si>
  <si>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</si>
  <si>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</si>
  <si>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</si>
  <si>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</si>
  <si>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</si>
  <si>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</si>
  <si>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</si>
  <si>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</si>
  <si>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</si>
  <si>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</si>
  <si>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</si>
  <si>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</si>
  <si>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</si>
  <si>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</si>
  <si>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</si>
  <si>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</si>
  <si>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</si>
  <si>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</si>
  <si>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</si>
  <si>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</si>
  <si>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</si>
  <si>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</si>
  <si>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</si>
  <si>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</si>
  <si>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</si>
  <si>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</si>
  <si>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</si>
  <si>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</si>
  <si>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</si>
  <si>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</si>
  <si>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</si>
  <si>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</si>
  <si>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</si>
  <si>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</si>
  <si>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</si>
  <si>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</si>
  <si>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</si>
  <si>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</si>
  <si>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</si>
  <si>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</si>
  <si>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</si>
  <si>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</si>
  <si>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</si>
  <si>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</si>
  <si>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</si>
  <si>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</si>
  <si>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</si>
  <si>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</si>
  <si>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</si>
  <si>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</si>
  <si>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</si>
  <si>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</si>
  <si>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</si>
  <si>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</si>
  <si>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</si>
  <si>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</si>
  <si>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</si>
  <si>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</si>
  <si>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</si>
  <si>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</si>
  <si>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</si>
  <si>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</si>
  <si>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</si>
  <si>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</si>
  <si>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</si>
  <si>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</si>
  <si>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</si>
  <si>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</si>
  <si>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</si>
  <si>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</si>
  <si>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</si>
  <si>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</si>
  <si>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</si>
  <si>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</si>
  <si>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</si>
  <si>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</si>
  <si>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</si>
  <si>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</si>
  <si>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</si>
  <si>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</si>
  <si>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</si>
  <si>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</si>
  <si>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</si>
  <si>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</si>
  <si>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</si>
  <si>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</si>
  <si>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</si>
  <si>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</si>
  <si>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</si>
  <si>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</si>
  <si>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</si>
  <si>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</si>
  <si>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</si>
  <si>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</si>
  <si>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</si>
  <si>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</si>
  <si>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</si>
  <si>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</si>
  <si>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</si>
  <si>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</si>
  <si>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</si>
  <si>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</si>
  <si>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</si>
  <si>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</si>
  <si>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</si>
  <si>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</si>
  <si>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</si>
  <si>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</si>
  <si>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</si>
  <si>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</si>
  <si>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</si>
  <si>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</si>
  <si>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</si>
  <si>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</si>
  <si>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</si>
  <si>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</si>
  <si>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</si>
  <si>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</si>
  <si>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</si>
  <si>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</si>
  <si>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</si>
  <si>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</si>
  <si>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</si>
  <si>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</si>
  <si>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</si>
  <si>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</si>
  <si>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</si>
  <si>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</si>
  <si>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</si>
  <si>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</si>
  <si>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</si>
  <si>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</si>
  <si>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</si>
  <si>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</si>
  <si>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</si>
  <si>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</si>
  <si>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</si>
  <si>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</si>
  <si>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</si>
  <si>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</si>
  <si>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</si>
  <si>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</si>
  <si>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</si>
  <si>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</si>
  <si>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</si>
  <si>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</si>
  <si>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</si>
  <si>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</si>
  <si>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</si>
  <si>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</si>
  <si>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</si>
  <si>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</si>
  <si>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</si>
  <si>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</si>
  <si>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</si>
  <si>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</si>
  <si>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</si>
  <si>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</si>
  <si>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</si>
  <si>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</si>
  <si>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</si>
  <si>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</si>
  <si>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</si>
  <si>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</si>
  <si>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</si>
  <si>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</si>
  <si>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</si>
  <si>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</si>
  <si>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</si>
  <si>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</si>
  <si>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</si>
  <si>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</si>
  <si>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</si>
  <si>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</si>
  <si>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</si>
  <si>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</si>
  <si>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</si>
  <si>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</si>
  <si>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</si>
  <si>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</si>
  <si>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</si>
  <si>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</si>
  <si>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</si>
  <si>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</si>
  <si>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</si>
  <si>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</si>
  <si>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</si>
  <si>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</si>
  <si>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</si>
  <si>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</si>
  <si>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</si>
  <si>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</si>
  <si>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</si>
  <si>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</si>
  <si>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</si>
  <si>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</si>
  <si>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</si>
  <si>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</si>
  <si>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</si>
  <si>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</si>
  <si>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</si>
  <si>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</si>
  <si>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</si>
  <si>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</si>
  <si>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</si>
  <si>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</si>
  <si>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</si>
  <si>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</si>
  <si>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</si>
  <si>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</si>
  <si>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</si>
  <si>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</si>
  <si>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</si>
  <si>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</si>
  <si>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</si>
  <si>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</si>
  <si>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</si>
  <si>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</si>
  <si>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</si>
  <si>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</si>
  <si>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</si>
  <si>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</si>
  <si>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</si>
  <si>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</si>
  <si>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</si>
  <si>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</si>
  <si>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</si>
  <si>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</si>
  <si>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</si>
  <si>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</si>
  <si>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</si>
  <si>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</si>
  <si>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</si>
  <si>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</si>
  <si>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</si>
  <si>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</si>
  <si>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</si>
  <si>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</si>
  <si>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</si>
  <si>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</si>
  <si>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</si>
  <si>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</si>
  <si>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</si>
  <si>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</si>
  <si>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</si>
  <si>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</si>
  <si>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</si>
  <si>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</si>
  <si>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</si>
  <si>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</si>
  <si>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</si>
  <si>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</si>
  <si>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</si>
  <si>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</si>
  <si>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</si>
  <si>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</si>
  <si>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</si>
  <si>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</si>
  <si>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</si>
  <si>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</si>
  <si>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</si>
  <si>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</si>
  <si>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</si>
  <si>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</si>
  <si>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</si>
  <si>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</si>
  <si>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</si>
  <si>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</si>
  <si>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</si>
  <si>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</si>
  <si>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</si>
  <si>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</si>
  <si>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</si>
  <si>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</si>
  <si>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</si>
  <si>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</si>
  <si>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</si>
  <si>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</si>
  <si>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</si>
  <si>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</si>
  <si>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</si>
  <si>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</si>
  <si>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</si>
  <si>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</si>
  <si>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</si>
  <si>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</si>
  <si>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</si>
  <si>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</si>
  <si>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</si>
  <si>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</si>
  <si>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</si>
  <si>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</si>
  <si>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</si>
  <si>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</si>
  <si>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</si>
  <si>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</si>
  <si>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</si>
  <si>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</si>
  <si>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</si>
  <si>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</si>
  <si>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</si>
  <si>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</si>
  <si>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</si>
  <si>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</si>
  <si>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</si>
  <si>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</si>
  <si>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</si>
  <si>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</si>
  <si>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</si>
  <si>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</si>
  <si>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</si>
  <si>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</si>
  <si>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</si>
  <si>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</si>
  <si>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</si>
  <si>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</si>
  <si>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</si>
  <si>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</si>
  <si>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</si>
  <si>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</si>
  <si>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</si>
  <si>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</si>
  <si>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</si>
  <si>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</si>
  <si>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</si>
  <si>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</si>
  <si>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</si>
  <si>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</si>
  <si>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</si>
  <si>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</si>
  <si>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</si>
  <si>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</si>
  <si>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</si>
  <si>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</si>
  <si>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</si>
  <si>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</si>
  <si>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</si>
  <si>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</si>
  <si>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</si>
  <si>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</si>
  <si>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</si>
  <si>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</si>
  <si>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</si>
  <si>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</si>
  <si>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</si>
  <si>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</si>
  <si>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</si>
  <si>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</si>
  <si>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</si>
  <si>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</si>
  <si>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</si>
  <si>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</si>
  <si>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</si>
  <si>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</si>
  <si>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</si>
  <si>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</si>
  <si>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</si>
  <si>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</si>
  <si>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</si>
  <si>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</si>
  <si>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</si>
  <si>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</si>
  <si>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</si>
  <si>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</si>
  <si>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</si>
  <si>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</si>
  <si>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</si>
  <si>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</si>
  <si>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</si>
  <si>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</si>
  <si>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</si>
  <si>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</si>
  <si>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</si>
  <si>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</si>
  <si>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</si>
  <si>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</si>
  <si>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</si>
  <si>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</si>
  <si>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</si>
  <si>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</si>
  <si>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</si>
  <si>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</si>
  <si>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</si>
  <si>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</si>
  <si>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</si>
  <si>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</si>
  <si>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</si>
  <si>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</si>
  <si>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</si>
  <si>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</si>
  <si>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</si>
  <si>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</si>
  <si>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</si>
  <si>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</si>
  <si>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</si>
  <si>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</si>
  <si>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</si>
  <si>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</si>
  <si>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</si>
  <si>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</si>
  <si>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</si>
  <si>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</si>
  <si>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</si>
  <si>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</si>
  <si>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</si>
  <si>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</si>
  <si>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</si>
  <si>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</si>
  <si>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</si>
  <si>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</si>
  <si>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</si>
  <si>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</si>
  <si>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</si>
  <si>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</si>
  <si>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</si>
  <si>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</si>
  <si>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</si>
  <si>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</si>
  <si>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</si>
  <si>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</si>
  <si>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</si>
  <si>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</si>
  <si>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</si>
  <si>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</si>
  <si>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</si>
  <si>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</si>
  <si>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</si>
  <si>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</si>
  <si>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</si>
  <si>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</si>
  <si>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</si>
  <si>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</si>
  <si>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</si>
  <si>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</si>
  <si>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</si>
  <si>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</si>
  <si>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</si>
  <si>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</si>
  <si>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</si>
  <si>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</si>
  <si>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</si>
  <si>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</si>
  <si>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</si>
  <si>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</si>
  <si>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</si>
  <si>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</si>
  <si>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</si>
  <si>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</si>
  <si>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</si>
  <si>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</si>
  <si>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</si>
  <si>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</si>
  <si>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</si>
  <si>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</si>
  <si>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</si>
  <si>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</si>
  <si>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</si>
  <si>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</si>
  <si>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</si>
  <si>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</si>
  <si>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</si>
  <si>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</si>
  <si>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</si>
  <si>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</si>
  <si>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</si>
  <si>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</si>
  <si>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</si>
  <si>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</si>
  <si>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</si>
  <si>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</si>
  <si>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</si>
  <si>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</si>
  <si>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</si>
  <si>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</si>
  <si>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</si>
  <si>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</si>
  <si>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</si>
  <si>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</si>
  <si>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</si>
  <si>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</si>
  <si>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</si>
  <si>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</si>
  <si>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</si>
  <si>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</si>
  <si>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</si>
  <si>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</si>
  <si>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</si>
  <si>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</si>
  <si>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</si>
  <si>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</si>
  <si>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</si>
  <si>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</si>
  <si>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</si>
  <si>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</si>
  <si>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</si>
  <si>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</si>
  <si>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</si>
  <si>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</si>
  <si>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</si>
  <si>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</si>
  <si>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</si>
  <si>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</si>
  <si>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</si>
  <si>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</si>
  <si>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</si>
  <si>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</si>
  <si>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</si>
  <si>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</si>
  <si>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</si>
  <si>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</si>
  <si>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</si>
  <si>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</si>
  <si>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</si>
  <si>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</si>
  <si>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</si>
  <si>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</si>
  <si>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</si>
  <si>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</si>
  <si>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</si>
  <si>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</si>
  <si>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</si>
  <si>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</si>
  <si>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</si>
  <si>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</si>
  <si>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</si>
  <si>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</si>
  <si>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</si>
  <si>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</si>
  <si>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</si>
  <si>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</si>
  <si>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</si>
  <si>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</si>
  <si>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</si>
  <si>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</si>
  <si>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</si>
  <si>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</si>
  <si>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</si>
  <si>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</si>
  <si>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</si>
  <si>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</si>
  <si>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</si>
  <si>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</si>
  <si>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</si>
  <si>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</si>
  <si>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</si>
  <si>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</si>
  <si>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</si>
  <si>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</si>
  <si>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</si>
  <si>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</si>
  <si>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</si>
  <si>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</si>
  <si>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</si>
  <si>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</si>
  <si>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</si>
  <si>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</si>
  <si>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</si>
  <si>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</si>
  <si>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</si>
  <si>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</si>
  <si>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</si>
  <si>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</si>
  <si>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</si>
  <si>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</si>
  <si>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</si>
  <si>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</si>
  <si>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</si>
  <si>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</si>
  <si>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</si>
  <si>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</si>
  <si>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</si>
  <si>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</si>
  <si>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</si>
  <si>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</si>
  <si>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</si>
  <si>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</si>
  <si>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</si>
  <si>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</si>
  <si>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</si>
  <si>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</si>
  <si>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</si>
  <si>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</si>
  <si>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</si>
  <si>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</si>
  <si>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</si>
  <si>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</si>
  <si>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</si>
  <si>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</si>
  <si>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</si>
  <si>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</si>
  <si>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</si>
  <si>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</si>
  <si>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</si>
  <si>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</si>
  <si>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</si>
  <si>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</si>
  <si>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</si>
  <si>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</si>
  <si>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</si>
  <si>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</si>
  <si>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</si>
  <si>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</si>
  <si>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</si>
  <si>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</si>
  <si>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</si>
  <si>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</si>
  <si>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</si>
  <si>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</si>
  <si>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</si>
  <si>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</si>
  <si>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</si>
  <si>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</si>
  <si>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</si>
  <si>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</si>
  <si>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</si>
  <si>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</si>
  <si>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</si>
  <si>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</si>
  <si>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</si>
  <si>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</si>
  <si>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</si>
  <si>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</si>
  <si>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</si>
  <si>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</si>
  <si>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</si>
  <si>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</si>
  <si>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</si>
  <si>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</si>
  <si>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</si>
  <si>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</si>
  <si>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</si>
  <si>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</si>
  <si>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</si>
  <si>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</si>
  <si>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</si>
  <si>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</si>
  <si>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</si>
  <si>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</si>
  <si>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</si>
  <si>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</si>
  <si>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</si>
  <si>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</si>
  <si>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</si>
  <si>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</si>
  <si>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</si>
  <si>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</si>
  <si>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</si>
  <si>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</si>
  <si>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</si>
  <si>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</si>
  <si>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</si>
  <si>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</si>
  <si>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</si>
  <si>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</si>
  <si>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</si>
  <si>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</si>
  <si>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</si>
  <si>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</si>
  <si>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</si>
  <si>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</si>
  <si>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</si>
  <si>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</si>
  <si>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</si>
  <si>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</si>
  <si>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</si>
  <si>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</si>
  <si>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</si>
  <si>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</si>
  <si>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</si>
  <si>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</si>
  <si>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</si>
  <si>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</si>
  <si>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</si>
  <si>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</si>
  <si>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</si>
  <si>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</si>
  <si>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</si>
  <si>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</si>
  <si>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</si>
  <si>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</si>
  <si>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</si>
  <si>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</si>
  <si>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</si>
  <si>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</si>
  <si>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</si>
  <si>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</si>
  <si>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</si>
  <si>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</si>
  <si>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</si>
  <si>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</si>
  <si>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</si>
  <si>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</si>
  <si>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</si>
  <si>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</si>
  <si>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</si>
  <si>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</si>
  <si>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</si>
  <si>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</si>
  <si>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</si>
  <si>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</si>
  <si>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</si>
  <si>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</si>
  <si>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</si>
  <si>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</si>
  <si>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</si>
  <si>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</si>
  <si>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</si>
  <si>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</si>
  <si>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</si>
  <si>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</si>
  <si>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</si>
  <si>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</si>
  <si>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</si>
  <si>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</si>
  <si>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</si>
  <si>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</si>
  <si>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</si>
  <si>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</si>
  <si>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</si>
  <si>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</si>
  <si>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</si>
  <si>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</si>
  <si>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</si>
  <si>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</si>
  <si>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</si>
  <si>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</si>
  <si>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</si>
  <si>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</si>
  <si>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</si>
  <si>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</si>
  <si>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</si>
  <si>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</si>
  <si>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</si>
  <si>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</si>
  <si>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</si>
  <si>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</si>
  <si>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</si>
  <si>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</si>
  <si>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</si>
  <si>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</si>
  <si>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</si>
  <si>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</si>
  <si>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</si>
  <si>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</si>
  <si>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</si>
  <si>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</si>
  <si>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</si>
  <si>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</si>
  <si>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</si>
  <si>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</si>
  <si>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</si>
  <si>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</si>
  <si>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</si>
  <si>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</si>
  <si>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</si>
  <si>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</si>
  <si>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</si>
  <si>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</si>
  <si>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</si>
  <si>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</si>
  <si>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</si>
  <si>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</si>
  <si>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</si>
  <si>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</si>
  <si>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</si>
  <si>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</si>
  <si>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</si>
  <si>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</si>
  <si>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</si>
  <si>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</si>
  <si>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</si>
  <si>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</si>
  <si>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</si>
  <si>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</si>
  <si>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</si>
  <si>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</si>
  <si>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</si>
  <si>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</si>
  <si>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</si>
  <si>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</si>
  <si>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</si>
  <si>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</si>
  <si>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</si>
  <si>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</si>
  <si>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</si>
  <si>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</si>
  <si>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</si>
  <si>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</si>
  <si>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</si>
  <si>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</si>
  <si>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</si>
  <si>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</si>
  <si>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</si>
  <si>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</si>
  <si>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</si>
  <si>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</si>
  <si>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</si>
  <si>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</si>
  <si>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</si>
  <si>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</si>
  <si>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</si>
  <si>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</si>
  <si>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</si>
  <si>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</si>
  <si>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</si>
  <si>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</si>
  <si>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</si>
  <si>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</si>
  <si>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</si>
  <si>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</si>
  <si>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</si>
  <si>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</si>
  <si>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</si>
  <si>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</si>
  <si>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</si>
  <si>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</si>
  <si>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</si>
  <si>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</si>
  <si>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</si>
  <si>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</si>
  <si>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</si>
  <si>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</si>
  <si>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</si>
  <si>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</si>
  <si>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</si>
  <si>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</si>
  <si>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</si>
  <si>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</si>
  <si>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</si>
  <si>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</si>
  <si>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</si>
  <si>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</si>
  <si>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</si>
  <si>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</si>
  <si>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</si>
  <si>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</si>
  <si>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</si>
  <si>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</si>
  <si>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</si>
  <si>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</si>
  <si>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</si>
  <si>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</si>
  <si>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</si>
  <si>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</si>
  <si>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</si>
  <si>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</si>
  <si>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</si>
  <si>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</si>
  <si>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</si>
  <si>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</si>
  <si>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</si>
  <si>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</si>
  <si>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</si>
  <si>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</si>
  <si>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</si>
  <si>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</si>
  <si>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</si>
  <si>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</si>
  <si>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</si>
  <si>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</si>
  <si>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</si>
  <si>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</si>
  <si>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</si>
  <si>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</si>
  <si>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</si>
  <si>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</si>
  <si>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</si>
  <si>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</si>
  <si>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</si>
  <si>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</si>
  <si>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</si>
  <si>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</si>
  <si>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</si>
  <si>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</si>
  <si>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</si>
  <si>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</si>
  <si>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</si>
  <si>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</si>
  <si>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</si>
  <si>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</si>
  <si>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</si>
  <si>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</si>
  <si>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</si>
  <si>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</si>
  <si>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</si>
  <si>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</si>
  <si>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</si>
  <si>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</si>
  <si>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</si>
  <si>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</si>
  <si>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</si>
  <si>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</si>
  <si>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</si>
  <si>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</si>
  <si>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</si>
  <si>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</si>
  <si>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</si>
  <si>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</si>
  <si>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</si>
  <si>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</si>
  <si>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</si>
  <si>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</si>
  <si>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</si>
  <si>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</si>
  <si>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</si>
  <si>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</si>
  <si>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</si>
  <si>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</si>
  <si>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</si>
  <si>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</si>
  <si>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</si>
  <si>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</si>
  <si>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</si>
  <si>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</si>
  <si>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</si>
  <si>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</si>
  <si>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</si>
  <si>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</si>
  <si>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</si>
  <si>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</si>
  <si>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</si>
  <si>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</si>
  <si>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</si>
  <si>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</si>
  <si>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</si>
  <si>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</si>
  <si>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</si>
  <si>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</si>
  <si>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</si>
  <si>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</si>
  <si>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</si>
  <si>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</si>
  <si>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</si>
  <si>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</si>
  <si>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</si>
  <si>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</si>
  <si>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</si>
  <si>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</si>
  <si>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</si>
  <si>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</si>
  <si>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</si>
  <si>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</si>
  <si>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</si>
  <si>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</si>
  <si>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</si>
  <si>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</si>
  <si>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</si>
  <si>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</si>
  <si>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</si>
  <si>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</si>
  <si>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</si>
  <si>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</si>
  <si>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</si>
  <si>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</si>
  <si>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</si>
  <si>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</si>
  <si>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</si>
  <si>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</si>
  <si>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</si>
  <si>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</si>
  <si>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</si>
  <si>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</si>
  <si>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</si>
  <si>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</si>
  <si>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</si>
  <si>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</si>
  <si>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</si>
  <si>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</si>
  <si>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</si>
  <si>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</si>
  <si>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</si>
  <si>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</si>
  <si>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</si>
  <si>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</si>
  <si>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</si>
  <si>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</si>
  <si>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</si>
  <si>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</si>
  <si>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</si>
  <si>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</si>
  <si>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</si>
  <si>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</si>
  <si>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</si>
  <si>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</si>
  <si>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</si>
  <si>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</si>
  <si>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</si>
  <si>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</si>
  <si>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</si>
  <si>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</si>
  <si>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</si>
  <si>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</si>
  <si>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</si>
  <si>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</si>
  <si>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</si>
  <si>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</si>
  <si>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</si>
  <si>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</si>
  <si>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</si>
  <si>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</si>
  <si>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</si>
  <si>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</si>
  <si>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</si>
  <si>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</si>
  <si>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</si>
  <si>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</si>
  <si>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</si>
  <si>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</si>
  <si>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</si>
  <si>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</si>
  <si>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</si>
  <si>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</si>
  <si>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</si>
  <si>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</si>
  <si>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</si>
  <si>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</si>
  <si>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</si>
  <si>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</si>
  <si>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</si>
  <si>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</si>
  <si>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</si>
  <si>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</si>
  <si>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</si>
  <si>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</si>
  <si>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</si>
  <si>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</si>
  <si>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</si>
  <si>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</si>
  <si>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</si>
  <si>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</si>
  <si>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</si>
  <si>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</si>
  <si>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</si>
  <si>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</si>
  <si>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</si>
  <si>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</si>
  <si>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</si>
  <si>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</si>
  <si>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</si>
  <si>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</si>
  <si>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</si>
  <si>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</si>
  <si>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</si>
  <si>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</si>
  <si>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</si>
  <si>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</si>
  <si>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</si>
  <si>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</si>
  <si>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</si>
  <si>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</si>
  <si>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</si>
  <si>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</si>
  <si>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</si>
  <si>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</si>
  <si>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</si>
  <si>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</si>
  <si>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</si>
  <si>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</si>
  <si>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</si>
  <si>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</si>
  <si>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</si>
  <si>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</si>
  <si>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</si>
  <si>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</si>
  <si>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</si>
  <si>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</si>
  <si>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</si>
  <si>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</si>
  <si>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</si>
  <si>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</si>
  <si>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</si>
  <si>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</si>
  <si>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</si>
  <si>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</si>
  <si>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</si>
  <si>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</si>
  <si>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</si>
  <si>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</si>
  <si>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</si>
  <si>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</si>
  <si>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</si>
  <si>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</si>
  <si>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</si>
  <si>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</si>
  <si>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</si>
  <si>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</si>
  <si>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</si>
  <si>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</si>
  <si>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</si>
  <si>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</si>
  <si>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</si>
  <si>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</si>
  <si>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</si>
  <si>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</si>
  <si>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</si>
  <si>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</si>
  <si>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</si>
  <si>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</si>
  <si>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</si>
  <si>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</si>
  <si>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</si>
  <si>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</si>
  <si>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</si>
  <si>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</si>
  <si>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</si>
  <si>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</si>
  <si>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</si>
  <si>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</si>
  <si>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</si>
  <si>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</si>
  <si>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</si>
  <si>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</si>
  <si>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</si>
  <si>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</si>
  <si>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</si>
  <si>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</si>
  <si>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</si>
  <si>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</si>
  <si>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</si>
  <si>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</si>
  <si>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</si>
  <si>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</si>
  <si>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</si>
  <si>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</si>
  <si>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</si>
  <si>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</si>
  <si>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</si>
  <si>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</si>
  <si>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</si>
  <si>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</si>
  <si>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</si>
  <si>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</si>
  <si>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</si>
  <si>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</si>
  <si>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</si>
  <si>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</si>
  <si>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</si>
  <si>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</si>
  <si>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</si>
  <si>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</si>
  <si>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</si>
  <si>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</si>
  <si>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</si>
  <si>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</si>
  <si>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</si>
  <si>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</si>
  <si>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</si>
  <si>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</si>
  <si>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</si>
  <si>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</si>
  <si>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</si>
  <si>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</si>
  <si>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</si>
  <si>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</si>
  <si>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</si>
  <si>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</si>
  <si>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</si>
  <si>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</si>
  <si>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</si>
  <si>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</si>
  <si>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</si>
  <si>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</si>
  <si>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</si>
  <si>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</si>
  <si>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</si>
  <si>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</si>
  <si>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</si>
  <si>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</si>
  <si>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</si>
  <si>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</si>
  <si>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</si>
  <si>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</si>
  <si>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</si>
  <si>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</si>
  <si>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</si>
  <si>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</si>
  <si>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</si>
  <si>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</si>
  <si>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</si>
  <si>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</si>
  <si>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</si>
  <si>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</si>
  <si>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</si>
  <si>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</si>
  <si>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</si>
  <si>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</si>
  <si>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</si>
  <si>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</si>
  <si>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</si>
  <si>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</si>
  <si>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</si>
  <si>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</si>
  <si>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</si>
  <si>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</si>
  <si>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</si>
  <si>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</si>
  <si>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</si>
  <si>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</si>
  <si>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</si>
  <si>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</si>
  <si>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</si>
  <si>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</si>
  <si>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</si>
  <si>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</si>
  <si>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</si>
  <si>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</si>
  <si>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</si>
  <si>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</si>
  <si>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</si>
  <si>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</si>
  <si>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</si>
  <si>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</si>
  <si>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</si>
  <si>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</si>
  <si>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</si>
  <si>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</si>
  <si>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</si>
  <si>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</si>
  <si>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</si>
  <si>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</si>
  <si>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</si>
  <si>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</si>
  <si>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</si>
  <si>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</si>
  <si>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</si>
  <si>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</si>
  <si>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</si>
  <si>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</si>
  <si>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</si>
  <si>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</si>
  <si>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</si>
  <si>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</si>
  <si>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</si>
  <si>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</si>
  <si>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</si>
  <si>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</si>
  <si>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</si>
  <si>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</si>
  <si>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</si>
  <si>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</si>
  <si>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</si>
  <si>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</si>
  <si>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</si>
  <si>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</si>
  <si>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</si>
  <si>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</si>
  <si>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</si>
  <si>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</si>
  <si>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</si>
  <si>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</si>
  <si>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</si>
  <si>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</si>
  <si>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</si>
  <si>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</si>
  <si>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</si>
  <si>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</si>
  <si>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</si>
  <si>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</si>
  <si>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</si>
  <si>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</si>
  <si>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</si>
  <si>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</si>
  <si>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</si>
  <si>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</si>
  <si>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</si>
  <si>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</si>
  <si>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</si>
  <si>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</si>
  <si>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</si>
  <si>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</si>
  <si>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</si>
  <si>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</si>
  <si>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</si>
  <si>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</si>
  <si>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</si>
  <si>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</si>
  <si>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</si>
  <si>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</si>
  <si>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</si>
  <si>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</si>
  <si>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</si>
  <si>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</si>
  <si>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</si>
  <si>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</si>
  <si>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</si>
  <si>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</si>
  <si>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</si>
  <si>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</si>
  <si>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</si>
  <si>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</si>
  <si>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</si>
  <si>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</si>
  <si>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</si>
  <si>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</si>
  <si>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</si>
  <si>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</si>
  <si>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</si>
  <si>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</si>
  <si>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</si>
  <si>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</si>
  <si>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</si>
  <si>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</si>
  <si>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</si>
  <si>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</si>
  <si>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</si>
  <si>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</si>
  <si>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</si>
  <si>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</si>
  <si>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</si>
  <si>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</si>
  <si>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</si>
  <si>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</si>
  <si>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</si>
  <si>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</si>
  <si>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</si>
  <si>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</si>
  <si>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</si>
  <si>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</si>
  <si>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</si>
  <si>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</si>
  <si>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</si>
  <si>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</si>
  <si>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</si>
  <si>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</si>
  <si>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</si>
  <si>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</si>
  <si>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</si>
  <si>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</si>
  <si>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</si>
  <si>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</si>
  <si>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</si>
  <si>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</si>
  <si>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</si>
  <si>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</si>
  <si>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</si>
  <si>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</si>
  <si>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</si>
  <si>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</si>
  <si>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</si>
  <si>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</si>
  <si>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</si>
  <si>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</si>
  <si>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</si>
  <si>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</si>
  <si>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</si>
  <si>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</si>
  <si>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</si>
  <si>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</si>
  <si>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</si>
  <si>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</si>
  <si>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</si>
  <si>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</si>
  <si>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</si>
  <si>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</si>
  <si>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</si>
  <si>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</si>
  <si>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</si>
  <si>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</si>
  <si>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</si>
  <si>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</si>
  <si>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</si>
  <si>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</si>
  <si>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</si>
  <si>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</si>
  <si>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</si>
  <si>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</si>
  <si>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</si>
  <si>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</si>
  <si>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</si>
  <si>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</si>
  <si>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</si>
  <si>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</si>
  <si>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</si>
  <si>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</si>
  <si>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</si>
  <si>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</si>
  <si>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</si>
  <si>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</si>
  <si>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</si>
  <si>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</si>
  <si>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</si>
  <si>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</si>
  <si>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</si>
  <si>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</si>
  <si>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</si>
  <si>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</si>
  <si>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</si>
  <si>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</si>
  <si>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</si>
  <si>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</si>
  <si>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</si>
  <si>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</si>
  <si>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</si>
  <si>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</si>
  <si>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</si>
  <si>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</si>
  <si>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</si>
  <si>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</si>
  <si>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</si>
  <si>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</si>
  <si>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</si>
  <si>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</si>
  <si>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</si>
  <si>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</si>
  <si>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</si>
  <si>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</si>
  <si>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</si>
  <si>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</si>
  <si>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</si>
  <si>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</si>
  <si>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</si>
  <si>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</si>
  <si>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</si>
  <si>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</si>
  <si>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</si>
  <si>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</si>
  <si>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</si>
  <si>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</si>
  <si>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</si>
  <si>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</si>
  <si>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</si>
  <si>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</si>
  <si>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</si>
  <si>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</si>
  <si>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</si>
  <si>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</si>
  <si>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</si>
  <si>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</si>
  <si>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</si>
  <si>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</si>
  <si>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</si>
  <si>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</si>
  <si>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</si>
  <si>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</si>
  <si>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</si>
  <si>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</si>
  <si>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</si>
  <si>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</si>
  <si>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</si>
  <si>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</si>
  <si>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</si>
  <si>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</si>
  <si>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</si>
  <si>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</si>
  <si>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</si>
  <si>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</si>
  <si>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</si>
  <si>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</si>
  <si>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</si>
  <si>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</si>
  <si>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</si>
  <si>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</si>
  <si>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</si>
  <si>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</si>
  <si>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</si>
  <si>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</si>
  <si>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</si>
  <si>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</si>
  <si>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</si>
  <si>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</si>
  <si>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</si>
  <si>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</si>
  <si>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</si>
  <si>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</si>
  <si>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</si>
  <si>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</si>
  <si>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</si>
  <si>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</si>
  <si>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</si>
  <si>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</si>
  <si>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</si>
  <si>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</si>
  <si>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</si>
  <si>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</si>
  <si>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</si>
  <si>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</si>
  <si>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</si>
  <si>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</si>
  <si>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</si>
  <si>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</si>
  <si>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</si>
  <si>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</si>
  <si>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</si>
  <si>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</si>
  <si>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</si>
  <si>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</si>
  <si>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</si>
  <si>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</si>
  <si>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</si>
  <si>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</si>
  <si>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</si>
  <si>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</si>
  <si>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</si>
  <si>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</si>
  <si>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</si>
  <si>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</si>
  <si>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</si>
  <si>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</si>
  <si>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</si>
  <si>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</si>
  <si>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</si>
  <si>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</si>
  <si>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</si>
  <si>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</si>
  <si>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</si>
  <si>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</si>
  <si>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</si>
  <si>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</si>
  <si>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</si>
  <si>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</si>
  <si>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</si>
  <si>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</si>
  <si>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</si>
  <si>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</si>
  <si>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</si>
  <si>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</si>
  <si>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</si>
  <si>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</si>
  <si>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</si>
  <si>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</si>
  <si>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</si>
  <si>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</si>
  <si>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</si>
  <si>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</si>
  <si>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</si>
  <si>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</si>
  <si>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</si>
  <si>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</si>
  <si>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</si>
  <si>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</si>
  <si>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</si>
  <si>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</si>
  <si>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</si>
  <si>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</si>
  <si>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</si>
  <si>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</si>
  <si>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</si>
  <si>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</si>
  <si>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</si>
  <si>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</si>
  <si>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</si>
  <si>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</si>
  <si>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</si>
  <si>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</si>
  <si>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</si>
  <si>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</si>
  <si>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</si>
  <si>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</si>
  <si>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</si>
  <si>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</si>
  <si>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</si>
  <si>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</si>
  <si>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</si>
  <si>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</si>
  <si>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</si>
  <si>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</si>
  <si>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</si>
  <si>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</si>
  <si>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</si>
  <si>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</si>
  <si>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</si>
  <si>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</si>
  <si>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</si>
  <si>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</si>
  <si>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</si>
  <si>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</si>
  <si>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</si>
  <si>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</si>
  <si>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</si>
  <si>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</si>
  <si>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</si>
  <si>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</si>
  <si>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</si>
  <si>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</si>
  <si>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</si>
  <si>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</si>
  <si>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</si>
  <si>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</si>
  <si>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</si>
  <si>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</si>
  <si>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</si>
  <si>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</si>
  <si>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</si>
  <si>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</si>
  <si>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</si>
  <si>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</si>
  <si>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</si>
  <si>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</si>
  <si>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</si>
  <si>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</si>
  <si>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</si>
  <si>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</si>
  <si>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</si>
  <si>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</si>
  <si>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</si>
  <si>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</si>
  <si>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</si>
  <si>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</si>
  <si>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</si>
  <si>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</si>
  <si>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</si>
  <si>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</si>
  <si>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</si>
  <si>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</si>
  <si>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</si>
  <si>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</si>
  <si>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</si>
  <si>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</si>
  <si>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</si>
  <si>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</si>
  <si>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</si>
  <si>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</si>
  <si>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</si>
  <si>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</si>
  <si>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</si>
  <si>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</si>
  <si>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</si>
  <si>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</si>
  <si>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</si>
  <si>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</si>
  <si>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</si>
  <si>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</si>
  <si>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</si>
  <si>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</si>
  <si>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</si>
  <si>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</si>
  <si>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</si>
  <si>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</si>
  <si>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</si>
  <si>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</si>
  <si>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</si>
  <si>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</si>
  <si>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</si>
  <si>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</si>
  <si>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</si>
  <si>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</si>
  <si>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</si>
  <si>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</si>
  <si>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</si>
  <si>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</si>
  <si>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</si>
  <si>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</si>
  <si>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</si>
  <si>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</si>
  <si>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</si>
  <si>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</si>
  <si>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</si>
  <si>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</si>
  <si>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</si>
  <si>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</si>
  <si>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</si>
  <si>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</si>
  <si>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</si>
  <si>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</si>
  <si>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</si>
  <si>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</si>
  <si>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</si>
  <si>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</si>
  <si>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</si>
  <si>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</si>
  <si>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</si>
  <si>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</si>
  <si>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</si>
  <si>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</si>
  <si>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</si>
  <si>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</si>
  <si>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</si>
  <si>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</si>
  <si>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</si>
  <si>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</si>
  <si>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</si>
  <si>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</si>
  <si>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</si>
  <si>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</si>
  <si>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</si>
  <si>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</si>
  <si>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</si>
  <si>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</si>
  <si>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</si>
  <si>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</si>
  <si>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</si>
  <si>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</si>
  <si>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</si>
  <si>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</si>
  <si>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</si>
  <si>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</si>
  <si>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</si>
  <si>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</si>
  <si>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</si>
  <si>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</si>
  <si>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</si>
  <si>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</si>
  <si>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</si>
  <si>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</si>
  <si>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</si>
  <si>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</si>
  <si>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</si>
  <si>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</si>
  <si>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</si>
  <si>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</si>
  <si>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</si>
  <si>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</si>
  <si>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</si>
  <si>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</si>
  <si>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</si>
  <si>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</si>
  <si>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</si>
  <si>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</si>
  <si>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</si>
  <si>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</si>
  <si>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</si>
  <si>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</si>
  <si>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</si>
  <si>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</si>
  <si>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</si>
  <si>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</si>
  <si>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</si>
  <si>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</si>
  <si>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</si>
  <si>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</si>
  <si>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</si>
  <si>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</si>
  <si>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</si>
  <si>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</si>
  <si>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</si>
  <si>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</si>
  <si>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</si>
  <si>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</si>
  <si>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</si>
  <si>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</si>
  <si>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</si>
  <si>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</si>
  <si>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</si>
  <si>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</si>
  <si>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</si>
  <si>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</si>
  <si>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</si>
  <si>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</si>
  <si>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</si>
  <si>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</si>
  <si>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</si>
  <si>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</si>
  <si>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</si>
  <si>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</si>
  <si>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</si>
  <si>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</si>
  <si>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</si>
  <si>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</si>
  <si>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</si>
  <si>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</si>
  <si>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</si>
  <si>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</si>
  <si>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</si>
  <si>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</si>
  <si>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</si>
  <si>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</si>
  <si>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</si>
  <si>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</si>
  <si>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</si>
  <si>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</si>
  <si>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</si>
  <si>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</si>
  <si>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</si>
  <si>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</si>
  <si>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</si>
  <si>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</si>
  <si>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</si>
  <si>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</si>
  <si>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</si>
  <si>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</si>
  <si>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</si>
  <si>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</si>
  <si>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</si>
  <si>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</si>
  <si>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</si>
  <si>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</si>
  <si>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</si>
  <si>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</si>
  <si>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</si>
  <si>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</si>
  <si>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</si>
  <si>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</si>
  <si>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</si>
  <si>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</si>
  <si>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</si>
  <si>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</si>
  <si>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</si>
  <si>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</si>
  <si>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</si>
  <si>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</si>
  <si>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</si>
  <si>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</si>
  <si>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</si>
  <si>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</si>
  <si>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</si>
  <si>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</si>
  <si>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</si>
  <si>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</si>
  <si>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</si>
  <si>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</si>
  <si>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</si>
  <si>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</si>
  <si>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</si>
  <si>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</si>
  <si>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</si>
  <si>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</si>
  <si>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</si>
  <si>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</si>
  <si>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</si>
  <si>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</si>
  <si>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</si>
  <si>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</si>
  <si>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</si>
  <si>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</si>
  <si>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</si>
  <si>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</si>
  <si>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</si>
  <si>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</si>
  <si>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</si>
  <si>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</si>
  <si>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</si>
  <si>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</si>
  <si>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</si>
  <si>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</si>
  <si>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</si>
  <si>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</si>
  <si>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</si>
  <si>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</si>
  <si>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</si>
  <si>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</si>
  <si>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</si>
  <si>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</si>
  <si>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</si>
  <si>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</si>
  <si>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</si>
  <si>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</si>
  <si>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</si>
  <si>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</si>
  <si>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</si>
  <si>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</si>
  <si>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</si>
  <si>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</si>
  <si>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</si>
  <si>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</si>
  <si>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</si>
  <si>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</si>
  <si>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</si>
  <si>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</si>
  <si>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</si>
  <si>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</si>
  <si>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</si>
  <si>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</si>
  <si>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</si>
  <si>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</si>
  <si>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</si>
  <si>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</si>
  <si>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</si>
  <si>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</si>
  <si>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</si>
  <si>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</si>
  <si>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</si>
  <si>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</si>
  <si>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</si>
  <si>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</si>
  <si>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</si>
  <si>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</si>
  <si>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</si>
  <si>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</si>
  <si>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</si>
  <si>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</si>
  <si>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</si>
  <si>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</si>
  <si>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</si>
  <si>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</si>
  <si>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</si>
  <si>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</si>
  <si>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</si>
  <si>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</si>
  <si>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</si>
  <si>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</si>
  <si>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</si>
  <si>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</si>
  <si>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</si>
  <si>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</si>
  <si>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</si>
  <si>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</si>
  <si>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</si>
  <si>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</si>
  <si>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</si>
  <si>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</si>
  <si>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</si>
  <si>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</si>
  <si>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</si>
  <si>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</si>
  <si>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</si>
  <si>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</si>
  <si>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</si>
  <si>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</si>
  <si>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</si>
  <si>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</si>
  <si>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</si>
  <si>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</si>
  <si>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</si>
  <si>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</si>
  <si>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</si>
  <si>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</si>
  <si>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</si>
  <si>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</si>
  <si>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</si>
  <si>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</si>
  <si>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</si>
  <si>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</si>
  <si>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</si>
  <si>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</si>
  <si>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</si>
  <si>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</si>
  <si>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</si>
  <si>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</si>
  <si>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</si>
  <si>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</si>
  <si>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</si>
  <si>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</si>
  <si>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</si>
  <si>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</si>
  <si>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</si>
  <si>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</si>
  <si>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</si>
  <si>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</si>
  <si>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</si>
  <si>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</si>
  <si>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</si>
  <si>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</si>
  <si>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</si>
  <si>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</si>
  <si>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</si>
  <si>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</si>
  <si>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</si>
  <si>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</si>
  <si>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</si>
  <si>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</si>
  <si>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</si>
  <si>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</si>
  <si>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</si>
  <si>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</si>
  <si>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</si>
  <si>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</si>
  <si>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</si>
  <si>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</si>
  <si>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</si>
  <si>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</si>
  <si>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</si>
  <si>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</si>
  <si>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</si>
  <si>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</si>
  <si>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</si>
  <si>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</si>
  <si>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</si>
  <si>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</si>
  <si>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</si>
  <si>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</si>
  <si>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</si>
  <si>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萬象山海</t>
    <phoneticPr fontId="2" type="noConversion"/>
  </si>
  <si>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</si>
  <si>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</si>
  <si>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</si>
  <si>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</si>
  <si>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</si>
  <si>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</si>
  <si>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</si>
  <si>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</si>
  <si>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</si>
  <si>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</si>
  <si>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</si>
  <si>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</si>
  <si>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</si>
  <si>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</si>
  <si>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https://apps.apple.com/tw/app/%E7%BE%8E%E7%94%B7%E6%88%B0%E5%9C%8B-%E7%A9%BF%E8%B6%8A%E6%99%82%E7%A9%BA%E4%B9%8B%E6%88%80/id1114467662</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</si>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</sst>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printerSettings" Target="../printerSettings/printerSettings1.bin"/><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printerSettings" Target="../printerSettings/printerSettings2.bin"/><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tabSelected="1" zoomScale="85" zoomScaleNormal="85" workbookViewId="0">
      <pane xSplit="1" ySplit="1" topLeftCell="B532" activePane="bottomRight" state="frozen"/>
      <selection pane="topRight" activeCell="B1" sqref="B1"/>
      <selection pane="bottomLeft" activeCell="A2" sqref="A2"/>
      <selection pane="bottomRight" activeCell="G545" sqref="G545"/>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9401</v>
      </c>
      <c r="J542" s="16" t="s">
        <v>5418</v>
      </c>
      <c r="K542" s="39" t="s">
        <v>5446</v>
      </c>
    </row>
    <row r="543" spans="1:31" ht="28.5" customHeight="1" thickBot="1">
      <c r="A543" s="114" t="s">
        <v>9394</v>
      </c>
      <c r="C543" s="8" t="s">
        <v>9402</v>
      </c>
      <c r="E543" s="9" t="s">
        <v>9420</v>
      </c>
      <c r="F543" s="8" t="str">
        <f t="shared" si="20"/>
        <v>gift-codes.html?game=萬象山海</v>
      </c>
      <c r="G543" s="9" t="s">
        <v>9403</v>
      </c>
      <c r="H543" s="9" t="str">
        <f t="shared" si="21"/>
        <v>https://www.ssbuy.tw/game-detail.html?game=萬象山海</v>
      </c>
      <c r="I543" s="10" t="s">
        <v>9422</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9395</v>
      </c>
      <c r="C544" s="8" t="s">
        <v>9404</v>
      </c>
      <c r="E544" s="9" t="s">
        <v>9406</v>
      </c>
      <c r="F544" s="8" t="str">
        <f t="shared" si="20"/>
        <v>gift-codes.html?game=三國觀滄海</v>
      </c>
      <c r="G544" s="9" t="s">
        <v>9405</v>
      </c>
      <c r="H544" s="9" t="str">
        <f t="shared" si="21"/>
        <v>https://www.ssbuy.tw/game-detail.html?game=三國觀滄海</v>
      </c>
      <c r="I544" s="10" t="s">
        <v>9423</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9396</v>
      </c>
      <c r="C545" s="8" t="s">
        <v>9407</v>
      </c>
      <c r="D545" s="9" t="s">
        <v>9408</v>
      </c>
      <c r="E545" s="9" t="s">
        <v>9409</v>
      </c>
      <c r="F545" s="8" t="str">
        <f t="shared" si="20"/>
        <v>gift-codes.html?game=美男戰國</v>
      </c>
      <c r="G545" s="9" t="s">
        <v>9429</v>
      </c>
      <c r="H545" s="9" t="str">
        <f t="shared" si="21"/>
        <v>https://www.ssbuy.tw/game-detail.html?game=美男戰國</v>
      </c>
      <c r="I545" s="10" t="s">
        <v>9424</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9397</v>
      </c>
      <c r="C546" s="8" t="s">
        <v>9410</v>
      </c>
      <c r="D546" s="9" t="s">
        <v>9411</v>
      </c>
      <c r="E546" s="9" t="s">
        <v>9413</v>
      </c>
      <c r="F546" s="8" t="str">
        <f t="shared" si="20"/>
        <v>gift-codes.html?game=搞鬼M</v>
      </c>
      <c r="G546" s="9" t="s">
        <v>9412</v>
      </c>
      <c r="H546" s="9" t="str">
        <f t="shared" si="21"/>
        <v>https://www.ssbuy.tw/game-detail.html?game=搞鬼M</v>
      </c>
      <c r="I546" s="10" t="s">
        <v>9425</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9398</v>
      </c>
      <c r="E547" s="9" t="s">
        <v>9421</v>
      </c>
      <c r="F547" s="8" t="str">
        <f t="shared" si="20"/>
        <v>gift-codes.html?game=喵喵騎士：放置RPG</v>
      </c>
      <c r="G547" s="9" t="s">
        <v>9414</v>
      </c>
      <c r="H547" s="9" t="str">
        <f t="shared" si="21"/>
        <v>https://www.ssbuy.tw/game-detail.html?game=喵喵騎士：放置RPG</v>
      </c>
      <c r="I547" s="10" t="s">
        <v>9426</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9399</v>
      </c>
      <c r="C548" s="8" t="s">
        <v>9415</v>
      </c>
      <c r="E548" s="9" t="s">
        <v>9416</v>
      </c>
      <c r="F548" s="8" t="str">
        <f t="shared" si="20"/>
        <v>gift-codes.html?game=女神帝國：天使降臨</v>
      </c>
      <c r="G548" s="9" t="s">
        <v>9417</v>
      </c>
      <c r="H548" s="9" t="str">
        <f t="shared" si="21"/>
        <v>https://www.ssbuy.tw/game-detail.html?game=女神帝國：天使降臨</v>
      </c>
      <c r="I548" s="10" t="s">
        <v>9427</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9400</v>
      </c>
      <c r="E549" s="9" t="s">
        <v>9419</v>
      </c>
      <c r="F549" s="8" t="str">
        <f t="shared" si="20"/>
        <v>gift-codes.html?game=地下城見聞錄</v>
      </c>
      <c r="G549" s="9" t="s">
        <v>9418</v>
      </c>
      <c r="H549" s="9" t="str">
        <f t="shared" si="21"/>
        <v>https://www.ssbuy.tw/game-detail.html?game=地下城見聞錄</v>
      </c>
      <c r="I549" s="10" t="s">
        <v>9428</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c r="F550" s="8" t="str">
        <f t="shared" si="20"/>
        <v/>
      </c>
      <c r="H550" s="9" t="str">
        <f t="shared" si="21"/>
        <v/>
      </c>
    </row>
    <row r="551" spans="1:29" ht="28.5" customHeight="1">
      <c r="F551" s="8" t="str">
        <f t="shared" si="20"/>
        <v/>
      </c>
      <c r="H551" s="9" t="str">
        <f t="shared" si="21"/>
        <v/>
      </c>
    </row>
    <row r="552" spans="1:29" ht="28.5" customHeight="1">
      <c r="F552" s="8" t="str">
        <f t="shared" si="20"/>
        <v/>
      </c>
      <c r="H552" s="9" t="str">
        <f t="shared" si="21"/>
        <v/>
      </c>
    </row>
    <row r="553" spans="1:29" ht="28.5" customHeight="1">
      <c r="F553" s="8" t="str">
        <f t="shared" si="20"/>
        <v/>
      </c>
      <c r="H553" s="9" t="str">
        <f t="shared" si="21"/>
        <v/>
      </c>
    </row>
    <row r="554" spans="1:29" ht="28.5" customHeight="1">
      <c r="F554" s="8" t="str">
        <f>IF(A554="", "", "gift-codes.html?game=" &amp; A554)</f>
        <v/>
      </c>
      <c r="H554" s="9" t="str">
        <f t="shared" ref="H554:H612" si="22">IF(A554="", "", "https://www.ssbuy.tw/game-detail.html?game="&amp;A554)</f>
        <v/>
      </c>
    </row>
    <row r="555" spans="1:29" ht="28.5" customHeight="1">
      <c r="F555" s="8" t="str">
        <f>IF(A555="", "", "gift-codes.html?game=" &amp; A555)</f>
        <v/>
      </c>
      <c r="H555" s="9" t="str">
        <f t="shared" si="22"/>
        <v/>
      </c>
    </row>
    <row r="556" spans="1:29" ht="28.5" customHeight="1">
      <c r="F556" s="8" t="str">
        <f>IF(A556="", "", "gift-codes.html?game=" &amp; A556)</f>
        <v/>
      </c>
      <c r="H556" s="9" t="str">
        <f t="shared" si="22"/>
        <v/>
      </c>
    </row>
    <row r="557" spans="1:29" ht="28.5" customHeight="1">
      <c r="H557" s="9" t="str">
        <f t="shared" si="22"/>
        <v/>
      </c>
    </row>
    <row r="558" spans="1:29" ht="28.5" customHeight="1">
      <c r="H558" s="9" t="str">
        <f t="shared" si="22"/>
        <v/>
      </c>
    </row>
    <row r="559" spans="1:29" ht="28.5" customHeight="1">
      <c r="H559" s="9" t="str">
        <f t="shared" si="22"/>
        <v/>
      </c>
    </row>
    <row r="560" spans="1:29"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s>
  <pageMargins left="0.7" right="0.7" top="0.75" bottom="0.75" header="0.3" footer="0.3"/>
  <pageSetup paperSize="9" orientation="portrait" r:id="rId3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1"/>
  <sheetViews>
    <sheetView zoomScale="85" zoomScaleNormal="85" workbookViewId="0">
      <pane xSplit="1" ySplit="1" topLeftCell="B533" activePane="bottomRight" state="frozen"/>
      <selection pane="topRight" activeCell="B1" sqref="B1"/>
      <selection pane="bottomLeft" activeCell="A2" sqref="A2"/>
      <selection pane="bottomRight" activeCell="K543" sqref="K543:L549"/>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8.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5232</v>
      </c>
      <c r="K540" s="100" t="s">
        <v>5495</v>
      </c>
      <c r="L540" s="51" t="s">
        <v>5496</v>
      </c>
    </row>
    <row r="541" spans="1:47" ht="28.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8.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8.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5232</v>
      </c>
      <c r="K543" s="100" t="s">
        <v>5495</v>
      </c>
      <c r="L543" s="51" t="s">
        <v>5496</v>
      </c>
    </row>
    <row r="544" spans="1:47" ht="28.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12" ht="28.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12" ht="28.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12" ht="28.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12" ht="28.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5232</v>
      </c>
      <c r="K548" s="100" t="s">
        <v>5495</v>
      </c>
      <c r="L548" s="51" t="s">
        <v>5496</v>
      </c>
    </row>
    <row r="549" spans="1:12" ht="28.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12" ht="28.5" customHeight="1">
      <c r="A550" s="67" t="str">
        <f>IF(games!A550="", "", games!A550)</f>
        <v/>
      </c>
      <c r="C550" s="51" t="str">
        <f t="shared" si="22"/>
        <v/>
      </c>
      <c r="D550" s="51" t="str">
        <f t="shared" si="23"/>
        <v/>
      </c>
      <c r="E550" s="91" t="str">
        <f>IF(games!I550&lt;&gt;"", games!I550, "")</f>
        <v/>
      </c>
    </row>
    <row r="551" spans="1:12" ht="28.5" customHeight="1">
      <c r="A551" s="67" t="str">
        <f>IF(games!A551="", "", games!A551)</f>
        <v/>
      </c>
      <c r="C551" s="51" t="str">
        <f t="shared" si="22"/>
        <v/>
      </c>
      <c r="D551" s="51" t="str">
        <f t="shared" si="23"/>
        <v/>
      </c>
      <c r="E551" s="91" t="str">
        <f>IF(games!I551&lt;&gt;"", games!I551, "")</f>
        <v/>
      </c>
    </row>
    <row r="552" spans="1:12" ht="28.5" customHeight="1">
      <c r="A552" s="67" t="str">
        <f>IF(games!A552="", "", games!A552)</f>
        <v/>
      </c>
      <c r="C552" s="51" t="str">
        <f t="shared" si="22"/>
        <v/>
      </c>
      <c r="D552" s="51" t="str">
        <f t="shared" si="23"/>
        <v/>
      </c>
      <c r="E552" s="91" t="str">
        <f>IF(games!I552&lt;&gt;"", games!I552, "")</f>
        <v/>
      </c>
    </row>
    <row r="553" spans="1:12" ht="28.5" customHeight="1">
      <c r="A553" s="67" t="str">
        <f>IF(games!A553="", "", games!A553)</f>
        <v/>
      </c>
      <c r="C553" s="51" t="str">
        <f t="shared" si="22"/>
        <v/>
      </c>
      <c r="D553" s="51" t="str">
        <f t="shared" si="23"/>
        <v/>
      </c>
      <c r="E553" s="91" t="str">
        <f>IF(games!I553&lt;&gt;"", games!I553, "")</f>
        <v/>
      </c>
    </row>
    <row r="554" spans="1:12" ht="28.5" customHeight="1">
      <c r="A554" s="67" t="str">
        <f>IF(games!A554="", "", games!A554)</f>
        <v/>
      </c>
      <c r="C554" s="51" t="str">
        <f t="shared" si="22"/>
        <v/>
      </c>
      <c r="D554" s="51" t="str">
        <f t="shared" si="23"/>
        <v/>
      </c>
      <c r="E554" s="91" t="str">
        <f>IF(games!I554&lt;&gt;"", games!I554, "")</f>
        <v/>
      </c>
    </row>
    <row r="555" spans="1:12" ht="28.5" customHeight="1">
      <c r="A555" s="67" t="str">
        <f>IF(games!A555="", "", games!A555)</f>
        <v/>
      </c>
      <c r="C555" s="51" t="str">
        <f t="shared" si="22"/>
        <v/>
      </c>
      <c r="D555" s="51" t="str">
        <f t="shared" si="23"/>
        <v/>
      </c>
      <c r="E555" s="91" t="str">
        <f>IF(games!I555&lt;&gt;"", games!I555, "")</f>
        <v/>
      </c>
    </row>
    <row r="556" spans="1:12" ht="28.5" customHeight="1">
      <c r="A556" s="67" t="str">
        <f>IF(games!A556="", "", games!A556)</f>
        <v/>
      </c>
      <c r="C556" s="51" t="str">
        <f t="shared" si="22"/>
        <v/>
      </c>
      <c r="D556" s="51" t="str">
        <f t="shared" si="23"/>
        <v/>
      </c>
      <c r="E556" s="91" t="str">
        <f>IF(games!I556&lt;&gt;"", games!I556, "")</f>
        <v/>
      </c>
    </row>
    <row r="557" spans="1:12" ht="28.5" customHeight="1">
      <c r="A557" s="67" t="str">
        <f>IF(games!A557="", "", games!A557)</f>
        <v/>
      </c>
      <c r="C557" s="51" t="str">
        <f t="shared" si="22"/>
        <v/>
      </c>
      <c r="D557" s="51" t="str">
        <f t="shared" si="23"/>
        <v/>
      </c>
      <c r="E557" s="91" t="str">
        <f>IF(games!I557&lt;&gt;"", games!I557, "")</f>
        <v/>
      </c>
    </row>
    <row r="558" spans="1:12" ht="28.5" customHeight="1">
      <c r="A558" s="67" t="str">
        <f>IF(games!A558="", "", games!A558)</f>
        <v/>
      </c>
      <c r="C558" s="51" t="str">
        <f t="shared" si="22"/>
        <v/>
      </c>
      <c r="D558" s="51" t="str">
        <f t="shared" si="23"/>
        <v/>
      </c>
      <c r="E558" s="91" t="str">
        <f>IF(games!I558&lt;&gt;"", games!I558, "")</f>
        <v/>
      </c>
    </row>
    <row r="559" spans="1:12" ht="28.5" customHeight="1">
      <c r="A559" s="67" t="str">
        <f>IF(games!A559="", "", games!A559)</f>
        <v/>
      </c>
      <c r="C559" s="51" t="str">
        <f t="shared" si="22"/>
        <v/>
      </c>
      <c r="D559" s="51" t="str">
        <f t="shared" si="23"/>
        <v/>
      </c>
      <c r="E559" s="91" t="str">
        <f>IF(games!I559&lt;&gt;"", games!I559, "")</f>
        <v/>
      </c>
    </row>
    <row r="560" spans="1:12"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row>
    <row r="581" spans="1:5">
      <c r="A581" s="67" t="str">
        <f>IF(games!A581="", "", games!A581)</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s>
  <pageMargins left="0.7" right="0.7" top="0.75" bottom="0.75" header="0.3" footer="0.3"/>
  <pageSetup paperSize="9" orientation="portrait" r:id="rId29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2026-07-24T10:12:26Z</dcterms:modified>
</cp:coreProperties>
</file>