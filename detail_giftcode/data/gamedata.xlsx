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<sst xmlns="http://schemas.openxmlformats.org/spreadsheetml/2006/main" count="11606" uniqueCount="7752">
  <si>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</si>
  <si>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</si>
  <si>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</si>
  <si>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</si>
  <si>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</si>
  <si>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</si>
  <si>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</si>
  <si>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</si>
  <si>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</si>
  <si>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</si>
  <si>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</si>
  <si>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</si>
  <si>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</si>
  <si>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</si>
  <si>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</si>
  <si>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</si>
  <si>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</si>
  <si>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</si>
  <si>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</si>
  <si>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</si>
  <si>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</si>
  <si>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</si>
  <si>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</si>
  <si>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</si>
  <si>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</si>
  <si>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</si>
  <si>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</si>
  <si>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</si>
  <si>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</si>
  <si>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</si>
  <si>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</si>
  <si>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</si>
  <si>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</si>
  <si>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</si>
  <si>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</si>
  <si>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</si>
  <si>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</si>
  <si>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</si>
  <si>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</si>
  <si>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</si>
  <si>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</si>
  <si>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</si>
  <si>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</si>
  <si>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</si>
  <si>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</si>
  <si>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</si>
  <si>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</si>
  <si>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</si>
  <si>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</si>
  <si>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</si>
  <si>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</si>
  <si>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</si>
  <si>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</si>
  <si>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</si>
  <si>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</si>
  <si>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</si>
  <si>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</si>
  <si>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</si>
  <si>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</si>
  <si>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</si>
  <si>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</si>
  <si>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</si>
  <si>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</si>
  <si>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</si>
  <si>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</si>
  <si>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</si>
  <si>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</si>
  <si>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</si>
  <si>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</si>
  <si>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</si>
  <si>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</si>
  <si>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</si>
  <si>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</si>
  <si>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</si>
  <si>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</si>
  <si>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</si>
  <si>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</si>
  <si>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</si>
  <si>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</si>
  <si>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</si>
  <si>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</si>
  <si>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</si>
  <si>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</si>
  <si>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</si>
  <si>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</si>
  <si>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</si>
  <si>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</si>
  <si>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</si>
  <si>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</si>
  <si>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</si>
  <si>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</si>
  <si>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</si>
  <si>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</si>
  <si>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</si>
  <si>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</si>
  <si>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</si>
  <si>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</si>
  <si>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</si>
  <si>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</si>
  <si>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</si>
  <si>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</si>
  <si>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</si>
  <si>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</si>
  <si>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</si>
  <si>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</si>
  <si>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</si>
  <si>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</si>
  <si>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</si>
  <si>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</si>
  <si>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</si>
  <si>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</si>
  <si>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</si>
  <si>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</si>
  <si>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</si>
  <si>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</si>
  <si>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</si>
  <si>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</si>
  <si>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</si>
  <si>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</si>
  <si>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</si>
  <si>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</si>
  <si>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</si>
  <si>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</si>
  <si>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</si>
  <si>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</si>
  <si>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</si>
  <si>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</si>
  <si>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</si>
  <si>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</si>
  <si>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</si>
  <si>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</si>
  <si>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</si>
  <si>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</si>
  <si>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</si>
  <si>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</si>
  <si>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</si>
  <si>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</si>
  <si>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</si>
  <si>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</si>
  <si>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</si>
  <si>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</si>
  <si>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</si>
  <si>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</si>
  <si>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</si>
  <si>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</si>
  <si>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</si>
  <si>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</si>
  <si>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</si>
  <si>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</si>
  <si>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</si>
  <si>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</si>
  <si>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</si>
  <si>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</si>
  <si>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</si>
  <si>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</si>
  <si>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</si>
  <si>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</si>
  <si>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</si>
  <si>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</si>
  <si>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</si>
  <si>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</si>
  <si>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</si>
  <si>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</si>
  <si>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</si>
  <si>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</si>
  <si>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</si>
  <si>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</si>
  <si>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</si>
  <si>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</si>
  <si>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</si>
  <si>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</si>
  <si>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</si>
  <si>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</si>
  <si>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</si>
  <si>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</si>
  <si>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</si>
  <si>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</si>
  <si>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</si>
  <si>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</si>
  <si>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</si>
  <si>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</si>
  <si>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</si>
  <si>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</si>
  <si>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</si>
  <si>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</si>
  <si>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</si>
  <si>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</si>
  <si>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</si>
  <si>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</si>
  <si>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</si>
  <si>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</si>
  <si>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</si>
  <si>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</si>
  <si>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</si>
  <si>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</si>
  <si>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</si>
  <si>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</si>
  <si>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</si>
  <si>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</si>
  <si>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</si>
  <si>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</si>
  <si>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</si>
  <si>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</si>
  <si>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</si>
  <si>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</si>
  <si>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</si>
  <si>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</si>
  <si>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</si>
  <si>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</si>
  <si>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</si>
  <si>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</si>
  <si>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</si>
  <si>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</si>
  <si>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</si>
  <si>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</si>
  <si>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</si>
  <si>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</si>
  <si>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</si>
  <si>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</si>
  <si>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</si>
  <si>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</si>
  <si>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</si>
  <si>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</si>
  <si>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</si>
  <si>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</si>
  <si>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</si>
  <si>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</si>
  <si>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</si>
  <si>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</si>
  <si>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</si>
  <si>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</si>
  <si>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</si>
  <si>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</si>
  <si>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</si>
  <si>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</si>
  <si>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</si>
  <si>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</si>
  <si>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</si>
  <si>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</si>
  <si>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</si>
  <si>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</si>
  <si>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</si>
  <si>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</si>
  <si>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</si>
  <si>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</si>
  <si>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</si>
  <si>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</si>
  <si>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</si>
  <si>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</si>
  <si>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</si>
  <si>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</si>
  <si>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</si>
  <si>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</si>
  <si>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</si>
  <si>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</si>
  <si>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</si>
  <si>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</si>
  <si>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</si>
  <si>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</si>
  <si>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</si>
  <si>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</si>
  <si>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</si>
  <si>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</si>
  <si>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</si>
  <si>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</si>
  <si>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</si>
  <si>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</si>
  <si>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</si>
  <si>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</si>
  <si>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</si>
  <si>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</si>
  <si>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</si>
  <si>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</si>
  <si>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</si>
  <si>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</si>
  <si>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</si>
  <si>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</si>
  <si>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</si>
  <si>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</si>
  <si>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</si>
  <si>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</si>
  <si>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</si>
  <si>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</si>
  <si>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</si>
  <si>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</si>
  <si>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</si>
  <si>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</si>
  <si>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</si>
  <si>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</si>
  <si>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</si>
  <si>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</si>
  <si>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</si>
  <si>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</si>
  <si>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</si>
  <si>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</si>
  <si>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</si>
  <si>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</si>
  <si>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</si>
  <si>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</si>
  <si>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</si>
  <si>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</si>
  <si>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</si>
  <si>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</si>
  <si>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</si>
  <si>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</si>
  <si>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</si>
  <si>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</si>
  <si>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</si>
  <si>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</si>
  <si>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</si>
  <si>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</si>
  <si>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</si>
  <si>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</si>
  <si>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</si>
  <si>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</si>
  <si>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</si>
  <si>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</si>
  <si>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</si>
  <si>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</si>
  <si>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</si>
  <si>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</si>
  <si>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</si>
  <si>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</si>
  <si>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</si>
  <si>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</si>
  <si>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</si>
  <si>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</si>
  <si>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</si>
  <si>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</si>
  <si>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</si>
  <si>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</si>
  <si>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</si>
  <si>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</si>
  <si>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</si>
  <si>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</si>
  <si>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</si>
  <si>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</si>
  <si>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</si>
  <si>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</si>
  <si>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</si>
  <si>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</si>
  <si>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</si>
  <si>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</si>
  <si>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</si>
  <si>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</si>
  <si>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</si>
  <si>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</si>
  <si>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</si>
  <si>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</si>
  <si>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</si>
  <si>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</si>
  <si>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</si>
  <si>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</si>
  <si>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</si>
  <si>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</si>
  <si>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</si>
  <si>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</si>
  <si>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</si>
  <si>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</si>
  <si>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</si>
  <si>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</si>
  <si>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</si>
  <si>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</si>
  <si>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</si>
  <si>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</si>
  <si>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</si>
  <si>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</si>
  <si>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</si>
  <si>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</si>
  <si>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</si>
  <si>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</si>
  <si>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</si>
  <si>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</si>
  <si>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</si>
  <si>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</si>
  <si>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</si>
  <si>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</si>
  <si>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</si>
  <si>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</si>
  <si>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</si>
  <si>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</si>
  <si>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</si>
  <si>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</si>
  <si>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</si>
  <si>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</si>
  <si>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</si>
  <si>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</si>
  <si>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</si>
  <si>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</si>
  <si>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</si>
  <si>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</si>
  <si>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</si>
  <si>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</si>
  <si>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</si>
  <si>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</si>
  <si>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</si>
  <si>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</si>
  <si>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</si>
  <si>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</si>
  <si>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</si>
  <si>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</si>
  <si>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</si>
  <si>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</si>
  <si>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</si>
  <si>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</si>
  <si>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</si>
  <si>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</si>
  <si>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</si>
  <si>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</si>
  <si>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</si>
  <si>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</si>
  <si>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</si>
  <si>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</si>
  <si>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</si>
  <si>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</si>
  <si>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</si>
  <si>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</si>
  <si>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</si>
  <si>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</si>
  <si>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</si>
  <si>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</si>
  <si>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</si>
  <si>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</si>
  <si>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</si>
  <si>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</si>
  <si>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</si>
  <si>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</si>
  <si>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</si>
  <si>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</si>
  <si>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</si>
  <si>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</si>
  <si>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</si>
  <si>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</si>
  <si>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</si>
  <si>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</si>
  <si>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</si>
  <si>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</si>
  <si>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</si>
  <si>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</si>
  <si>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</si>
  <si>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</si>
  <si>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</si>
  <si>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</si>
  <si>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</si>
  <si>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</si>
  <si>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</si>
  <si>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</si>
  <si>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</si>
  <si>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</si>
  <si>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</si>
  <si>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</si>
  <si>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</si>
  <si>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</si>
  <si>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</si>
  <si>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</si>
  <si>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</si>
  <si>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</si>
  <si>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</si>
  <si>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</si>
  <si>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</si>
  <si>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</si>
  <si>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</si>
  <si>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</si>
  <si>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</si>
  <si>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</si>
  <si>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</si>
  <si>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</si>
  <si>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</si>
  <si>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</si>
  <si>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</si>
  <si>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</si>
  <si>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</si>
  <si>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</si>
  <si>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</si>
  <si>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</si>
  <si>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</si>
  <si>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</si>
  <si>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</si>
  <si>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</si>
  <si>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</si>
  <si>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</si>
  <si>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</si>
  <si>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</si>
  <si>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</si>
  <si>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</si>
  <si>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</si>
  <si>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</si>
  <si>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</si>
  <si>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</si>
  <si>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</si>
  <si>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</si>
  <si>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</si>
  <si>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</si>
  <si>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</si>
  <si>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</si>
  <si>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</si>
  <si>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</si>
  <si>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</si>
  <si>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</si>
  <si>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</si>
  <si>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</si>
  <si>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</si>
  <si>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</si>
  <si>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</si>
  <si>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</si>
  <si>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</si>
  <si>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</si>
  <si>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</si>
  <si>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</si>
  <si>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</si>
  <si>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</si>
  <si>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</si>
  <si>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</si>
  <si>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</si>
  <si>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</si>
  <si>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</si>
  <si>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</si>
  <si>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</si>
  <si>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</si>
  <si>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</si>
  <si>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</si>
  <si>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</si>
  <si>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</si>
  <si>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</si>
  <si>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</si>
  <si>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</si>
  <si>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</si>
  <si>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</si>
  <si>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</si>
  <si>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</si>
  <si>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</si>
  <si>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</si>
  <si>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</si>
  <si>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</si>
  <si>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</si>
  <si>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</si>
  <si>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</si>
  <si>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</si>
  <si>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</si>
  <si>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</si>
  <si>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</si>
  <si>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</si>
  <si>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</si>
  <si>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</si>
  <si>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</si>
  <si>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</si>
  <si>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</si>
  <si>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</si>
  <si>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</si>
  <si>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</si>
  <si>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</si>
  <si>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</si>
  <si>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</si>
  <si>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</si>
  <si>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</si>
  <si>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</si>
  <si>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</si>
  <si>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</si>
  <si>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</si>
  <si>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</si>
  <si>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</si>
  <si>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</si>
  <si>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</si>
  <si>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</si>
  <si>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</si>
  <si>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</si>
  <si>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</si>
  <si>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</si>
  <si>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</si>
  <si>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</si>
  <si>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</si>
  <si>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</si>
  <si>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</si>
  <si>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</si>
  <si>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</si>
  <si>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</si>
  <si>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</si>
  <si>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</si>
  <si>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</si>
  <si>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</si>
  <si>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</si>
  <si>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</si>
  <si>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</si>
  <si>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</si>
  <si>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</si>
  <si>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</si>
  <si>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</si>
  <si>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</si>
  <si>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</si>
  <si>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</si>
  <si>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</si>
  <si>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</si>
  <si>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</si>
  <si>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</si>
  <si>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</si>
  <si>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</si>
  <si>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</si>
  <si>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</si>
  <si>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</si>
  <si>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</si>
  <si>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</si>
  <si>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</si>
  <si>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</si>
  <si>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</si>
  <si>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</si>
  <si>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</si>
  <si>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</si>
  <si>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</si>
  <si>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</si>
  <si>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</si>
  <si>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</si>
  <si>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</si>
  <si>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</si>
  <si>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</si>
  <si>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</si>
  <si>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</si>
  <si>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</si>
  <si>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</si>
  <si>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</si>
  <si>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</si>
  <si>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</si>
  <si>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</si>
  <si>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</si>
  <si>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</si>
  <si>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</si>
  <si>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</si>
  <si>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</si>
  <si>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</si>
  <si>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</si>
  <si>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</si>
  <si>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</si>
  <si>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</si>
  <si>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</si>
  <si>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</si>
  <si>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</si>
  <si>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</si>
  <si>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</si>
  <si>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</si>
  <si>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</si>
  <si>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</si>
  <si>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</si>
  <si>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</si>
  <si>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</si>
  <si>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</si>
  <si>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</si>
  <si>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</si>
  <si>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</si>
  <si>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</si>
  <si>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</si>
  <si>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</si>
  <si>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</si>
  <si>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</si>
  <si>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</si>
  <si>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</si>
  <si>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</si>
  <si>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</si>
  <si>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</si>
  <si>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</si>
  <si>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</si>
  <si>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</si>
  <si>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</si>
  <si>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</si>
  <si>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</si>
  <si>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</si>
  <si>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</si>
  <si>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</si>
  <si>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</si>
  <si>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</si>
  <si>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</si>
  <si>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</si>
  <si>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</si>
  <si>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</si>
  <si>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</si>
  <si>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</si>
  <si>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</si>
  <si>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</si>
  <si>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</si>
  <si>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</si>
  <si>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</si>
  <si>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</si>
  <si>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</si>
  <si>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</si>
  <si>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</si>
  <si>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</si>
  <si>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</si>
  <si>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</si>
  <si>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</si>
  <si>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</si>
  <si>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</si>
  <si>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</si>
  <si>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</si>
  <si>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</si>
  <si>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</si>
  <si>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</si>
  <si>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</si>
  <si>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</si>
  <si>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</si>
  <si>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</si>
  <si>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</si>
  <si>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</si>
  <si>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</si>
  <si>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</si>
  <si>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</si>
  <si>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</si>
  <si>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</si>
  <si>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</si>
  <si>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</si>
  <si>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</si>
  <si>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</si>
  <si>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</si>
  <si>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</si>
  <si>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</si>
  <si>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</si>
  <si>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</si>
  <si>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</si>
  <si>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</si>
  <si>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</si>
  <si>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</si>
  <si>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</si>
  <si>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</si>
  <si>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</si>
  <si>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</si>
  <si>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</si>
  <si>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</si>
  <si>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</si>
  <si>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</si>
  <si>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</si>
  <si>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</si>
  <si>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</si>
  <si>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</si>
  <si>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</si>
  <si>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</si>
  <si>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</si>
  <si>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</si>
  <si>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</si>
  <si>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</si>
  <si>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</si>
  <si>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</si>
  <si>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</si>
  <si>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</si>
  <si>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</si>
  <si>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</si>
  <si>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</si>
  <si>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</si>
  <si>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</si>
  <si>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</si>
  <si>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</si>
  <si>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</si>
  <si>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</si>
  <si>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</si>
  <si>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</si>
  <si>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</si>
  <si>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</si>
  <si>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</si>
  <si>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</si>
  <si>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</si>
  <si>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</si>
  <si>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</si>
  <si>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</si>
  <si>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</si>
  <si>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</si>
  <si>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</si>
  <si>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</si>
  <si>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</si>
  <si>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</si>
  <si>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</si>
  <si>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</si>
  <si>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</si>
  <si>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</si>
  <si>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</si>
  <si>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</si>
  <si>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</si>
  <si>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</si>
  <si>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</si>
  <si>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</si>
  <si>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</si>
  <si>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</si>
  <si>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</si>
  <si>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</si>
  <si>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</si>
  <si>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</si>
  <si>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</si>
  <si>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</si>
  <si>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</si>
  <si>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</si>
  <si>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</si>
  <si>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</si>
  <si>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</si>
  <si>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</si>
  <si>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</si>
  <si>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</si>
  <si>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</si>
  <si>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</si>
  <si>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</si>
  <si>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</si>
  <si>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</si>
  <si>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</si>
  <si>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</si>
  <si>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</si>
  <si>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</si>
  <si>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</si>
  <si>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</si>
  <si>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</si>
  <si>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</si>
  <si>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</si>
  <si>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</si>
  <si>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</si>
  <si>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</si>
  <si>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</si>
  <si>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</si>
  <si>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</si>
  <si>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</si>
  <si>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</si>
  <si>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</si>
  <si>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</si>
  <si>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</si>
  <si>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</si>
  <si>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</si>
  <si>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</si>
  <si>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</si>
  <si>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</si>
  <si>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</si>
  <si>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</si>
  <si>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</si>
  <si>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</si>
  <si>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</si>
  <si>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</si>
  <si>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</si>
  <si>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</si>
  <si>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</si>
  <si>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</si>
  <si>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</si>
  <si>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</si>
  <si>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</si>
  <si>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</si>
  <si>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</si>
  <si>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</si>
  <si>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</si>
  <si>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</si>
  <si>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</si>
  <si>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</si>
  <si>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</si>
  <si>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</si>
  <si>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</si>
  <si>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</si>
  <si>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</si>
  <si>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</si>
  <si>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</si>
  <si>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</si>
  <si>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</si>
  <si>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</si>
  <si>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</si>
  <si>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</si>
  <si>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</si>
  <si>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</si>
  <si>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</si>
  <si>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</si>
  <si>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</si>
  <si>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</si>
  <si>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</si>
  <si>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</si>
  <si>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</si>
  <si>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</si>
  <si>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</si>
  <si>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</si>
  <si>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</si>
  <si>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</si>
  <si>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</si>
  <si>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</si>
  <si>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</si>
  <si>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</si>
  <si>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</si>
  <si>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</si>
  <si>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</si>
  <si>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</si>
  <si>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</si>
  <si>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</si>
  <si>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</si>
  <si>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</si>
  <si>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</si>
  <si>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</si>
  <si>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</si>
  <si>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</si>
  <si>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</si>
  <si>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</si>
  <si>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</si>
  <si>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</si>
  <si>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</si>
  <si>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</si>
  <si>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</si>
  <si>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</si>
  <si>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</si>
  <si>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</si>
  <si>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</si>
  <si>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</si>
  <si>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</si>
  <si>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</si>
  <si>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</si>
  <si>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</si>
  <si>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</si>
  <si>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</si>
  <si>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</si>
  <si>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</si>
  <si>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</si>
  <si>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</si>
  <si>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</si>
  <si>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</si>
  <si>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</si>
  <si>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</si>
  <si>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</si>
  <si>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</si>
  <si>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</si>
  <si>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</si>
  <si>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</si>
  <si>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</si>
  <si>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</si>
  <si>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</si>
  <si>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</si>
  <si>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</si>
  <si>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</si>
  <si>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</si>
  <si>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</si>
  <si>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</si>
  <si>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</si>
  <si>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</si>
  <si>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</si>
  <si>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</si>
  <si>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</si>
  <si>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</si>
  <si>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</si>
  <si>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</si>
  <si>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</si>
  <si>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</si>
  <si>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</si>
  <si>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</si>
  <si>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</si>
  <si>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</si>
  <si>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</si>
  <si>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</si>
  <si>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</si>
  <si>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</si>
  <si>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</si>
  <si>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</si>
  <si>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</si>
  <si>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</si>
  <si>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</si>
  <si>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</si>
  <si>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</si>
  <si>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</si>
  <si>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</si>
  <si>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</si>
  <si>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</si>
  <si>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</si>
  <si>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</si>
  <si>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</si>
  <si>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</si>
  <si>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</si>
  <si>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</si>
  <si>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</si>
  <si>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</si>
  <si>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</si>
  <si>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</si>
  <si>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</si>
  <si>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</si>
  <si>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</si>
  <si>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</si>
  <si>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</si>
  <si>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</si>
  <si>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</si>
  <si>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</si>
  <si>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</si>
  <si>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</si>
  <si>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</si>
  <si>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</si>
  <si>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</si>
  <si>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</si>
  <si>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</si>
  <si>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</si>
  <si>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</si>
  <si>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</si>
  <si>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</si>
  <si>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</si>
  <si>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</si>
  <si>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</si>
  <si>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</si>
  <si>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</si>
  <si>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</si>
  <si>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</si>
  <si>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</si>
  <si>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</si>
  <si>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</si>
  <si>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</si>
  <si>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</si>
  <si>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</si>
  <si>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</si>
  <si>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</si>
  <si>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</si>
  <si>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</si>
  <si>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</si>
  <si>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</si>
  <si>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</si>
  <si>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</si>
  <si>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</si>
  <si>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</si>
  <si>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</si>
  <si>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</si>
  <si>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</si>
  <si>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</si>
  <si>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</si>
  <si>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</si>
  <si>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</si>
  <si>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</si>
  <si>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</si>
  <si>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</si>
  <si>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</si>
  <si>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</si>
  <si>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</si>
  <si>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</si>
  <si>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</si>
  <si>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</si>
  <si>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</si>
  <si>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</si>
  <si>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</si>
  <si>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</si>
  <si>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</si>
  <si>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</si>
  <si>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</si>
  <si>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</si>
  <si>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</si>
  <si>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</si>
  <si>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</si>
  <si>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</si>
  <si>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</si>
  <si>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</si>
  <si>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</si>
  <si>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</si>
  <si>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</si>
  <si>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</si>
  <si>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</si>
  <si>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</si>
  <si>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</si>
  <si>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</si>
  <si>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</si>
  <si>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</si>
  <si>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</si>
  <si>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</si>
  <si>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</si>
  <si>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</si>
  <si>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</si>
  <si>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</si>
  <si>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</si>
  <si>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</si>
  <si>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</si>
  <si>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</si>
  <si>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</si>
  <si>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</si>
  <si>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</si>
  <si>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</si>
  <si>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</si>
  <si>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</si>
  <si>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</si>
  <si>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</si>
  <si>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</si>
  <si>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</si>
  <si>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</si>
  <si>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</si>
  <si>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</si>
  <si>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</si>
  <si>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</si>
  <si>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</si>
  <si>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</si>
  <si>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</si>
  <si>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</si>
  <si>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</si>
  <si>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</si>
  <si>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</si>
  <si>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</si>
  <si>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</si>
  <si>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</si>
  <si>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</si>
  <si>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</si>
  <si>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</si>
  <si>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</si>
  <si>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</si>
  <si>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</si>
  <si>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</si>
  <si>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</si>
  <si>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</si>
  <si>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</si>
  <si>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</si>
  <si>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</si>
  <si>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</si>
  <si>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</si>
  <si>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</si>
  <si>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</si>
  <si>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</si>
  <si>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</si>
  <si>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</si>
  <si>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</si>
  <si>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</si>
  <si>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</si>
  <si>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</si>
  <si>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</si>
  <si>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</si>
  <si>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</si>
  <si>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</si>
  <si>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</si>
  <si>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</si>
  <si>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</si>
  <si>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</si>
  <si>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</si>
  <si>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</si>
  <si>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</si>
  <si>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</si>
  <si>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</si>
  <si>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</si>
  <si>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</si>
  <si>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</si>
  <si>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</si>
  <si>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</si>
  <si>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</si>
  <si>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</si>
  <si>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</si>
  <si>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</si>
  <si>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</si>
  <si>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</si>
  <si>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</si>
  <si>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</si>
  <si>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</si>
  <si>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</si>
  <si>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</si>
  <si>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</si>
  <si>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</si>
  <si>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</si>
  <si>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</si>
  <si>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</si>
  <si>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</si>
  <si>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</si>
  <si>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</si>
  <si>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</si>
  <si>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</si>
  <si>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</si>
  <si>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</si>
  <si>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</si>
  <si>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</si>
  <si>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</si>
  <si>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</si>
  <si>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</si>
  <si>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</si>
  <si>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</si>
  <si>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</si>
  <si>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</si>
  <si>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</si>
  <si>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</si>
  <si>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</si>
  <si>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</si>
  <si>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</si>
  <si>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</si>
  <si>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</si>
  <si>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</si>
  <si>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</si>
  <si>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</si>
  <si>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</si>
  <si>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</si>
  <si>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</si>
  <si>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</si>
  <si>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</si>
  <si>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</si>
  <si>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</si>
  <si>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</si>
  <si>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</si>
  <si>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</si>
  <si>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</si>
  <si>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</si>
  <si>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</si>
  <si>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</si>
  <si>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</si>
  <si>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</si>
  <si>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</si>
  <si>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</si>
  <si>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</si>
  <si>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</si>
  <si>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</si>
  <si>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</si>
  <si>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</si>
  <si>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</si>
  <si>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</si>
  <si>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</si>
  <si>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</si>
  <si>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</si>
  <si>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</si>
  <si>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</si>
  <si>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</si>
  <si>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</si>
  <si>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</si>
  <si>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</si>
  <si>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</si>
  <si>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</si>
  <si>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</si>
  <si>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</si>
  <si>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</si>
  <si>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</si>
  <si>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</si>
  <si>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</si>
  <si>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</si>
  <si>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</si>
  <si>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</si>
  <si>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</si>
  <si>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</si>
  <si>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</si>
  <si>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</si>
  <si>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</si>
  <si>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</si>
  <si>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</si>
  <si>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</si>
  <si>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</si>
  <si>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</si>
  <si>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</si>
  <si>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</si>
  <si>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</si>
  <si>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</si>
  <si>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</si>
  <si>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</si>
  <si>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</si>
  <si>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</si>
  <si>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</si>
  <si>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</si>
  <si>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</si>
  <si>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</si>
  <si>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</si>
  <si>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</si>
  <si>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</si>
  <si>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</si>
  <si>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</si>
  <si>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</si>
  <si>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</si>
  <si>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</si>
  <si>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</si>
  <si>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</si>
  <si>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</si>
  <si>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</si>
  <si>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</si>
  <si>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</si>
  <si>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</si>
  <si>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</si>
  <si>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</si>
  <si>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</si>
  <si>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</si>
  <si>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</si>
  <si>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</si>
  <si>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</si>
  <si>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</si>
  <si>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</si>
  <si>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</si>
  <si>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</si>
  <si>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</si>
  <si>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</si>
  <si>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</si>
  <si>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</si>
  <si>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</si>
  <si>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</si>
  <si>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</si>
  <si>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</si>
  <si>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</si>
  <si>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</si>
  <si>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</si>
  <si>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</si>
  <si>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</si>
  <si>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</si>
  <si>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</si>
  <si>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</si>
  <si>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</si>
  <si>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</si>
  <si>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</si>
  <si>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</si>
  <si>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</si>
  <si>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</si>
  <si>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</si>
  <si>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</si>
  <si>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</si>
  <si>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</si>
  <si>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</si>
  <si>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</si>
  <si>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</si>
  <si>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</si>
  <si>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</si>
  <si>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</si>
  <si>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</si>
  <si>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</si>
  <si>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</si>
  <si>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</si>
  <si>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</si>
  <si>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</si>
  <si>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</si>
  <si>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</si>
  <si>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</si>
  <si>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</si>
  <si>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</si>
  <si>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</si>
  <si>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</si>
  <si>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</si>
  <si>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</si>
  <si>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</si>
  <si>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</si>
  <si>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</si>
  <si>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</si>
  <si>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</si>
  <si>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</si>
  <si>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</si>
  <si>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</si>
  <si>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</si>
  <si>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</si>
  <si>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</si>
  <si>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</si>
  <si>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</si>
  <si>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</si>
  <si>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</si>
  <si>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</si>
  <si>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</si>
  <si>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</si>
  <si>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</si>
  <si>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</si>
  <si>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</si>
  <si>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</si>
  <si>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</si>
  <si>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</si>
  <si>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</si>
  <si>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</si>
  <si>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</si>
  <si>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</si>
  <si>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</si>
  <si>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</si>
  <si>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</si>
  <si>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</si>
  <si>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</si>
  <si>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</si>
  <si>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</si>
  <si>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</si>
  <si>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</si>
  <si>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</si>
  <si>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</si>
  <si>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</si>
  <si>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</si>
  <si>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</si>
  <si>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</si>
  <si>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</si>
  <si>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</si>
  <si>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</si>
  <si>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</si>
  <si>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</si>
  <si>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</si>
  <si>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</si>
  <si>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</si>
  <si>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</si>
  <si>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</si>
  <si>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</si>
  <si>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</si>
  <si>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</si>
  <si>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</si>
  <si>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</si>
  <si>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</si>
  <si>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</si>
  <si>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</si>
  <si>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</si>
  <si>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</si>
  <si>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</si>
  <si>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</si>
  <si>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</si>
  <si>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</si>
  <si>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</si>
  <si>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</si>
  <si>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</si>
  <si>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</si>
  <si>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</si>
  <si>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</si>
  <si>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</si>
  <si>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</si>
  <si>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</si>
  <si>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</si>
  <si>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</si>
  <si>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</si>
  <si>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</si>
  <si>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</si>
  <si>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</si>
  <si>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</si>
  <si>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</si>
  <si>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</si>
  <si>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</si>
  <si>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</si>
  <si>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</si>
  <si>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</si>
  <si>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</si>
  <si>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</si>
  <si>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</si>
  <si>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</si>
  <si>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</si>
  <si>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</si>
  <si>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</si>
  <si>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</si>
  <si>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</si>
  <si>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</si>
  <si>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</si>
  <si>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</si>
  <si>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</si>
  <si>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</si>
  <si>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</si>
  <si>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</si>
  <si>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</si>
  <si>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</si>
  <si>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</si>
  <si>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</si>
  <si>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</si>
  <si>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</si>
  <si>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</si>
  <si>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</si>
  <si>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</si>
  <si>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</si>
  <si>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</si>
  <si>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</si>
  <si>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</si>
  <si>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</si>
  <si>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</si>
  <si>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</si>
  <si>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</si>
  <si>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</si>
  <si>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</si>
  <si>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</si>
  <si>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</si>
  <si>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</si>
  <si>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</si>
  <si>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</si>
  <si>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</si>
  <si>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</si>
  <si>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</si>
  <si>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</si>
  <si>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</si>
  <si>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</si>
  <si>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</si>
  <si>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</si>
  <si>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</si>
  <si>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</si>
  <si>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</si>
  <si>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</si>
  <si>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</si>
  <si>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</si>
  <si>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</si>
  <si>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</si>
  <si>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</si>
  <si>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</si>
  <si>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</si>
  <si>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</si>
  <si>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</si>
  <si>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</si>
  <si>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</si>
  <si>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</si>
  <si>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</si>
  <si>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</si>
  <si>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</si>
  <si>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</si>
  <si>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</si>
  <si>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</si>
  <si>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</si>
  <si>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</si>
  <si>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</si>
  <si>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</si>
  <si>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</si>
  <si>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</si>
  <si>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</si>
  <si>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</si>
  <si>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</si>
  <si>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</si>
  <si>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</si>
  <si>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</si>
  <si>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</si>
  <si>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</si>
  <si>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</si>
  <si>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</si>
  <si>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</si>
  <si>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</si>
  <si>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</si>
  <si>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</si>
  <si>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</si>
  <si>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</si>
  <si>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</si>
  <si>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</si>
  <si>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</si>
  <si>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</si>
  <si>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</si>
  <si>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</si>
  <si>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</si>
  <si>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</si>
  <si>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</si>
  <si>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</si>
  <si>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</si>
  <si>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</si>
  <si>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</si>
  <si>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</si>
  <si>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</si>
  <si>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</si>
  <si>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</si>
  <si>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</si>
  <si>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</si>
  <si>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</si>
  <si>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</si>
  <si>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</si>
  <si>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</si>
  <si>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</si>
  <si>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</si>
  <si>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</si>
  <si>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</si>
  <si>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</si>
  <si>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</si>
  <si>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</si>
  <si>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</si>
  <si>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</si>
  <si>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</si>
  <si>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</si>
  <si>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</si>
  <si>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</si>
  <si>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</si>
  <si>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</si>
  <si>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</si>
  <si>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</si>
  <si>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</si>
  <si>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</si>
  <si>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</si>
  <si>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</si>
  <si>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</si>
  <si>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</si>
  <si>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</si>
  <si>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</si>
  <si>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</si>
  <si>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</si>
  <si>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</si>
  <si>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</si>
  <si>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</si>
  <si>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</si>
  <si>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</si>
  <si>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</si>
  <si>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</si>
  <si>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</si>
  <si>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</si>
  <si>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</si>
  <si>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</si>
  <si>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</si>
  <si>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</si>
  <si>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</si>
  <si>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</si>
  <si>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</si>
  <si>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</si>
  <si>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</si>
  <si>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</si>
  <si>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</si>
  <si>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</si>
  <si>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</si>
  <si>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</si>
  <si>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</si>
  <si>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</si>
  <si>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</si>
  <si>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</si>
  <si>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</si>
  <si>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</si>
  <si>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</si>
  <si>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</si>
  <si>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</si>
  <si>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</si>
  <si>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</si>
  <si>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</si>
  <si>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</si>
  <si>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</si>
  <si>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</si>
  <si>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</si>
  <si>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</si>
  <si>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</si>
  <si>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</si>
  <si>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</si>
  <si>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</si>
  <si>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</si>
  <si>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</si>
  <si>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</si>
  <si>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</si>
  <si>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</si>
  <si>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</si>
  <si>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</si>
  <si>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</si>
  <si>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</si>
  <si>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</si>
  <si>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</si>
  <si>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</si>
  <si>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</si>
  <si>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</si>
  <si>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</si>
  <si>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</si>
  <si>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</si>
  <si>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</si>
  <si>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</si>
  <si>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</si>
  <si>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</si>
  <si>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</si>
  <si>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</si>
  <si>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</si>
  <si>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</si>
  <si>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</si>
  <si>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</si>
  <si>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</si>
  <si>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</si>
  <si>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</si>
  <si>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</si>
  <si>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</si>
  <si>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</si>
  <si>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</si>
  <si>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</si>
  <si>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</si>
  <si>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</si>
  <si>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</si>
  <si>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</si>
  <si>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</si>
  <si>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</si>
  <si>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</si>
  <si>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</si>
  <si>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</si>
  <si>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</si>
  <si>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</si>
  <si>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</si>
  <si>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</si>
  <si>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</si>
  <si>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</si>
  <si>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</si>
  <si>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</si>
  <si>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</si>
  <si>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</si>
  <si>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</si>
  <si>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</si>
  <si>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</si>
  <si>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</si>
  <si>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</si>
  <si>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</si>
  <si>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</si>
  <si>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</si>
  <si>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</si>
  <si>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</si>
  <si>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</si>
  <si>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</si>
  <si>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</si>
  <si>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</si>
  <si>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</si>
  <si>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</si>
  <si>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</si>
  <si>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</si>
  <si>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</si>
  <si>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</si>
  <si>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</si>
  <si>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</si>
  <si>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</si>
  <si>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</si>
  <si>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</si>
  <si>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</si>
  <si>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</si>
  <si>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</si>
  <si>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</si>
  <si>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</si>
  <si>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</si>
  <si>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</si>
  <si>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</si>
  <si>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</si>
  <si>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</si>
  <si>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</si>
  <si>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</si>
  <si>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</si>
  <si>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</si>
  <si>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</si>
  <si>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</si>
  <si>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</si>
  <si>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</si>
  <si>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</si>
  <si>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</si>
  <si>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</si>
  <si>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</si>
  <si>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</si>
  <si>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</si>
  <si>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</si>
  <si>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</si>
  <si>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</si>
  <si>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</si>
  <si>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</si>
  <si>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</si>
  <si>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</si>
  <si>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</si>
  <si>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</si>
  <si>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</si>
  <si>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</si>
  <si>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</si>
  <si>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</si>
  <si>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</si>
  <si>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</si>
  <si>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</si>
  <si>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</si>
  <si>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</si>
  <si>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</si>
  <si>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</si>
  <si>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</si>
  <si>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</si>
  <si>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</si>
  <si>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</si>
  <si>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</si>
  <si>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</si>
  <si>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</si>
  <si>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</si>
  <si>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</si>
  <si>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</si>
  <si>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</si>
  <si>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</si>
  <si>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</si>
  <si>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</si>
  <si>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</si>
  <si>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</si>
  <si>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</si>
  <si>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</si>
  <si>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</si>
  <si>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</si>
  <si>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</si>
  <si>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</si>
  <si>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</si>
  <si>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</si>
  <si>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</si>
  <si>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</si>
  <si>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</si>
  <si>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</si>
  <si>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</si>
  <si>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</si>
  <si>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</si>
  <si>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</si>
  <si>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</si>
  <si>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</si>
  <si>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</si>
  <si>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</si>
  <si>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</si>
  <si>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</si>
  <si>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</si>
  <si>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</si>
  <si>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</si>
  <si>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</si>
  <si>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</si>
  <si>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</si>
  <si>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</si>
  <si>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</si>
  <si>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</si>
  <si>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</si>
  <si>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</si>
  <si>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</si>
  <si>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</si>
  <si>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</si>
  <si>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</si>
  <si>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</si>
  <si>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</si>
  <si>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</si>
  <si>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</si>
  <si>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</si>
  <si>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</si>
  <si>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</si>
  <si>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</si>
  <si>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</si>
  <si>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</si>
  <si>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</si>
  <si>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</si>
  <si>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</si>
  <si>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</si>
  <si>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</si>
  <si>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</si>
  <si>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</si>
  <si>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</si>
  <si>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</si>
  <si>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</si>
  <si>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</si>
  <si>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</si>
  <si>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</si>
  <si>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</si>
  <si>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</si>
  <si>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</si>
  <si>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</si>
  <si>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</si>
  <si>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</si>
  <si>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</si>
  <si>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</si>
  <si>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</si>
  <si>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</si>
  <si>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</si>
  <si>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</si>
  <si>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</si>
  <si>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</si>
  <si>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</si>
  <si>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</si>
  <si>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</si>
  <si>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</si>
  <si>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</si>
  <si>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</si>
  <si>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</si>
  <si>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</si>
  <si>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</si>
  <si>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</si>
  <si>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</si>
  <si>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</si>
  <si>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</si>
  <si>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</si>
  <si>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</si>
  <si>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</si>
  <si>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</si>
  <si>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</si>
  <si>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</si>
  <si>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</si>
  <si>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</si>
  <si>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</si>
  <si>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</si>
  <si>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</si>
  <si>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</si>
  <si>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</si>
  <si>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</si>
  <si>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</si>
  <si>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</si>
  <si>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</si>
  <si>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</si>
  <si>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</si>
  <si>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</si>
  <si>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</si>
  <si>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</si>
  <si>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</si>
  <si>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</si>
  <si>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</si>
  <si>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</si>
  <si>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</si>
  <si>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</si>
  <si>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</si>
  <si>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</si>
  <si>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</si>
  <si>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</si>
  <si>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</si>
  <si>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</si>
  <si>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</si>
  <si>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</si>
  <si>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</si>
  <si>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</si>
  <si>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</si>
  <si>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</si>
  <si>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</si>
  <si>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</si>
  <si>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</si>
  <si>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</si>
  <si>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</si>
  <si>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</si>
  <si>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</si>
  <si>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</si>
  <si>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</si>
  <si>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</si>
  <si>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</si>
  <si>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</si>
  <si>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</si>
  <si>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</si>
  <si>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</si>
  <si>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</si>
  <si>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</si>
  <si>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</si>
  <si>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</si>
  <si>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</si>
  <si>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</si>
  <si>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</si>
  <si>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</si>
  <si>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</si>
  <si>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</si>
  <si>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</si>
  <si>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</si>
  <si>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</si>
  <si>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</si>
  <si>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</si>
  <si>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</si>
  <si>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</si>
  <si>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</si>
  <si>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</si>
  <si>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</si>
  <si>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</si>
  <si>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</si>
  <si>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</si>
  <si>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</si>
  <si>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</si>
  <si>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</si>
  <si>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</si>
  <si>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</si>
  <si>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</si>
  <si>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</si>
  <si>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</si>
  <si>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</si>
  <si>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</si>
  <si>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</si>
  <si>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</si>
  <si>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</si>
  <si>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</si>
  <si>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</si>
  <si>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</si>
  <si>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</si>
  <si>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</si>
  <si>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</si>
  <si>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</si>
  <si>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</si>
  <si>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</si>
  <si>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</si>
  <si>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</si>
  <si>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</si>
  <si>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</si>
  <si>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</si>
  <si>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</si>
  <si>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</si>
  <si>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</si>
  <si>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</si>
  <si>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</si>
  <si>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</si>
  <si>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</si>
  <si>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</si>
  <si>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</si>
  <si>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</si>
  <si>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</si>
  <si>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</si>
  <si>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</si>
  <si>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</si>
  <si>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</si>
  <si>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</si>
  <si>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</si>
  <si>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</si>
  <si>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</si>
  <si>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</si>
  <si>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</si>
  <si>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</si>
  <si>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</si>
  <si>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</si>
  <si>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</si>
  <si>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</si>
  <si>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</si>
  <si>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</si>
  <si>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</si>
  <si>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</si>
  <si>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</si>
  <si>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</si>
  <si>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</si>
  <si>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</si>
  <si>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</si>
  <si>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</si>
  <si>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</si>
  <si>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</si>
  <si>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</si>
  <si>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</si>
  <si>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</si>
  <si>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</si>
  <si>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</si>
  <si>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</si>
  <si>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</si>
  <si>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</si>
  <si>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</si>
  <si>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</si>
  <si>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</si>
  <si>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</si>
  <si>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</si>
  <si>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</si>
  <si>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</si>
  <si>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</si>
  <si>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</si>
  <si>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</si>
  <si>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</si>
  <si>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</si>
  <si>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</si>
  <si>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</si>
  <si>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</si>
  <si>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</si>
  <si>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</si>
  <si>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</si>
  <si>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</si>
  <si>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</si>
  <si>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</si>
  <si>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</si>
  <si>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</si>
  <si>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</si>
  <si>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</si>
  <si>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</si>
  <si>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</si>
  <si>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</si>
  <si>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</si>
  <si>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</si>
  <si>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</si>
  <si>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</si>
  <si>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</si>
  <si>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</si>
  <si>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</si>
  <si>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</si>
  <si>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</si>
  <si>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</si>
  <si>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</si>
  <si>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</si>
  <si>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</si>
  <si>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</si>
  <si>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</si>
  <si>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</si>
  <si>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</si>
  <si>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</si>
  <si>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</si>
  <si>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</si>
  <si>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</si>
  <si>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</si>
  <si>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</si>
  <si>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</si>
  <si>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</si>
  <si>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</si>
  <si>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</si>
  <si>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</si>
  <si>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</si>
  <si>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</si>
  <si>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</si>
  <si>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</si>
  <si>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</si>
  <si>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</si>
  <si>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</si>
  <si>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</si>
  <si>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</si>
  <si>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</si>
  <si>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</si>
  <si>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</si>
  <si>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</si>
  <si>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</si>
  <si>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</si>
  <si>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</si>
  <si>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</si>
  <si>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</si>
  <si>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</si>
  <si>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</si>
  <si>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</si>
  <si>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</si>
  <si>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</si>
  <si>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</si>
  <si>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</si>
  <si>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</si>
  <si>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</si>
  <si>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</si>
  <si>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</si>
  <si>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</si>
  <si>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</si>
  <si>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</si>
  <si>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</si>
  <si>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</si>
  <si>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</si>
  <si>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</si>
  <si>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</si>
  <si>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</si>
  <si>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</si>
  <si>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</si>
  <si>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</si>
  <si>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</si>
  <si>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</si>
  <si>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</si>
  <si>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</si>
  <si>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</si>
  <si>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</si>
  <si>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</si>
  <si>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</si>
  <si>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</si>
  <si>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</si>
  <si>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</si>
  <si>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</si>
  <si>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</si>
  <si>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</si>
  <si>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</si>
  <si>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</si>
  <si>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</si>
  <si>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</si>
  <si>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</si>
  <si>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</si>
  <si>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</si>
  <si>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</si>
  <si>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</si>
  <si>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</si>
  <si>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</si>
  <si>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</si>
  <si>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</si>
  <si>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</si>
  <si>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</si>
  <si>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</si>
  <si>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</si>
  <si>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</si>
  <si>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</si>
  <si>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</si>
  <si>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</si>
  <si>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</si>
  <si>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</si>
  <si>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</si>
  <si>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</si>
  <si>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</si>
  <si>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</si>
  <si>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</si>
  <si>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</si>
  <si>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</si>
  <si>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</si>
  <si>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</si>
  <si>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</si>
  <si>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</si>
  <si>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</si>
  <si>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</si>
  <si>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</si>
  <si>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</si>
  <si>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</si>
  <si>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</si>
  <si>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</si>
  <si>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</si>
  <si>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</si>
  <si>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</si>
  <si>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</si>
  <si>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</si>
  <si>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</si>
  <si>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</si>
  <si>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</si>
  <si>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</si>
  <si>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</si>
  <si>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</si>
  <si>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</si>
  <si>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</si>
  <si>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</si>
  <si>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</si>
  <si>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</si>
  <si>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</si>
  <si>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</si>
  <si>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</si>
  <si>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</si>
  <si>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</si>
  <si>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</si>
  <si>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</si>
  <si>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</si>
  <si>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</si>
  <si>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</si>
  <si>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</si>
  <si>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</si>
  <si>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</si>
  <si>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</si>
  <si>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</si>
  <si>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</si>
  <si>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</si>
  <si>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</si>
  <si>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</si>
  <si>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</si>
  <si>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</si>
  <si>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</si>
  <si>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</si>
  <si>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</si>
  <si>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</si>
  <si>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</si>
  <si>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</si>
  <si>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</si>
  <si>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</si>
  <si>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</si>
  <si>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</si>
  <si>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</si>
  <si>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</si>
  <si>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</si>
  <si>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</si>
  <si>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</si>
  <si>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</si>
  <si>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</si>
  <si>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</si>
  <si>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</si>
  <si>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</si>
  <si>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</si>
  <si>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</si>
  <si>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</si>
  <si>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</si>
  <si>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</si>
  <si>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</si>
  <si>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</si>
  <si>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</si>
  <si>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</si>
  <si>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</si>
  <si>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</si>
  <si>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</si>
  <si>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</si>
  <si>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</si>
  <si>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</si>
  <si>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</si>
  <si>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</si>
  <si>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</si>
  <si>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</si>
  <si>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</si>
  <si>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</si>
  <si>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</si>
  <si>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</si>
  <si>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</si>
  <si>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</si>
  <si>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</si>
  <si>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</si>
  <si>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</si>
  <si>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</si>
  <si>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</si>
  <si>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</si>
  <si>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</si>
  <si>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</si>
  <si>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</si>
  <si>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</si>
  <si>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</si>
  <si>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</si>
  <si>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</si>
  <si>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</si>
  <si>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</si>
  <si>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</si>
  <si>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</si>
  <si>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</si>
  <si>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</si>
  <si>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</si>
  <si>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</si>
  <si>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</si>
  <si>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</si>
  <si>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</si>
  <si>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</si>
  <si>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</si>
  <si>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</si>
  <si>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</si>
  <si>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</si>
  <si>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</si>
  <si>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</si>
  <si>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</si>
  <si>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</si>
  <si>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</si>
  <si>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</si>
  <si>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</si>
  <si>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</si>
  <si>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</si>
  <si>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</si>
  <si>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</si>
  <si>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</si>
  <si>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</si>
  <si>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</si>
  <si>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</si>
  <si>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</si>
  <si>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</si>
  <si>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</si>
  <si>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</si>
  <si>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</si>
  <si>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</si>
  <si>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</si>
  <si>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</si>
  <si>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</si>
  <si>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</si>
  <si>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</si>
  <si>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</si>
  <si>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</si>
  <si>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</si>
  <si>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</si>
  <si>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</si>
  <si>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</si>
  <si>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</si>
  <si>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</si>
  <si>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</si>
  <si>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</si>
  <si>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</si>
  <si>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</si>
  <si>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</si>
  <si>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</si>
  <si>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</si>
  <si>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</si>
  <si>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</si>
  <si>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</si>
  <si>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</si>
  <si>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</si>
  <si>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</si>
  <si>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</si>
  <si>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</si>
  <si>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</si>
  <si>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</si>
  <si>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</si>
  <si>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</si>
  <si>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</si>
  <si>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</si>
  <si>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</si>
  <si>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</si>
  <si>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</si>
  <si>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</si>
  <si>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</si>
  <si>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</si>
  <si>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</si>
  <si>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</si>
  <si>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</si>
  <si>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</si>
  <si>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</si>
  <si>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</si>
  <si>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</si>
  <si>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</si>
  <si>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</si>
  <si>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</si>
  <si>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</si>
  <si>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</si>
  <si>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</si>
  <si>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</si>
  <si>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</si>
  <si>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</si>
  <si>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</si>
  <si>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</si>
  <si>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</si>
  <si>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</si>
  <si>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</si>
  <si>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</si>
  <si>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</si>
  <si>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</si>
  <si>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</si>
  <si>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</si>
  <si>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</si>
  <si>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</si>
  <si>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</si>
  <si>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</si>
  <si>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</si>
  <si>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</si>
  <si>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</si>
  <si>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</si>
  <si>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</si>
  <si>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</si>
  <si>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</si>
  <si>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</si>
  <si>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</si>
  <si>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</si>
  <si>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</si>
  <si>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</si>
  <si>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</si>
  <si>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</si>
  <si>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</si>
  <si>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</si>
  <si>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</si>
  <si>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</si>
  <si>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</si>
  <si>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</si>
  <si>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</si>
  <si>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</si>
  <si>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</si>
  <si>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</si>
  <si>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</si>
  <si>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</si>
  <si>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</si>
  <si>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</si>
  <si>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</si>
  <si>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</si>
  <si>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</si>
  <si>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</si>
  <si>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</si>
  <si>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</si>
  <si>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</si>
  <si>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</si>
  <si>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</si>
  <si>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</si>
  <si>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</si>
  <si>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</si>
  <si>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</si>
  <si>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</si>
  <si>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</si>
  <si>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</si>
  <si>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</si>
  <si>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</si>
  <si>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</si>
  <si>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</si>
  <si>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</si>
  <si>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</si>
  <si>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</si>
  <si>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</si>
  <si>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</si>
  <si>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</si>
  <si>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</si>
  <si>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</si>
  <si>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</si>
  <si>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</si>
  <si>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</si>
  <si>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</si>
  <si>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</si>
  <si>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</si>
  <si>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</si>
  <si>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</si>
  <si>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</si>
  <si>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</si>
  <si>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</si>
  <si>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</si>
  <si>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</si>
  <si>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</si>
  <si>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</si>
  <si>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</si>
  <si>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</si>
  <si>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</si>
  <si>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</si>
  <si>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</si>
  <si>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</si>
  <si>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</si>
  <si>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</si>
  <si>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</si>
  <si>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</si>
  <si>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</si>
  <si>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</si>
  <si>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</si>
  <si>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</si>
  <si>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</si>
  <si>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</si>
  <si>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</si>
  <si>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</si>
  <si>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</si>
  <si>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</si>
  <si>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</si>
  <si>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</si>
  <si>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</si>
  <si>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</si>
  <si>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</si>
  <si>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</si>
  <si>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</si>
  <si>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</si>
  <si>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</si>
  <si>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</si>
  <si>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</si>
  <si>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</si>
  <si>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</si>
  <si>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</si>
  <si>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</si>
  <si>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</si>
  <si>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</si>
  <si>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</si>
  <si>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</si>
  <si>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</si>
  <si>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</si>
  <si>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</si>
  <si>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</si>
  <si>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</si>
  <si>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</si>
  <si>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</si>
  <si>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</si>
  <si>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</si>
  <si>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</si>
  <si>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</si>
  <si>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</si>
  <si>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</si>
  <si>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</si>
  <si>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</si>
  <si>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</si>
  <si>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</si>
  <si>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</si>
  <si>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</si>
  <si>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</si>
  <si>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</si>
  <si>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</si>
  <si>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</si>
  <si>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</si>
  <si>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</si>
  <si>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</si>
  <si>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</si>
  <si>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</si>
  <si>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</si>
  <si>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</si>
  <si>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</si>
  <si>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</si>
  <si>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</si>
  <si>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</si>
  <si>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</si>
  <si>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</si>
  <si>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</si>
  <si>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</si>
  <si>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</si>
  <si>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</si>
  <si>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</si>
  <si>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</si>
  <si>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</si>
  <si>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</si>
  <si>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</si>
  <si>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</si>
  <si>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</si>
  <si>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</si>
  <si>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</si>
  <si>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</si>
  <si>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</si>
  <si>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</si>
  <si>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</si>
  <si>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</si>
  <si>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</si>
  <si>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</si>
  <si>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</si>
  <si>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</si>
  <si>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</si>
  <si>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</si>
  <si>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</si>
  <si>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</si>
  <si>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</si>
  <si>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</si>
  <si>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</si>
  <si>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</si>
  <si>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</si>
  <si>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</si>
  <si>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</si>
  <si>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</si>
  <si>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</si>
  <si>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</si>
  <si>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</si>
  <si>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</si>
  <si>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</si>
  <si>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</si>
  <si>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</si>
  <si>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</si>
  <si>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</si>
  <si>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</si>
  <si>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</si>
  <si>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</si>
  <si>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</si>
  <si>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</si>
  <si>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</si>
  <si>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</si>
  <si>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</si>
  <si>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</si>
  <si>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</si>
  <si>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</si>
  <si>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</si>
  <si>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</si>
  <si>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</si>
  <si>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</si>
  <si>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</si>
  <si>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</si>
  <si>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</si>
  <si>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</si>
  <si>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</si>
  <si>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</si>
  <si>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</si>
  <si>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</si>
  <si>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</si>
  <si>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</si>
  <si>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</si>
  <si>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</si>
  <si>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</si>
  <si>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</si>
  <si>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</si>
  <si>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</si>
  <si>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</si>
  <si>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</si>
  <si>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</si>
  <si>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</si>
  <si>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</si>
  <si>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</si>
  <si>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</si>
  <si>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</si>
  <si>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</si>
  <si>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</si>
  <si>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</si>
  <si>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</si>
  <si>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</si>
  <si>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</si>
  <si>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</si>
  <si>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</si>
  <si>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</si>
  <si>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</si>
  <si>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</si>
  <si>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</si>
  <si>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</si>
  <si>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</si>
  <si>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</si>
  <si>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</si>
  <si>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</si>
  <si>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</si>
  <si>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</si>
  <si>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</si>
  <si>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</si>
  <si>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</si>
  <si>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</si>
  <si>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</si>
  <si>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</si>
  <si>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</si>
  <si>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</si>
  <si>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</si>
  <si>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</si>
  <si>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</si>
  <si>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</si>
  <si>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</si>
  <si>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</si>
  <si>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</si>
  <si>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</si>
  <si>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</si>
  <si>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</si>
  <si>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</si>
  <si>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</si>
  <si>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</si>
  <si>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</si>
  <si>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</si>
  <si>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</si>
  <si>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</si>
  <si>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</si>
  <si>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</si>
  <si>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</si>
  <si>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</si>
  <si>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</si>
  <si>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</si>
  <si>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</si>
  <si>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</si>
  <si>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</si>
  <si>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</si>
  <si>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</si>
  <si>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</si>
  <si>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</si>
  <si>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</si>
  <si>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</si>
  <si>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</si>
  <si>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</si>
  <si>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</si>
  <si>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</si>
  <si>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</si>
  <si>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</si>
  <si>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</si>
  <si>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</si>
  <si>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</si>
  <si>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</si>
  <si>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</si>
  <si>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</si>
  <si>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</si>
  <si>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</si>
  <si>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</si>
  <si>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</si>
  <si>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</si>
  <si>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</si>
  <si>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</si>
  <si>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</si>
  <si>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</si>
  <si>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</si>
  <si>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</si>
  <si>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</si>
  <si>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</si>
  <si>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</si>
  <si>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</si>
  <si>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</si>
  <si>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</si>
  <si>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</si>
  <si>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</si>
  <si>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</si>
  <si>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</si>
  <si>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</si>
  <si>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</si>
  <si>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</si>
  <si>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</si>
  <si>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</si>
  <si>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</si>
  <si>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</si>
  <si>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</si>
  <si>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</si>
  <si>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</si>
  <si>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</si>
  <si>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</si>
  <si>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</si>
  <si>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</si>
  <si>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</si>
  <si>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</si>
  <si>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</si>
  <si>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</si>
  <si>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</si>
  <si>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</si>
  <si>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</si>
  <si>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</si>
  <si>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</si>
  <si>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</si>
  <si>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</si>
  <si>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</si>
  <si>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</si>
  <si>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</si>
  <si>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</si>
  <si>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</si>
  <si>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</si>
  <si>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</si>
  <si>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</si>
  <si>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</si>
  <si>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</si>
  <si>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</si>
  <si>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</si>
  <si>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</si>
  <si>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</si>
  <si>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</si>
  <si>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</si>
  <si>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</si>
  <si>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</si>
  <si>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</si>
  <si>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</si>
  <si>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</si>
  <si>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</si>
  <si>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</si>
  <si>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</si>
  <si>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</si>
  <si>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</si>
  <si>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</si>
  <si>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</si>
  <si>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</si>
  <si>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</si>
  <si>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</si>
  <si>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</si>
  <si>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</si>
  <si>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</si>
  <si>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</si>
  <si>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</si>
  <si>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</si>
  <si>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</si>
  <si>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</si>
  <si>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</si>
  <si>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</si>
  <si>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</si>
  <si>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</si>
  <si>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</si>
  <si>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</si>
  <si>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</si>
  <si>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</si>
  <si>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</si>
  <si>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</si>
  <si>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</si>
  <si>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</si>
  <si>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</si>
  <si>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</si>
  <si>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</si>
  <si>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</si>
  <si>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</si>
  <si>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</si>
  <si>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</si>
  <si>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</si>
  <si>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</si>
  <si>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</si>
  <si>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</si>
  <si>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</si>
  <si>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</si>
  <si>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</si>
  <si>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</si>
  <si>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</si>
  <si>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</si>
  <si>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</si>
  <si>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</si>
  <si>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</si>
  <si>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</si>
  <si>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</si>
  <si>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</si>
  <si>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</si>
  <si>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</si>
  <si>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</si>
  <si>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</si>
  <si>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</si>
  <si>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</si>
  <si>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</si>
  <si>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</si>
  <si>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</si>
  <si>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</si>
  <si>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</si>
  <si>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</si>
  <si>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</si>
  <si>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</si>
  <si>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</si>
  <si>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</si>
  <si>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</si>
  <si>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</si>
  <si>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</si>
  <si>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</si>
  <si>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</si>
  <si>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</si>
  <si>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</si>
  <si>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</si>
  <si>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</si>
  <si>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</si>
  <si>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</si>
  <si>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</si>
  <si>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</si>
  <si>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</si>
  <si>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</si>
  <si>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</si>
  <si>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</si>
  <si>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</si>
  <si>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</si>
  <si>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</si>
  <si>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</si>
  <si>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</si>
  <si>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</si>
  <si>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</si>
  <si>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</si>
  <si>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</si>
  <si>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</si>
  <si>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</si>
  <si>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</si>
  <si>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</si>
  <si>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</si>
  <si>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</si>
  <si>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</si>
  <si>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</si>
  <si>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</si>
  <si>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</si>
  <si>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</si>
  <si>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</si>
  <si>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</si>
  <si>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</si>
  <si>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</si>
  <si>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</si>
  <si>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</si>
  <si>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</si>
  <si>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</si>
  <si>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</si>
  <si>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</si>
  <si>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</si>
  <si>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</si>
  <si>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</si>
  <si>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</si>
  <si>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</si>
  <si>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</si>
  <si>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</si>
  <si>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</si>
  <si>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</si>
  <si>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</si>
  <si>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</si>
  <si>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</si>
  <si>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</si>
  <si>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</si>
  <si>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</si>
  <si>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</si>
  <si>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</si>
  <si>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</si>
  <si>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</si>
  <si>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</si>
  <si>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</si>
  <si>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</si>
  <si>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</si>
  <si>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</si>
  <si>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</si>
  <si>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</si>
  <si>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</si>
  <si>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</si>
  <si>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</si>
  <si>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</si>
  <si>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</si>
  <si>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</si>
  <si>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</si>
  <si>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</si>
  <si>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</si>
  <si>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</si>
  <si>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</si>
  <si>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</si>
  <si>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</si>
  <si>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</si>
  <si>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</si>
  <si>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</si>
  <si>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</si>
  <si>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</si>
  <si>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</si>
  <si>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</si>
  <si>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</si>
  <si>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</si>
  <si>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</si>
  <si>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</si>
  <si>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</si>
  <si>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</si>
  <si>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</si>
  <si>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</si>
  <si>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</si>
  <si>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</si>
  <si>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</si>
  <si>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</si>
  <si>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</si>
  <si>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</si>
  <si>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</si>
  <si>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</si>
  <si>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</si>
  <si>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</si>
  <si>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</si>
  <si>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</si>
  <si>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</si>
  <si>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</si>
  <si>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</si>
  <si>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</si>
  <si>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</si>
  <si>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</si>
  <si>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</si>
  <si>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</si>
  <si>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</si>
  <si>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</si>
  <si>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</si>
  <si>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</si>
  <si>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</si>
  <si>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</si>
  <si>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</si>
  <si>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</si>
  <si>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</si>
  <si>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</si>
  <si>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</si>
  <si>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</si>
  <si>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</si>
  <si>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</si>
  <si>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</si>
  <si>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</si>
  <si>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</si>
  <si>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</si>
  <si>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</si>
  <si>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</si>
  <si>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</si>
  <si>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</si>
  <si>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</si>
  <si>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</si>
  <si>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</si>
  <si>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</si>
  <si>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</si>
  <si>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</si>
  <si>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</si>
  <si>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</si>
  <si>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</si>
  <si>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</si>
  <si>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</si>
  <si>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</si>
  <si>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</si>
  <si>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</si>
  <si>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</si>
  <si>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</si>
  <si>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</si>
  <si>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</si>
  <si>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</si>
  <si>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</si>
  <si>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</si>
  <si>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</si>
  <si>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</si>
  <si>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</si>
  <si>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</si>
  <si>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</si>
  <si>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</si>
  <si>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</si>
  <si>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</si>
  <si>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</si>
  <si>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</si>
  <si>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</si>
  <si>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</si>
  <si>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</si>
  <si>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</si>
  <si>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</si>
  <si>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</si>
  <si>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</si>
  <si>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</si>
  <si>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</si>
  <si>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</si>
  <si>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</si>
  <si>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</si>
  <si>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</si>
  <si>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</si>
  <si>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</si>
  <si>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</si>
  <si>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</si>
  <si>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</si>
  <si>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</si>
  <si>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</si>
  <si>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</si>
  <si>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</si>
  <si>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</si>
  <si>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</si>
  <si>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</si>
  <si>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</si>
  <si>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</si>
  <si>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</si>
  <si>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</si>
  <si>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</si>
  <si>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</si>
  <si>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</si>
  <si>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</si>
  <si>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</si>
  <si>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</si>
  <si>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</si>
  <si>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</si>
  <si>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</si>
  <si>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</si>
  <si>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</si>
  <si>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</si>
  <si>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</si>
  <si>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</si>
  <si>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</si>
  <si>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</si>
  <si>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</si>
  <si>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</si>
  <si>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</si>
  <si>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</si>
  <si>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</si>
  <si>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</si>
  <si>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</si>
  <si>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</si>
  <si>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</si>
  <si>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</si>
  <si>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</si>
  <si>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</si>
  <si>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</si>
  <si>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</si>
  <si>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</si>
  <si>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</si>
  <si>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</si>
  <si>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</si>
  <si>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</si>
  <si>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</si>
  <si>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</si>
  <si>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</si>
  <si>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</si>
  <si>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</si>
  <si>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</si>
  <si>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</si>
  <si>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</si>
  <si>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</si>
  <si>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</si>
  <si>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</si>
  <si>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</si>
  <si>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</si>
  <si>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</si>
  <si>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</si>
  <si>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</si>
  <si>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</si>
  <si>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</si>
  <si>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</si>
  <si>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</si>
  <si>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</si>
  <si>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</si>
  <si>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</si>
  <si>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</si>
  <si>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</si>
  <si>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</si>
  <si>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</si>
  <si>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</si>
  <si>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</si>
  <si>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</si>
  <si>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</si>
  <si>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</si>
  <si>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</si>
  <si>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</si>
  <si>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</si>
  <si>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</si>
  <si>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</si>
  <si>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</si>
  <si>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</si>
  <si>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</si>
  <si>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</si>
  <si>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</si>
  <si>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</si>
  <si>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</si>
  <si>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</si>
  <si>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</si>
  <si>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</si>
  <si>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</si>
  <si>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</si>
  <si>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</si>
  <si>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</si>
  <si>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</si>
  <si>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</si>
  <si>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</si>
  <si>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</si>
  <si>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</si>
  <si>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</si>
  <si>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</si>
  <si>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</si>
  <si>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</si>
  <si>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</si>
  <si>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</si>
  <si>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</si>
  <si>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</si>
  <si>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</si>
  <si>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</si>
  <si>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</si>
  <si>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</si>
  <si>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</si>
  <si>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</si>
  <si>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</si>
  <si>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</si>
  <si>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</si>
  <si>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</si>
  <si>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</si>
  <si>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</si>
  <si>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</si>
  <si>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</si>
  <si>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</si>
  <si>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</si>
  <si>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</si>
  <si>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</si>
  <si>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</si>
  <si>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</si>
  <si>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</si>
  <si>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</si>
  <si>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</si>
  <si>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</si>
  <si>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</si>
  <si>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</si>
  <si>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</si>
  <si>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</si>
  <si>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</si>
  <si>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</si>
  <si>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</si>
  <si>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</si>
  <si>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</si>
  <si>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</si>
  <si>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</si>
  <si>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</si>
  <si>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</si>
  <si>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</si>
  <si>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</si>
  <si>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</si>
  <si>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</si>
  <si>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</si>
  <si>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</si>
  <si>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</si>
  <si>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</si>
  <si>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</si>
  <si>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</si>
  <si>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</si>
  <si>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</si>
  <si>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</si>
  <si>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</si>
  <si>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</si>
  <si>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</si>
  <si>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</si>
  <si>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</si>
  <si>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</si>
  <si>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</si>
  <si>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</si>
  <si>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</si>
  <si>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</si>
  <si>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</si>
  <si>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</si>
  <si>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</si>
  <si>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</si>
  <si>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</si>
  <si>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</si>
  <si>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</si>
  <si>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</si>
  <si>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</si>
  <si>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</si>
  <si>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</si>
  <si>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</si>
  <si>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</si>
  <si>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</si>
  <si>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</si>
  <si>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</si>
  <si>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</si>
  <si>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</si>
  <si>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</si>
  <si>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</si>
  <si>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</si>
  <si>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</si>
  <si>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</si>
  <si>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</si>
  <si>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</si>
  <si>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</si>
  <si>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</si>
  <si>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</si>
  <si>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</si>
  <si>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</si>
  <si>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</si>
  <si>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</si>
  <si>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</si>
  <si>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</si>
  <si>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</si>
  <si>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</si>
  <si>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</si>
  <si>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</si>
  <si>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</si>
  <si>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</si>
  <si>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</si>
  <si>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</si>
  <si>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</si>
  <si>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</si>
  <si>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</si>
  <si>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</si>
  <si>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</si>
  <si>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</si>
  <si>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</si>
  <si>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</si>
  <si>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</si>
  <si>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</si>
  <si>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</si>
  <si>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</si>
  <si>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</si>
  <si>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</si>
  <si>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</si>
  <si>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</si>
  <si>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</si>
  <si>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</si>
  <si>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</si>
  <si>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</si>
  <si>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</si>
  <si>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</si>
  <si>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</si>
  <si>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</si>
  <si>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</si>
  <si>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</si>
  <si>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</si>
  <si>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</si>
  <si>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</si>
  <si>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</si>
  <si>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</si>
  <si>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</si>
  <si>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</si>
  <si>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</si>
  <si>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</si>
  <si>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</si>
  <si>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</si>
  <si>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</si>
  <si>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</si>
  <si>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</si>
  <si>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</si>
  <si>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</si>
  <si>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</si>
  <si>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</si>
  <si>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</si>
  <si>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</si>
  <si>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</si>
  <si>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</si>
  <si>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</si>
  <si>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</si>
  <si>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</si>
  <si>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</si>
  <si>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</si>
  <si>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</si>
  <si>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</si>
  <si>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</si>
  <si>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</si>
  <si>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</si>
  <si>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</si>
  <si>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</si>
  <si>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</si>
  <si>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</si>
  <si>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</si>
  <si>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</si>
  <si>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</si>
  <si>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</si>
  <si>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</si>
  <si>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</si>
  <si>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</si>
  <si>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</si>
  <si>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</si>
  <si>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</si>
  <si>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</si>
  <si>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</si>
  <si>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</si>
  <si>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</si>
  <si>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</si>
  <si>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</si>
  <si>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</si>
  <si>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</si>
  <si>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</si>
  <si>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</si>
  <si>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</si>
  <si>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</si>
  <si>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</si>
  <si>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</si>
  <si>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</si>
  <si>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</si>
  <si>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</si>
  <si>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</si>
  <si>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</si>
  <si>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</si>
  <si>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</si>
  <si>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</si>
  <si>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</si>
  <si>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</si>
  <si>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</si>
  <si>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</si>
  <si>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</si>
  <si>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</si>
  <si>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</si>
  <si>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</si>
  <si>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</si>
  <si>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</si>
  <si>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</si>
  <si>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</si>
  <si>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</si>
  <si>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</si>
  <si>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</si>
  <si>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</si>
  <si>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</si>
  <si>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</si>
  <si>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</si>
  <si>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</si>
  <si>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</si>
  <si>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</si>
  <si>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</si>
  <si>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</si>
  <si>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</si>
  <si>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</si>
  <si>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</si>
  <si>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</si>
  <si>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</si>
  <si>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</si>
  <si>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</si>
  <si>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</si>
  <si>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</si>
  <si>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</si>
  <si>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</si>
  <si>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</si>
  <si>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</si>
  <si>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</si>
  <si>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</si>
  <si>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</si>
  <si>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</si>
  <si>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</si>
  <si>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</si>
  <si>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</si>
  <si>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</si>
  <si>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</si>
  <si>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</si>
  <si>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</si>
  <si>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</si>
  <si>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</si>
  <si>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</si>
  <si>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</si>
  <si>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</si>
  <si>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</si>
  <si>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</si>
  <si>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</si>
  <si>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</si>
  <si>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</si>
  <si>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</si>
  <si>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</si>
  <si>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</si>
  <si>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</si>
  <si>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</si>
  <si>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</si>
  <si>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</si>
  <si>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</si>
  <si>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</si>
  <si>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</si>
  <si>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</si>
  <si>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</si>
  <si>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</si>
  <si>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</si>
  <si>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</si>
  <si>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</si>
  <si>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</si>
  <si>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</si>
  <si>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</si>
  <si>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</si>
  <si>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</si>
  <si>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</si>
  <si>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</si>
  <si>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</si>
  <si>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</si>
  <si>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</si>
  <si>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</si>
  <si>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</si>
  <si>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</si>
  <si>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</si>
  <si>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</si>
  <si>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</si>
  <si>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</si>
  <si>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</si>
  <si>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</si>
  <si>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</si>
  <si>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</si>
  <si>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</si>
  <si>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</si>
  <si>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</si>
  <si>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</si>
  <si>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</si>
  <si>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</si>
  <si>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</si>
  <si>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</si>
  <si>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</si>
  <si>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</si>
  <si>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</si>
  <si>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</si>
  <si>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</si>
  <si>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</si>
  <si>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</si>
  <si>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</si>
  <si>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</si>
  <si>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</si>
  <si>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</si>
  <si>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</si>
  <si>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</si>
  <si>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</si>
  <si>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</si>
  <si>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</si>
  <si>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</si>
  <si>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</si>
  <si>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</si>
  <si>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</si>
  <si>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</si>
  <si>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</si>
  <si>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</si>
  <si>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</si>
  <si>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</si>
  <si>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</si>
  <si>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</si>
  <si>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</si>
  <si>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</si>
  <si>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</si>
  <si>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</si>
  <si>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</si>
  <si>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</si>
  <si>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</si>
  <si>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</si>
  <si>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</si>
  <si>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</si>
  <si>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</si>
  <si>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</si>
  <si>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</si>
  <si>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</si>
  <si>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</si>
  <si>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</si>
  <si>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</si>
  <si>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</si>
  <si>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</si>
  <si>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</si>
  <si>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</si>
  <si>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</si>
  <si>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</si>
  <si>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</si>
  <si>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</si>
  <si>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</si>
  <si>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</si>
  <si>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</si>
  <si>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</si>
  <si>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</si>
  <si>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</si>
  <si>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</si>
  <si>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</si>
  <si>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</si>
  <si>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</si>
  <si>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</si>
  <si>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</si>
  <si>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</si>
  <si>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</si>
  <si>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</si>
  <si>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</si>
  <si>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</si>
  <si>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</si>
  <si>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</si>
  <si>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</si>
  <si>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</si>
  <si>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</si>
  <si>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</si>
  <si>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</si>
  <si>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</si>
  <si>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</si>
  <si>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</si>
  <si>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</si>
  <si>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</si>
  <si>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</si>
  <si>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</si>
  <si>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</si>
  <si>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</si>
  <si>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</si>
  <si>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</si>
  <si>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</si>
  <si>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</si>
  <si>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</si>
  <si>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</si>
  <si>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</si>
  <si>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</si>
  <si>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</si>
  <si>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</si>
  <si>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</si>
  <si>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</si>
  <si>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</si>
  <si>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</si>
  <si>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</si>
  <si>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</si>
  <si>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</si>
  <si>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</si>
  <si>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</si>
  <si>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</si>
  <si>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</si>
  <si>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</si>
  <si>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</si>
  <si>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</si>
  <si>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</si>
  <si>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</si>
  <si>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</si>
  <si>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</si>
  <si>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</si>
  <si>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</si>
  <si>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</si>
  <si>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</si>
  <si>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</si>
  <si>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</si>
  <si>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</si>
  <si>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</si>
  <si>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</si>
  <si>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</si>
  <si>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</si>
  <si>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</si>
  <si>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</si>
  <si>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</si>
  <si>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</si>
  <si>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</si>
  <si>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</si>
  <si>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</si>
  <si>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</si>
  <si>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</si>
  <si>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</si>
  <si>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</si>
  <si>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</si>
  <si>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</si>
  <si>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</si>
  <si>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</si>
  <si>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</si>
  <si>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</si>
  <si>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</si>
  <si>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</si>
  <si>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</si>
  <si>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</si>
  <si>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</si>
  <si>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</si>
  <si>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</si>
  <si>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</si>
  <si>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</si>
  <si>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</si>
  <si>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</si>
  <si>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</si>
  <si>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</si>
  <si>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</si>
  <si>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</si>
  <si>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</si>
  <si>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</si>
  <si>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</si>
  <si>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</si>
  <si>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</si>
  <si>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</si>
  <si>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</si>
  <si>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</si>
  <si>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</si>
  <si>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</si>
  <si>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</si>
  <si>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</si>
  <si>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</si>
  <si>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</si>
  <si>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</si>
  <si>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</si>
  <si>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</si>
  <si>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</si>
  <si>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</si>
  <si>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</si>
  <si>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</si>
  <si>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</si>
  <si>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</si>
  <si>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</si>
  <si>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</si>
  <si>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</si>
  <si>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</si>
  <si>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</si>
  <si>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</si>
  <si>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</si>
  <si>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</si>
  <si>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</si>
  <si>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</si>
  <si>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</si>
  <si>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</si>
  <si>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</si>
  <si>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</si>
  <si>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</si>
  <si>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</si>
  <si>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</si>
  <si>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</si>
  <si>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</si>
  <si>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</si>
  <si>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</si>
  <si>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</si>
  <si>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</si>
  <si>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</si>
  <si>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</si>
  <si>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</si>
  <si>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</si>
  <si>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</si>
  <si>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</si>
  <si>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</si>
  <si>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</si>
  <si>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</si>
  <si>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</si>
  <si>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</si>
  <si>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</si>
  <si>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</si>
  <si>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</si>
  <si>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</si>
  <si>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</si>
  <si>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</si>
  <si>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</si>
  <si>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</si>
  <si>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</si>
  <si>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</si>
  <si>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</si>
  <si>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</si>
  <si>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</si>
  <si>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</si>
  <si>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</si>
  <si>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</si>
  <si>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</si>
  <si>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</si>
  <si>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</si>
  <si>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</si>
  <si>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</si>
  <si>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</si>
  <si>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</si>
  <si>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</si>
  <si>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</si>
  <si>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</si>
  <si>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</si>
  <si>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</si>
  <si>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</si>
  <si>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</si>
  <si>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</si>
  <si>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</si>
  <si>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</si>
  <si>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</si>
  <si>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</si>
  <si>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</si>
  <si>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</si>
  <si>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</si>
  <si>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</si>
  <si>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</si>
  <si>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</si>
  <si>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</si>
  <si>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</si>
  <si>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</si>
  <si>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</si>
  <si>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</si>
  <si>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</si>
  <si>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</si>
  <si>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</si>
  <si>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</si>
  <si>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</si>
  <si>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</si>
  <si>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</si>
  <si>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</si>
  <si>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</si>
  <si>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</si>
  <si>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</si>
  <si>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</si>
  <si>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</si>
  <si>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</si>
  <si>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</si>
  <si>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</si>
  <si>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</si>
  <si>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</si>
  <si>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</si>
  <si>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</si>
  <si>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</si>
  <si>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</si>
  <si>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</si>
  <si>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</si>
  <si>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</si>
  <si>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</si>
  <si>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</si>
  <si>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</si>
  <si>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</si>
  <si>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</si>
  <si>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</si>
  <si>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</si>
  <si>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</si>
  <si>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</si>
  <si>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</si>
  <si>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</si>
  <si>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</si>
  <si>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</si>
  <si>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</si>
  <si>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</si>
  <si>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</si>
  <si>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</si>
  <si>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</si>
  <si>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</si>
  <si>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</si>
  <si>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</si>
  <si>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</si>
  <si>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</si>
  <si>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</si>
  <si>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</si>
  <si>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</si>
  <si>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</si>
  <si>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</si>
  <si>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</si>
  <si>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</si>
  <si>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</si>
  <si>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</si>
  <si>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</si>
  <si>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</si>
  <si>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</si>
  <si>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</si>
  <si>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</si>
  <si>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</si>
  <si>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</si>
  <si>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</si>
  <si>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</si>
  <si>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</si>
  <si>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</si>
  <si>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</si>
  <si>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</si>
  <si>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</si>
  <si>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</si>
  <si>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</si>
  <si>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</si>
  <si>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</si>
  <si>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</si>
  <si>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</si>
  <si>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</si>
  <si>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</si>
  <si>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</si>
  <si>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</si>
  <si>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</si>
  <si>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</si>
  <si>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</si>
  <si>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</si>
  <si>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</si>
  <si>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</si>
  <si>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</si>
  <si>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</si>
  <si>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</si>
  <si>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</si>
  <si>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</si>
  <si>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</si>
  <si>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</si>
  <si>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</si>
  <si>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</si>
  <si>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</si>
  <si>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</si>
  <si>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</si>
  <si>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</si>
  <si>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</si>
  <si>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</si>
  <si>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</si>
  <si>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</si>
  <si>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</si>
  <si>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</si>
  <si>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</si>
  <si>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</si>
  <si>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</si>
  <si>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</si>
  <si>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</si>
  <si>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</si>
  <si>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</si>
  <si>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</si>
  <si>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</si>
  <si>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</si>
  <si>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</si>
  <si>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</si>
  <si>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</si>
  <si>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</si>
  <si>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</si>
  <si>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</si>
  <si>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</si>
  <si>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</si>
  <si>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</si>
  <si>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</si>
  <si>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</si>
  <si>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</si>
  <si>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</si>
  <si>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</si>
  <si>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</si>
  <si>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</si>
  <si>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</si>
  <si>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</si>
  <si>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</si>
  <si>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</si>
  <si>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</si>
  <si>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</si>
  <si>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</si>
  <si>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</si>
  <si>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</si>
  <si>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</si>
  <si>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</si>
  <si>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</si>
  <si>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</si>
  <si>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</si>
  <si>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</si>
  <si>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</si>
  <si>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</si>
  <si>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</si>
  <si>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</si>
  <si>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</si>
  <si>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</si>
  <si>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</si>
  <si>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</si>
  <si>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</si>
  <si>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</si>
  <si>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</si>
  <si>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</si>
  <si>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</si>
  <si>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</si>
  <si>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</si>
  <si>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</si>
  <si>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</si>
  <si>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</si>
  <si>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</si>
  <si>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</si>
  <si>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</si>
  <si>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</si>
  <si>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</si>
  <si>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</si>
  <si>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</si>
  <si>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</si>
  <si>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</si>
  <si>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</si>
  <si>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</si>
  <si>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</si>
  <si>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</si>
  <si>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</si>
  <si>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</si>
  <si>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</si>
  <si>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</si>
  <si>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</si>
  <si>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</si>
  <si>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</si>
  <si>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</si>
  <si>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</si>
  <si>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</si>
  <si>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</si>
  <si>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</si>
  <si>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</si>
  <si>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</si>
  <si>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</si>
  <si>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</si>
  <si>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</si>
  <si>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</si>
  <si>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</si>
  <si>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</si>
  <si>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</si>
  <si>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</si>
  <si>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</si>
  <si>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</si>
  <si>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</si>
  <si>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</si>
  <si>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</si>
  <si>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</si>
  <si>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</si>
  <si>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</si>
  <si>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</si>
  <si>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</si>
  <si>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</si>
  <si>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</si>
  <si>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</si>
  <si>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</si>
  <si>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</si>
  <si>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</si>
  <si>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</si>
  <si>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</si>
  <si>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</si>
  <si>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</si>
  <si>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</si>
  <si>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</si>
  <si>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</si>
  <si>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</si>
  <si>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</si>
  <si>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</si>
  <si>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</si>
  <si>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</si>
  <si>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</si>
  <si>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</si>
  <si>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</si>
  <si>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</si>
  <si>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</si>
  <si>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</si>
  <si>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</si>
  <si>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</si>
  <si>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</si>
  <si>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</si>
  <si>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</si>
  <si>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</si>
  <si>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</si>
  <si>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</si>
  <si>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</si>
  <si>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</si>
  <si>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</si>
  <si>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</si>
  <si>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</si>
  <si>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</si>
  <si>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</si>
  <si>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</si>
  <si>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</si>
  <si>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</si>
  <si>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</si>
  <si>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</si>
  <si>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</si>
  <si>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</si>
  <si>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</si>
  <si>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</si>
  <si>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</si>
  <si>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</si>
  <si>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</si>
  <si>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</si>
  <si>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</si>
  <si>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</si>
  <si>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</si>
  <si>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</si>
  <si>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</si>
  <si>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</si>
  <si>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</si>
  <si>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</si>
  <si>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</si>
  <si>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</si>
  <si>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</si>
  <si>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</si>
  <si>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</si>
  <si>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</si>
  <si>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</si>
  <si>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</si>
  <si>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</si>
  <si>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</si>
  <si>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</si>
  <si>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</si>
  <si>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</si>
  <si>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</si>
  <si>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</si>
  <si>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</si>
  <si>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</si>
  <si>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</si>
  <si>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</si>
  <si>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</si>
  <si>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</si>
  <si>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</si>
  <si>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</si>
  <si>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</si>
  <si>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</si>
  <si>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</si>
  <si>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</si>
  <si>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</si>
  <si>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</si>
  <si>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</si>
  <si>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</si>
  <si>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</si>
  <si>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</si>
  <si>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</si>
  <si>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</si>
  <si>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</si>
  <si>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</si>
  <si>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</si>
  <si>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</si>
  <si>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</si>
  <si>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</si>
  <si>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</si>
  <si>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</si>
  <si>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</si>
  <si>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</si>
  <si>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</si>
  <si>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</si>
  <si>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</si>
  <si>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</si>
  <si>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</si>
  <si>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</si>
  <si>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</si>
  <si>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</si>
  <si>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</si>
  <si>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</si>
  <si>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</si>
  <si>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</si>
  <si>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</si>
  <si>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</si>
  <si>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</si>
  <si>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</si>
  <si>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</si>
  <si>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</si>
  <si>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</si>
  <si>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</si>
  <si>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</si>
  <si>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</si>
  <si>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</si>
  <si>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</si>
  <si>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</si>
  <si>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</si>
  <si>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</si>
  <si>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</si>
  <si>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</si>
  <si>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</si>
  <si>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</si>
  <si>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</si>
  <si>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</si>
  <si>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</si>
  <si>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</si>
  <si>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</si>
  <si>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</si>
  <si>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</si>
  <si>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</si>
  <si>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</si>
  <si>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</si>
  <si>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</si>
  <si>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</si>
  <si>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</si>
  <si>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</si>
  <si>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</si>
  <si>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</si>
  <si>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</si>
  <si>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</si>
  <si>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</si>
  <si>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</si>
  <si>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</si>
  <si>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</si>
  <si>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</si>
  <si>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</si>
  <si>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</si>
  <si>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</si>
  <si>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</si>
  <si>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</si>
  <si>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</si>
  <si>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</si>
  <si>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</si>
  <si>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</si>
  <si>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</si>
  <si>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</si>
  <si>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</si>
  <si>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</si>
  <si>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</si>
  <si>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</si>
  <si>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</si>
  <si>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</si>
  <si>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</si>
  <si>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</si>
  <si>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</si>
  <si>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</si>
  <si>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</si>
  <si>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</si>
  <si>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</si>
  <si>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</si>
  <si>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</si>
  <si>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</si>
  <si>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</si>
  <si>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</si>
  <si>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</si>
  <si>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</si>
  <si>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</si>
  <si>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</si>
  <si>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</si>
  <si>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</si>
  <si>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</si>
  <si>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</si>
  <si>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</si>
  <si>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</si>
  <si>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</si>
  <si>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</si>
  <si>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</si>
  <si>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</si>
  <si>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</si>
  <si>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</si>
  <si>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</si>
  <si>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</si>
  <si>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</si>
  <si>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</si>
  <si>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</si>
  <si>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</si>
  <si>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</si>
  <si>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</si>
  <si>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</si>
  <si>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</si>
  <si>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</si>
  <si>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</si>
  <si>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</si>
  <si>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</si>
  <si>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</si>
  <si>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</si>
  <si>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</si>
  <si>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</si>
  <si>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</si>
  <si>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</si>
  <si>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</si>
  <si>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</si>
  <si>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</si>
  <si>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</si>
  <si>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</si>
  <si>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</si>
  <si>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</si>
  <si>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</si>
  <si>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</si>
  <si>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</si>
  <si>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</si>
  <si>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</si>
  <si>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</si>
  <si>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</si>
  <si>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</si>
  <si>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</si>
  <si>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</si>
  <si>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</si>
  <si>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</si>
  <si>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</si>
  <si>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</si>
  <si>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</si>
  <si>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</si>
  <si>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</si>
  <si>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</si>
  <si>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</si>
  <si>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</si>
  <si>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</si>
  <si>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</si>
  <si>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</si>
  <si>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</si>
  <si>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</si>
  <si>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</si>
  <si>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</si>
  <si>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</si>
  <si>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</si>
  <si>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</si>
  <si>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</si>
  <si>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</si>
  <si>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</si>
  <si>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</si>
  <si>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</si>
  <si>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</si>
  <si>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</si>
  <si>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</si>
  <si>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</si>
  <si>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</si>
  <si>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</si>
  <si>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</si>
  <si>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</si>
  <si>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</si>
  <si>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</si>
  <si>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</si>
  <si>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</si>
  <si>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</si>
  <si>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</si>
  <si>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</si>
  <si>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</si>
  <si>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</si>
  <si>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</si>
  <si>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</si>
  <si>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</si>
  <si>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</si>
  <si>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</si>
  <si>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</si>
  <si>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</si>
  <si>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</si>
  <si>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</si>
  <si>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</si>
  <si>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</si>
  <si>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</si>
  <si>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</si>
  <si>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</si>
  <si>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</si>
  <si>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</si>
  <si>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</si>
  <si>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</si>
  <si>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</si>
  <si>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</si>
  <si>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</si>
  <si>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</si>
  <si>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</si>
  <si>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</si>
  <si>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</si>
  <si>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</si>
  <si>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</si>
  <si>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</si>
  <si>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</si>
  <si>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</si>
  <si>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</si>
  <si>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</si>
  <si>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</si>
  <si>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</si>
  <si>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</si>
  <si>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</si>
  <si>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</si>
  <si>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</si>
  <si>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</si>
  <si>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</si>
  <si>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</si>
  <si>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</si>
  <si>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</si>
  <si>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</si>
  <si>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</si>
  <si>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</si>
  <si>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</si>
  <si>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</si>
  <si>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</si>
  <si>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</si>
  <si>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</si>
  <si>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</si>
  <si>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</si>
  <si>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</si>
  <si>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</si>
  <si>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</si>
  <si>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</si>
  <si>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</si>
  <si>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</si>
  <si>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</si>
  <si>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</si>
  <si>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</si>
  <si>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</si>
  <si>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</si>
  <si>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</si>
  <si>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</si>
  <si>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</si>
  <si>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</si>
  <si>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</si>
  <si>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</si>
  <si>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</si>
  <si>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</si>
  <si>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</si>
  <si>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</si>
  <si>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</si>
  <si>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</si>
  <si>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</si>
  <si>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</si>
  <si>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</si>
  <si>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</si>
  <si>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</si>
  <si>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</si>
  <si>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</si>
  <si>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</si>
  <si>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</si>
  <si>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</si>
  <si>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</si>
  <si>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</si>
  <si>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</si>
  <si>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</si>
  <si>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</si>
  <si>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</si>
  <si>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</si>
  <si>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</si>
  <si>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</si>
  <si>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</si>
  <si>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</si>
  <si>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</si>
  <si>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</si>
  <si>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</si>
  <si>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</si>
  <si>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</si>
  <si>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</si>
  <si>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</si>
  <si>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</si>
  <si>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</si>
  <si>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</si>
  <si>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</si>
  <si>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</si>
  <si>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</si>
  <si>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</si>
  <si>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</si>
  <si>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</si>
  <si>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</si>
  <si>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</si>
  <si>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</si>
  <si>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</si>
  <si>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</si>
  <si>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</si>
  <si>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</si>
  <si>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</si>
  <si>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</si>
  <si>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</si>
  <si>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</si>
  <si>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</si>
  <si>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</si>
  <si>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</si>
  <si>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</si>
  <si>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</si>
  <si>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</si>
  <si>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</si>
  <si>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</si>
  <si>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</si>
  <si>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</si>
  <si>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</si>
  <si>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</si>
  <si>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</si>
  <si>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</si>
  <si>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</si>
  <si>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</si>
  <si>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</si>
  <si>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</si>
  <si>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</si>
  <si>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</si>
  <si>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</si>
  <si>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</si>
  <si>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</si>
  <si>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</si>
  <si>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</si>
  <si>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</si>
  <si>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</si>
  <si>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</si>
  <si>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</si>
  <si>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</si>
  <si>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</si>
  <si>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</si>
  <si>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</si>
  <si>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</si>
  <si>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</si>
  <si>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</si>
  <si>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</si>
  <si>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</si>
  <si>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</si>
  <si>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</si>
  <si>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</si>
  <si>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</si>
  <si>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</si>
  <si>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</si>
  <si>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</si>
  <si>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</si>
  <si>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</si>
  <si>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</si>
  <si>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</si>
  <si>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</si>
  <si>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</si>
  <si>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</si>
  <si>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</si>
  <si>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</si>
  <si>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</si>
  <si>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</si>
  <si>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</si>
  <si>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</si>
  <si>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</si>
  <si>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</si>
  <si>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</si>
  <si>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</si>
  <si>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</si>
  <si>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</si>
  <si>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</si>
  <si>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</si>
  <si>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</si>
  <si>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</si>
  <si>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</si>
  <si>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</si>
  <si>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</si>
  <si>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</si>
  <si>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</si>
  <si>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</si>
  <si>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</si>
  <si>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</si>
  <si>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</si>
  <si>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</si>
  <si>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</si>
  <si>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</si>
  <si>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</si>
  <si>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</si>
  <si>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</si>
  <si>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</si>
  <si>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</si>
  <si>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</si>
  <si>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</si>
  <si>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</si>
  <si>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</si>
  <si>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</si>
  <si>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</si>
  <si>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</si>
  <si>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</si>
  <si>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</si>
  <si>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</si>
  <si>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</si>
  <si>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</si>
  <si>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</si>
  <si>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</si>
  <si>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</si>
  <si>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</si>
  <si>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</si>
  <si>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</si>
  <si>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</si>
  <si>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</si>
  <si>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</si>
  <si>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</si>
  <si>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</si>
  <si>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</si>
  <si>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</si>
  <si>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</si>
  <si>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</si>
  <si>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</si>
  <si>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</si>
  <si>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</si>
  <si>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</si>
  <si>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</si>
  <si>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</si>
  <si>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</si>
  <si>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</si>
  <si>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</si>
  <si>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</si>
  <si>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</si>
  <si>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</si>
  <si>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</si>
  <si>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</si>
  <si>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</si>
  <si>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</si>
  <si>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</si>
  <si>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</si>
  <si>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</si>
  <si>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</si>
  <si>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</si>
  <si>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</si>
  <si>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</si>
  <si>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</si>
  <si>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</si>
  <si>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</si>
  <si>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</si>
  <si>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</si>
  <si>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</si>
  <si>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</si>
  <si>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</si>
  <si>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</si>
  <si>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</si>
  <si>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</si>
  <si>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</si>
  <si>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</si>
  <si>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</si>
  <si>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</si>
  <si>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</si>
  <si>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</si>
  <si>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</si>
  <si>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</si>
  <si>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</si>
  <si>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</si>
  <si>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</si>
  <si>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</si>
  <si>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</si>
  <si>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</si>
  <si>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</si>
  <si>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</si>
  <si>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</si>
  <si>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</si>
  <si>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</si>
  <si>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</si>
  <si>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</si>
  <si>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</si>
  <si>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</si>
  <si>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</si>
  <si>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</si>
  <si>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</si>
  <si>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</si>
  <si>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</si>
  <si>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</si>
  <si>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</si>
  <si>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</si>
  <si>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</si>
  <si>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</si>
  <si>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</si>
  <si>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</si>
  <si>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</si>
  <si>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</si>
  <si>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</si>
  <si>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</si>
  <si>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</si>
  <si>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</si>
  <si>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</si>
  <si>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</si>
  <si>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</si>
  <si>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</si>
  <si>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</si>
  <si>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</si>
  <si>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</si>
  <si>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</si>
  <si>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</si>
  <si>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</si>
  <si>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</si>
  <si>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</si>
  <si>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</si>
  <si>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</si>
  <si>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</si>
  <si>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</si>
  <si>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</si>
  <si>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</si>
  <si>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</si>
  <si>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</si>
  <si>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</si>
  <si>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</si>
  <si>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</si>
  <si>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</si>
  <si>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</si>
  <si>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</si>
  <si>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</si>
  <si>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</si>
  <si>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</si>
  <si>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</si>
  <si>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</si>
  <si>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</si>
  <si>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</si>
  <si>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</si>
  <si>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</si>
  <si>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</si>
  <si>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</si>
  <si>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</si>
  <si>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</si>
  <si>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</si>
  <si>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</si>
  <si>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</si>
  <si>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</si>
  <si>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</si>
  <si>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</si>
  <si>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</si>
  <si>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</si>
  <si>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</si>
  <si>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</si>
  <si>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</si>
  <si>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</si>
  <si>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</si>
  <si>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</si>
  <si>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</si>
  <si>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</si>
  <si>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</si>
  <si>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</si>
  <si>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</si>
  <si>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</si>
  <si>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</si>
  <si>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</si>
  <si>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</si>
  <si>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</si>
  <si>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</si>
  <si>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</si>
  <si>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</si>
  <si>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</si>
  <si>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</si>
  <si>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</si>
  <si>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</si>
  <si>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</si>
  <si>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</si>
  <si>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</si>
  <si>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</si>
  <si>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</si>
  <si>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</si>
  <si>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</si>
  <si>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</si>
  <si>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</si>
  <si>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</si>
  <si>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</si>
  <si>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</si>
  <si>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</si>
  <si>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</si>
  <si>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</si>
  <si>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</si>
  <si>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</si>
  <si>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</si>
  <si>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</si>
  <si>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</si>
  <si>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</si>
  <si>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</si>
  <si>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</si>
  <si>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</si>
  <si>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</si>
  <si>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</si>
  <si>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</si>
  <si>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</si>
  <si>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</si>
  <si>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</si>
  <si>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</si>
  <si>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</si>
  <si>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</si>
  <si>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</si>
  <si>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</si>
  <si>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</si>
  <si>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</si>
  <si>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</si>
  <si>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</si>
  <si>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</si>
  <si>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</si>
  <si>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</si>
  <si>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</si>
  <si>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</si>
  <si>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</si>
  <si>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</si>
  <si>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</si>
  <si>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</si>
  <si>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</si>
  <si>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</si>
  <si>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</si>
  <si>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</si>
  <si>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</si>
  <si>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</si>
  <si>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</si>
  <si>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</si>
  <si>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</si>
  <si>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</si>
  <si>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</si>
  <si>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</si>
  <si>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</si>
  <si>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</si>
  <si>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</si>
  <si>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</si>
  <si>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</si>
  <si>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</si>
  <si>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</si>
  <si>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</si>
  <si>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</si>
  <si>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</si>
  <si>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</si>
  <si>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</si>
  <si>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</si>
  <si>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</si>
  <si>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</si>
  <si>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</si>
  <si>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</si>
  <si>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</si>
  <si>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</si>
  <si>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</si>
  <si>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</si>
  <si>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</si>
  <si>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</si>
  <si>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</si>
  <si>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</si>
  <si>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</si>
  <si>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</si>
  <si>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</si>
  <si>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</si>
  <si>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</si>
  <si>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</si>
  <si>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</si>
  <si>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</si>
  <si>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</si>
  <si>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</si>
  <si>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</si>
  <si>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</si>
  <si>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</si>
  <si>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</si>
  <si>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</si>
  <si>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</si>
  <si>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</si>
  <si>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</si>
  <si>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</si>
  <si>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</si>
  <si>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</si>
  <si>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</si>
  <si>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</si>
  <si>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</si>
  <si>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</si>
  <si>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</si>
  <si>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</si>
  <si>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</si>
  <si>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</si>
  <si>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</si>
  <si>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</si>
  <si>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</si>
  <si>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</si>
  <si>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</si>
  <si>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</si>
  <si>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</si>
  <si>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</si>
  <si>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</si>
  <si>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</si>
  <si>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</si>
  <si>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</si>
  <si>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</si>
  <si>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</si>
  <si>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</si>
  <si>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</si>
  <si>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</si>
  <si>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</si>
  <si>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</si>
  <si>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</si>
  <si>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</si>
  <si>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</si>
  <si>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</si>
  <si>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</si>
  <si>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</si>
  <si>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</si>
  <si>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</si>
  <si>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</si>
  <si>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</si>
  <si>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</si>
  <si>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</si>
  <si>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</si>
  <si>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</si>
  <si>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</si>
  <si>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</si>
  <si>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</si>
  <si>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</si>
  <si>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</si>
  <si>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</si>
  <si>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</si>
  <si>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</si>
  <si>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</si>
  <si>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</si>
  <si>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</si>
  <si>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</si>
  <si>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</si>
  <si>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</si>
  <si>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</si>
  <si>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</si>
  <si>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</si>
  <si>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</si>
  <si>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</si>
  <si>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</si>
  <si>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</si>
  <si>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</si>
  <si>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</si>
  <si>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</si>
  <si>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</si>
  <si>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</si>
  <si>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</si>
  <si>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</si>
  <si>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</si>
  <si>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</si>
  <si>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</si>
  <si>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</si>
  <si>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</si>
  <si>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</si>
  <si>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</si>
  <si>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</si>
  <si>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</si>
  <si>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</si>
  <si>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</si>
  <si>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</si>
  <si>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</si>
  <si>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</si>
  <si>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</si>
  <si>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</si>
  <si>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</si>
  <si>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</si>
  <si>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</si>
  <si>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</si>
  <si>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</si>
  <si>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</si>
  <si>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</si>
  <si>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</si>
  <si>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</si>
  <si>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</si>
  <si>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</si>
  <si>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</si>
  <si>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</si>
  <si>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</si>
  <si>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</si>
  <si>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</si>
  <si>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</si>
  <si>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</si>
  <si>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</si>
  <si>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</si>
  <si>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</si>
  <si>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</si>
  <si>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</si>
  <si>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</si>
  <si>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</si>
  <si>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</si>
  <si>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</si>
  <si>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</si>
  <si>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</si>
  <si>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</si>
  <si>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</si>
  <si>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</si>
  <si>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</si>
  <si>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</si>
  <si>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</si>
  <si>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</si>
  <si>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</si>
  <si>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</si>
  <si>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</si>
  <si>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</si>
  <si>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</si>
  <si>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</si>
  <si>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</si>
  <si>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</si>
  <si>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</si>
  <si>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</si>
  <si>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</si>
  <si>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</si>
  <si>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</si>
  <si>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</si>
  <si>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</si>
  <si>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</si>
  <si>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</si>
  <si>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</si>
  <si>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</si>
  <si>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</si>
  <si>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</si>
  <si>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</si>
  <si>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</si>
  <si>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</si>
  <si>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</si>
  <si>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</si>
  <si>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</si>
  <si>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</si>
  <si>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</si>
  <si>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</si>
  <si>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</si>
  <si>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</si>
  <si>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</si>
  <si>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</si>
  <si>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</si>
  <si>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</si>
  <si>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</si>
  <si>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</si>
  <si>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</si>
  <si>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</si>
  <si>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</si>
  <si>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</si>
  <si>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</si>
  <si>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</si>
  <si>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</si>
  <si>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</si>
  <si>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</si>
  <si>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</si>
  <si>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</si>
  <si>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</si>
  <si>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</si>
  <si>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</si>
  <si>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</si>
  <si>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</si>
  <si>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</si>
  <si>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</si>
  <si>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</si>
  <si>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</si>
  <si>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</si>
  <si>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</si>
  <si>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</si>
  <si>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</si>
  <si>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</si>
  <si>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</si>
  <si>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</si>
  <si>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</si>
  <si>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</si>
  <si>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</si>
  <si>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</si>
  <si>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</si>
  <si>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</si>
  <si>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</si>
  <si>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</si>
  <si>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</si>
  <si>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</si>
  <si>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</si>
  <si>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</si>
  <si>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</si>
  <si>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</si>
  <si>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</si>
  <si>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</si>
  <si>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</si>
  <si>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</si>
  <si>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</si>
  <si>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</si>
  <si>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</si>
  <si>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</si>
  <si>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</si>
  <si>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</si>
  <si>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</si>
  <si>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</si>
  <si>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</si>
  <si>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</si>
  <si>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</si>
  <si>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</si>
  <si>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</si>
  <si>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</si>
  <si>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</si>
  <si>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</si>
  <si>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</si>
  <si>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</si>
  <si>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</si>
  <si>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</si>
  <si>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</si>
  <si>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</si>
  <si>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</si>
  <si>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</si>
  <si>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</si>
  <si>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</si>
  <si>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</si>
  <si>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</si>
  <si>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</si>
  <si>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</si>
  <si>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</si>
  <si>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</si>
  <si>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</si>
  <si>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</si>
  <si>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</si>
  <si>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</si>
  <si>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</si>
  <si>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</si>
  <si>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</si>
  <si>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</si>
  <si>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</si>
  <si>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</si>
  <si>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</si>
  <si>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</si>
  <si>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</si>
  <si>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</si>
  <si>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</si>
  <si>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</si>
  <si>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</si>
  <si>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</si>
  <si>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</si>
  <si>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</si>
  <si>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</si>
  <si>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</si>
  <si>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</si>
  <si>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</si>
  <si>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</si>
  <si>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</si>
  <si>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</si>
  <si>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</si>
  <si>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</si>
  <si>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</si>
  <si>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</si>
  <si>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</si>
  <si>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</si>
  <si>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</si>
  <si>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</si>
  <si>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</si>
  <si>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</si>
  <si>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</si>
  <si>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</si>
  <si>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</si>
  <si>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</si>
  <si>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</si>
  <si>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</si>
  <si>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</si>
  <si>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</si>
  <si>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</si>
  <si>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</si>
  <si>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</si>
  <si>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</si>
  <si>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</si>
  <si>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</si>
  <si>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</si>
  <si>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</si>
  <si>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</si>
  <si>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</si>
  <si>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</si>
  <si>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</si>
  <si>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</si>
  <si>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</si>
  <si>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</si>
  <si>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</si>
  <si>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</si>
  <si>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</si>
  <si>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</si>
  <si>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</si>
  <si>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</si>
  <si>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</si>
  <si>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</si>
  <si>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</si>
  <si>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</si>
  <si>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</si>
  <si>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</si>
  <si>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</si>
  <si>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</si>
  <si>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</si>
  <si>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</si>
  <si>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</si>
  <si>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</si>
  <si>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</si>
  <si>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</si>
  <si>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</si>
  <si>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</si>
  <si>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</si>
  <si>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</si>
  <si>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</si>
  <si>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</si>
  <si>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</si>
  <si>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</si>
  <si>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</si>
  <si>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</si>
  <si>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</si>
  <si>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</si>
  <si>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</si>
  <si>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</si>
  <si>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</si>
  <si>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</si>
  <si>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</si>
  <si>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</si>
  <si>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</si>
  <si>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</si>
  <si>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</si>
  <si>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</si>
  <si>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</si>
  <si>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</si>
  <si>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</si>
  <si>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</si>
  <si>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</si>
  <si>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</si>
  <si>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</si>
  <si>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</si>
  <si>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</si>
  <si>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</si>
  <si>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</si>
  <si>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</si>
  <si>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</si>
  <si>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</si>
  <si>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</si>
  <si>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</si>
  <si>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</si>
  <si>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</si>
  <si>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</si>
  <si>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</si>
  <si>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</si>
  <si>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</si>
  <si>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</si>
  <si>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</si>
  <si>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</si>
  <si>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</si>
  <si>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</si>
  <si>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</si>
  <si>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</si>
  <si>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</si>
  <si>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</si>
  <si>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</si>
  <si>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</si>
  <si>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</si>
  <si>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</si>
  <si>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</si>
  <si>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</si>
  <si>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</si>
  <si>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</si>
  <si>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</si>
  <si>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</si>
  <si>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</si>
  <si>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</si>
  <si>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</si>
  <si>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</si>
  <si>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</si>
  <si>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</si>
  <si>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</si>
  <si>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</si>
  <si>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</si>
  <si>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</si>
  <si>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</si>
  <si>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</si>
  <si>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</si>
  <si>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</si>
  <si>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</si>
  <si>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</si>
  <si>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</si>
  <si>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</si>
  <si>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</si>
  <si>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</si>
  <si>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</si>
  <si>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</si>
  <si>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</si>
  <si>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</si>
  <si>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</si>
  <si>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</si>
  <si>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</si>
  <si>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</si>
  <si>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</si>
  <si>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</si>
  <si>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</si>
  <si>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</si>
  <si>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</si>
  <si>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</si>
  <si>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</si>
  <si>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</si>
  <si>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</si>
  <si>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</si>
  <si>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</si>
  <si>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</si>
  <si>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</si>
  <si>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</si>
  <si>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</si>
  <si>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</si>
  <si>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</si>
  <si>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</si>
  <si>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</si>
  <si>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</si>
  <si>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</si>
  <si>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</si>
  <si>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</si>
  <si>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</si>
  <si>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</si>
  <si>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</si>
  <si>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</si>
  <si>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</si>
  <si>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</si>
  <si>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</si>
  <si>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</si>
  <si>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</si>
  <si>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</si>
  <si>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</si>
  <si>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</si>
  <si>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</si>
  <si>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</si>
  <si>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</si>
  <si>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</si>
  <si>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</si>
  <si>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</si>
  <si>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</si>
  <si>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</si>
  <si>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</si>
  <si>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</si>
  <si>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</si>
  <si>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</si>
  <si>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</si>
  <si>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</si>
  <si>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</si>
  <si>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</si>
  <si>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</si>
  <si>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</si>
  <si>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</si>
  <si>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</si>
  <si>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</si>
  <si>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</si>
  <si>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</si>
  <si>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</si>
  <si>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</si>
  <si>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</si>
  <si>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</si>
  <si>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</si>
  <si>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</si>
  <si>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</si>
  <si>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</si>
  <si>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</si>
  <si>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</si>
  <si>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</si>
  <si>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</si>
  <si>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</si>
  <si>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</si>
  <si>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</si>
  <si>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</si>
  <si>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</si>
  <si>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</si>
  <si>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</si>
  <si>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</si>
  <si>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</si>
  <si>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</si>
  <si>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</si>
  <si>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</si>
  <si>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</si>
  <si>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</si>
  <si>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</si>
  <si>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</si>
  <si>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</si>
  <si>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</si>
  <si>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</si>
  <si>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</si>
  <si>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</si>
  <si>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</si>
  <si>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</si>
  <si>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</si>
  <si>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</si>
  <si>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</si>
  <si>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</si>
  <si>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</si>
  <si>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</si>
  <si>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</si>
  <si>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</si>
  <si>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</si>
  <si>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</si>
  <si>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</si>
  <si>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</si>
  <si>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</si>
  <si>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</si>
  <si>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</si>
  <si>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</si>
  <si>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</si>
  <si>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</si>
  <si>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</si>
  <si>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</si>
  <si>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</si>
  <si>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</si>
  <si>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</si>
  <si>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</si>
  <si>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</si>
  <si>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</si>
  <si>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</si>
  <si>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</si>
  <si>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</si>
  <si>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</si>
  <si>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</si>
  <si>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</si>
  <si>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</si>
  <si>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</si>
  <si>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</si>
  <si>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</si>
  <si>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</si>
  <si>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</si>
  <si>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</si>
  <si>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</si>
  <si>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</si>
  <si>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</si>
  <si>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</si>
  <si>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</si>
  <si>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</si>
  <si>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</si>
  <si>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</si>
  <si>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</si>
  <si>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</si>
  <si>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</si>
  <si>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</si>
  <si>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</si>
  <si>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</si>
  <si>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</si>
  <si>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</si>
  <si>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</si>
  <si>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</si>
  <si>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</si>
  <si>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</si>
  <si>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</si>
  <si>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</si>
  <si>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</si>
  <si>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</si>
  <si>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</si>
  <si>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</si>
  <si>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</si>
  <si>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</si>
  <si>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</si>
  <si>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</si>
  <si>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</si>
  <si>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</si>
  <si>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</si>
  <si>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</si>
  <si>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</si>
  <si>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</si>
  <si>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</si>
  <si>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</si>
  <si>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</si>
  <si>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</si>
  <si>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</si>
  <si>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</si>
  <si>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</si>
  <si>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</si>
  <si>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</si>
  <si>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</si>
  <si>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</si>
  <si>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</si>
  <si>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</si>
  <si>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</si>
  <si>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</si>
  <si>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</si>
  <si>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</si>
  <si>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</si>
  <si>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</si>
  <si>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</si>
  <si>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</si>
  <si>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</si>
  <si>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</si>
  <si>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</si>
  <si>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</si>
  <si>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</si>
  <si>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</si>
  <si>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</si>
  <si>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</si>
  <si>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</si>
  <si>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</si>
  <si>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</si>
  <si>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</si>
  <si>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</si>
  <si>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</si>
  <si>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</si>
  <si>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</si>
  <si>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</si>
  <si>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</si>
  <si>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</si>
  <si>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</si>
  <si>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</si>
  <si>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</si>
  <si>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</si>
  <si>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</si>
  <si>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</si>
  <si>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</si>
  <si>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</si>
  <si>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</si>
  <si>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</si>
  <si>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</si>
  <si>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</si>
  <si>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</si>
  <si>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</si>
  <si>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</si>
  <si>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</si>
  <si>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</si>
  <si>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</si>
  <si>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</si>
  <si>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</si>
  <si>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</si>
  <si>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</si>
  <si>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</si>
  <si>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</si>
  <si>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</si>
  <si>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</si>
  <si>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</si>
  <si>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</si>
  <si>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</si>
  <si>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</si>
  <si>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</si>
  <si>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</si>
  <si>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</si>
  <si>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</si>
  <si>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</si>
  <si>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</si>
  <si>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</si>
  <si>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</si>
  <si>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</si>
  <si>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</si>
  <si>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</si>
  <si>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</si>
  <si>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</si>
  <si>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</si>
  <si>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</si>
  <si>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</si>
  <si>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</si>
  <si>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</si>
  <si>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</si>
  <si>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</si>
  <si>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</si>
  <si>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</si>
  <si>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</si>
  <si>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</si>
  <si>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</si>
  <si>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</si>
  <si>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</si>
  <si>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</si>
  <si>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</si>
  <si>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</si>
  <si>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</si>
  <si>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</si>
  <si>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</si>
  <si>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</si>
  <si>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</si>
  <si>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</si>
  <si>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</si>
  <si>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</si>
  <si>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</si>
  <si>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</si>
  <si>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</si>
  <si>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</si>
  <si>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</si>
  <si>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</si>
  <si>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</si>
  <si>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</si>
  <si>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</si>
  <si>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</si>
  <si>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</si>
  <si>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</si>
  <si>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</si>
  <si>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</si>
  <si>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</si>
  <si>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</si>
  <si>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</si>
  <si>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</si>
  <si>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</si>
  <si>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</si>
  <si>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</si>
  <si>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</si>
  <si>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</si>
  <si>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</si>
  <si>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</si>
  <si>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</si>
  <si>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</si>
  <si>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</si>
  <si>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</si>
  <si>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</si>
  <si>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</si>
  <si>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</si>
  <si>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</si>
  <si>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</si>
  <si>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</si>
  <si>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</si>
  <si>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</si>
  <si>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</si>
  <si>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</si>
  <si>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</si>
  <si>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</si>
  <si>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</si>
  <si>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</si>
  <si>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</si>
  <si>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</si>
  <si>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</si>
  <si>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</si>
  <si>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</si>
  <si>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</si>
  <si>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</si>
  <si>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</si>
  <si>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</si>
  <si>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</si>
  <si>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</si>
  <si>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</si>
  <si>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</si>
  <si>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</si>
  <si>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</si>
  <si>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</si>
  <si>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</si>
  <si>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</si>
  <si>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</si>
  <si>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</si>
  <si>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</si>
  <si>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</si>
  <si>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</si>
  <si>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</si>
  <si>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</si>
  <si>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</si>
  <si>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</si>
  <si>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</si>
  <si>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</si>
  <si>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</si>
  <si>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</si>
  <si>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</si>
  <si>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</si>
  <si>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</si>
  <si>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</si>
  <si>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</si>
  <si>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</si>
  <si>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</si>
  <si>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</si>
  <si>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</si>
  <si>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</si>
  <si>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</si>
  <si>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</si>
  <si>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</si>
  <si>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</si>
  <si>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</si>
  <si>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</si>
  <si>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</si>
  <si>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</si>
  <si>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</si>
  <si>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</si>
  <si>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</si>
  <si>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</si>
  <si>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</si>
  <si>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</si>
  <si>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</si>
  <si>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</si>
  <si>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</si>
  <si>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</si>
  <si>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</si>
  <si>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</si>
  <si>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</si>
  <si>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</si>
  <si>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</si>
  <si>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</si>
  <si>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</si>
  <si>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</si>
  <si>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</si>
  <si>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</si>
  <si>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</si>
  <si>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</si>
  <si>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</si>
  <si>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</si>
  <si>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</si>
  <si>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</si>
  <si>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</si>
  <si>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</si>
  <si>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</si>
  <si>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</si>
  <si>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</si>
  <si>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</si>
  <si>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</si>
  <si>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</si>
  <si>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</si>
  <si>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</si>
  <si>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</si>
  <si>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</si>
  <si>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</si>
  <si>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</si>
  <si>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</si>
  <si>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</si>
  <si>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</si>
  <si>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</si>
  <si>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</si>
  <si>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</si>
  <si>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</si>
  <si>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</si>
  <si>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</si>
  <si>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</si>
  <si>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</si>
  <si>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</si>
  <si>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</si>
  <si>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</si>
  <si>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</si>
  <si>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</si>
  <si>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</si>
  <si>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</si>
  <si>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</si>
  <si>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</si>
  <si>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</si>
  <si>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</si>
  <si>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</si>
  <si>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</si>
  <si>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</si>
  <si>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</si>
  <si>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</si>
  <si>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</si>
  <si>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</si>
  <si>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</si>
  <si>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</si>
  <si>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</si>
  <si>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</si>
  <si>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</si>
  <si>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</si>
  <si>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</si>
  <si>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</si>
  <si>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</si>
  <si>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</si>
  <si>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</si>
  <si>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</si>
  <si>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</si>
  <si>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</si>
  <si>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</si>
  <si>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</si>
  <si>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</si>
  <si>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</si>
  <si>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</si>
  <si>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</si>
  <si>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</si>
  <si>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</si>
  <si>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</si>
  <si>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</si>
  <si>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</si>
  <si>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</si>
  <si>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</si>
  <si>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</si>
  <si>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</si>
  <si>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</si>
  <si>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</si>
  <si>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</si>
  <si>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</si>
  <si>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</si>
  <si>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</si>
  <si>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</si>
  <si>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</si>
  <si>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</si>
  <si>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</si>
  <si>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</si>
  <si>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</si>
  <si>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</si>
  <si>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</si>
  <si>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</si>
  <si>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</si>
  <si>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</si>
  <si>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</si>
  <si>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</si>
  <si>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</si>
  <si>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</si>
  <si>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</si>
  <si>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</si>
  <si>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</si>
  <si>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</si>
  <si>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</si>
  <si>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</si>
  <si>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</si>
  <si>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</si>
  <si>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</si>
  <si>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</si>
  <si>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</si>
  <si>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</si>
  <si>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</si>
  <si>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</si>
  <si>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</si>
  <si>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</si>
  <si>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</si>
  <si>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</si>
  <si>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</si>
  <si>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</si>
  <si>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</si>
  <si>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</si>
  <si>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</si>
  <si>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</si>
  <si>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</si>
  <si>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</si>
  <si>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</si>
  <si>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</si>
  <si>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</si>
  <si>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</si>
  <si>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</si>
  <si>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</si>
  <si>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</si>
  <si>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</si>
  <si>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</si>
  <si>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</si>
  <si>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</si>
  <si>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</si>
  <si>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</si>
  <si>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</si>
  <si>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</si>
  <si>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</si>
  <si>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</si>
  <si>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</si>
  <si>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</si>
  <si>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</si>
  <si>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</si>
  <si>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</si>
  <si>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</si>
  <si>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</si>
  <si>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</si>
  <si>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</si>
  <si>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</si>
  <si>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</si>
  <si>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</si>
  <si>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</si>
  <si>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</si>
  <si>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</si>
  <si>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</si>
  <si>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</si>
  <si>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</si>
  <si>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</si>
  <si>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</si>
  <si>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</si>
  <si>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</si>
  <si>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</si>
  <si>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</si>
  <si>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</si>
  <si>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</si>
  <si>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</si>
  <si>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</si>
  <si>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</si>
  <si>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</si>
  <si>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</si>
  <si>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</si>
  <si>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</si>
  <si>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</si>
  <si>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</si>
  <si>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</si>
  <si>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</si>
  <si>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</si>
  <si>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</si>
  <si>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</si>
  <si>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</si>
  <si>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</si>
  <si>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</si>
  <si>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</si>
  <si>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</si>
  <si>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</si>
  <si>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</si>
  <si>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</si>
  <si>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</si>
  <si>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</si>
  <si>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</si>
  <si>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</si>
  <si>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</si>
  <si>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</si>
  <si>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</si>
  <si>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</si>
  <si>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</si>
  <si>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</si>
  <si>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</si>
  <si>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</si>
  <si>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</si>
  <si>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</si>
  <si>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</si>
  <si>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</si>
  <si>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</si>
  <si>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</si>
  <si>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</si>
  <si>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</si>
  <si>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</si>
  <si>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</si>
  <si>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</si>
  <si>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</si>
  <si>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</si>
  <si>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</si>
  <si>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</si>
  <si>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</si>
  <si>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</si>
  <si>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</si>
  <si>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</si>
  <si>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</si>
  <si>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</si>
  <si>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</si>
  <si>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</si>
  <si>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</si>
  <si>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</si>
  <si>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</si>
  <si>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</si>
  <si>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</si>
  <si>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</si>
  <si>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</si>
  <si>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</si>
  <si>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</si>
  <si>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</si>
  <si>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</si>
  <si>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</si>
  <si>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</si>
  <si>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</si>
  <si>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</si>
  <si>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</si>
  <si>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</si>
  <si>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</si>
  <si>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</si>
  <si>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</si>
  <si>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</si>
  <si>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</si>
  <si>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</si>
  <si>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</si>
  <si>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</si>
  <si>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</si>
  <si>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</si>
  <si>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</si>
  <si>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</si>
  <si>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</si>
  <si>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</si>
  <si>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</si>
  <si>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</si>
  <si>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</si>
  <si>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</si>
  <si>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</si>
  <si>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</si>
  <si>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</si>
  <si>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</si>
  <si>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</si>
  <si>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</si>
  <si>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</si>
  <si>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</si>
  <si>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</si>
  <si>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</si>
  <si>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</si>
  <si>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</si>
  <si>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</si>
  <si>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</si>
  <si>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</si>
  <si>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</si>
  <si>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</si>
  <si>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</si>
  <si>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</si>
  <si>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</si>
  <si>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</si>
  <si>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</si>
  <si>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</si>
  <si>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</si>
  <si>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</si>
  <si>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</si>
  <si>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</si>
  <si>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</si>
  <si>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</si>
  <si>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</si>
  <si>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</si>
  <si>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</si>
  <si>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</si>
  <si>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</si>
  <si>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</si>
  <si>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</si>
  <si>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</si>
  <si>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</si>
  <si>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</si>
  <si>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</si>
  <si>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</si>
  <si>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</si>
  <si>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</si>
  <si>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</si>
  <si>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</si>
  <si>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</si>
  <si>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</si>
  <si>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</si>
  <si>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</si>
  <si>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</si>
  <si>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</si>
  <si>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</si>
  <si>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</si>
  <si>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</si>
  <si>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</si>
  <si>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</si>
  <si>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</si>
  <si>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</si>
  <si>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</si>
  <si>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</si>
  <si>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</si>
  <si>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</si>
  <si>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</si>
  <si>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</si>
  <si>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</si>
  <si>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</si>
  <si>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</si>
  <si>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</si>
  <si>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</si>
  <si>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</si>
  <si>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</si>
  <si>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</si>
  <si>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</si>
  <si>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</si>
  <si>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</si>
  <si>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</si>
  <si>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</si>
  <si>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</si>
  <si>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</si>
  <si>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</si>
  <si>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</si>
  <si>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</si>
  <si>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</si>
  <si>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</si>
  <si>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</si>
  <si>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</si>
  <si>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</si>
  <si>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</si>
  <si>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</si>
  <si>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</si>
  <si>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</si>
  <si>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</si>
  <si>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</si>
  <si>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</si>
  <si>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</si>
  <si>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</si>
  <si>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</si>
  <si>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</si>
  <si>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</si>
  <si>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</si>
  <si>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</si>
  <si>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</si>
  <si>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</si>
  <si>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</si>
  <si>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</si>
  <si>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</si>
  <si>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</si>
  <si>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</si>
  <si>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</si>
  <si>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</si>
  <si>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</si>
  <si>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</si>
  <si>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</si>
  <si>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</si>
  <si>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</si>
  <si>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</si>
  <si>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</si>
  <si>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</si>
  <si>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</si>
  <si>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</si>
  <si>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</si>
  <si>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</si>
  <si>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</si>
  <si>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</si>
  <si>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</si>
  <si>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</si>
  <si>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</si>
  <si>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</si>
  <si>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</si>
  <si>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</si>
  <si>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</si>
  <si>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</si>
  <si>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</si>
  <si>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</si>
  <si>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</si>
  <si>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</si>
  <si>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</si>
  <si>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</si>
  <si>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</si>
  <si>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</si>
  <si>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</si>
  <si>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</si>
  <si>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</si>
  <si>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</si>
  <si>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</si>
  <si>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</si>
  <si>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</si>
  <si>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</si>
  <si>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</si>
  <si>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</si>
  <si>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</si>
  <si>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</si>
  <si>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</si>
  <si>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</si>
  <si>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</si>
  <si>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</si>
  <si>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</si>
  <si>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</si>
  <si>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</si>
  <si>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</si>
  <si>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</si>
  <si>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</si>
  <si>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</si>
  <si>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</si>
  <si>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</si>
  <si>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</si>
  <si>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</si>
  <si>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</si>
  <si>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</si>
  <si>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</si>
  <si>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</si>
  <si>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</si>
  <si>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</si>
  <si>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</si>
  <si>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</si>
  <si>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</si>
  <si>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</si>
  <si>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</si>
  <si>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</si>
  <si>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</si>
  <si>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</si>
  <si>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</si>
  <si>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</si>
  <si>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</si>
  <si>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</si>
  <si>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</si>
  <si>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</si>
  <si>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</si>
  <si>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</si>
  <si>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</si>
  <si>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</si>
  <si>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</si>
  <si>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</si>
  <si>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</si>
  <si>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</si>
  <si>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</si>
  <si>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</si>
  <si>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</si>
  <si>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</si>
  <si>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</si>
  <si>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</si>
  <si>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</si>
  <si>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</si>
  <si>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</si>
  <si>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</si>
  <si>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</si>
  <si>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</si>
  <si>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</si>
  <si>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</si>
  <si>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</si>
  <si>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</si>
  <si>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</si>
  <si>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</si>
  <si>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</si>
  <si>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</si>
  <si>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</si>
  <si>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</si>
  <si>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</si>
  <si>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</si>
  <si>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</si>
  <si>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</si>
  <si>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</si>
  <si>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</si>
  <si>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</si>
  <si>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</si>
  <si>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</si>
  <si>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</si>
  <si>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</si>
  <si>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</si>
  <si>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</si>
  <si>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</si>
  <si>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</si>
  <si>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</si>
  <si>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</si>
  <si>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</si>
  <si>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</si>
  <si>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</si>
  <si>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</si>
  <si>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</si>
  <si>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</si>
  <si>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</si>
  <si>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</si>
  <si>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</si>
  <si>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</si>
  <si>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</si>
  <si>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</si>
  <si>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</si>
  <si>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</si>
  <si>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</si>
  <si>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</si>
  <si>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</si>
  <si>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</si>
  <si>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</si>
  <si>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</si>
  <si>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</si>
  <si>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</si>
  <si>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</si>
  <si>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</si>
  <si>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</si>
  <si>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</si>
  <si>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</si>
  <si>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</si>
  <si>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</si>
  <si>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</si>
  <si>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</si>
  <si>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</si>
  <si>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</si>
  <si>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</si>
  <si>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</si>
  <si>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</si>
  <si>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</si>
  <si>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</si>
  <si>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</si>
  <si>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</si>
  <si>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</si>
  <si>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</si>
  <si>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</si>
  <si>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</si>
  <si>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</si>
  <si>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</si>
  <si>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</si>
  <si>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</si>
  <si>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</si>
  <si>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</si>
  <si>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</si>
  <si>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</si>
  <si>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</si>
  <si>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</si>
  <si>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</si>
  <si>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</si>
  <si>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</si>
  <si>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</si>
  <si>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</si>
  <si>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</si>
  <si>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</si>
  <si>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</si>
  <si>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</si>
  <si>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</si>
  <si>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</si>
  <si>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</si>
  <si>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</si>
  <si>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</si>
  <si>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</si>
  <si>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</si>
  <si>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</si>
  <si>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</si>
  <si>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</si>
  <si>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</si>
  <si>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</si>
  <si>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</si>
  <si>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</si>
  <si>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</si>
  <si>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</si>
  <si>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</si>
  <si>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</si>
  <si>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</si>
  <si>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</si>
  <si>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</si>
  <si>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</si>
  <si>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</si>
  <si>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</si>
  <si>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</si>
  <si>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</si>
  <si>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</si>
  <si>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</si>
  <si>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</si>
  <si>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</si>
  <si>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</si>
  <si>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</si>
  <si>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</si>
  <si>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</si>
  <si>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</si>
  <si>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</si>
  <si>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</si>
  <si>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</si>
  <si>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</si>
  <si>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</si>
  <si>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</si>
  <si>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</si>
  <si>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</si>
  <si>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</si>
  <si>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</si>
  <si>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</si>
  <si>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</si>
  <si>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</si>
  <si>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</si>
  <si>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</si>
  <si>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</si>
  <si>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</si>
  <si>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</si>
  <si>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</si>
  <si>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</si>
  <si>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</si>
  <si>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</si>
  <si>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</si>
  <si>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</si>
  <si>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</si>
  <si>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</si>
  <si>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</si>
  <si>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</si>
  <si>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</si>
  <si>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</si>
  <si>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</si>
  <si>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</si>
  <si>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</si>
  <si>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</si>
  <si>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</si>
  <si>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</si>
  <si>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</si>
  <si>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</si>
  <si>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</si>
  <si>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</si>
  <si>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</si>
  <si>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</si>
  <si>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</si>
  <si>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</si>
  <si>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</si>
  <si>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</si>
  <si>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</si>
  <si>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</si>
  <si>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</si>
  <si>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</si>
  <si>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</si>
  <si>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</si>
  <si>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</si>
  <si>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</si>
  <si>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</si>
  <si>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</si>
  <si>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</si>
  <si>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</si>
  <si>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</si>
  <si>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</si>
  <si>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</si>
  <si>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</si>
  <si>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</si>
  <si>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</si>
  <si>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</si>
  <si>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</si>
  <si>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</si>
  <si>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</si>
  <si>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</si>
  <si>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</si>
  <si>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</si>
  <si>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</si>
  <si>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</si>
  <si>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</si>
  <si>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</si>
  <si>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</si>
  <si>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</si>
  <si>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</si>
  <si>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</si>
  <si>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</si>
  <si>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</si>
  <si>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</si>
  <si>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</si>
  <si>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</si>
  <si>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</si>
  <si>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</si>
  <si>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</si>
  <si>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</si>
  <si>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</si>
  <si>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</si>
  <si>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</si>
  <si>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</si>
  <si>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</si>
  <si>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</si>
  <si>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</si>
  <si>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</si>
  <si>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</si>
  <si>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</si>
  <si>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</si>
  <si>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</si>
  <si>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</si>
  <si>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</si>
  <si>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</si>
  <si>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</si>
  <si>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</si>
  <si>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</si>
  <si>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</si>
  <si>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</si>
  <si>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</si>
  <si>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</si>
  <si>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</si>
  <si>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</si>
  <si>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</si>
  <si>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</si>
  <si>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</si>
  <si>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</si>
  <si>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</si>
  <si>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</si>
  <si>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</si>
  <si>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</si>
  <si>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</si>
  <si>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</si>
  <si>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</si>
  <si>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</si>
  <si>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</si>
  <si>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</si>
  <si>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</si>
  <si>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</si>
  <si>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</si>
  <si>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</si>
  <si>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</si>
  <si>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</si>
  <si>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</si>
  <si>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</si>
  <si>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</si>
  <si>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</si>
  <si>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</si>
  <si>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</si>
  <si>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</si>
  <si>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</si>
  <si>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</si>
  <si>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</si>
  <si>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</si>
  <si>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</si>
  <si>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</si>
  <si>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</si>
  <si>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</si>
  <si>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</si>
  <si>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</si>
  <si>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</si>
  <si>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</si>
  <si>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</si>
  <si>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</si>
  <si>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</si>
  <si>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</si>
  <si>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</si>
  <si>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</si>
  <si>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</si>
  <si>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</si>
  <si>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</si>
  <si>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</si>
  <si>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</si>
  <si>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</si>
  <si>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</si>
  <si>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</si>
  <si>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</si>
  <si>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</si>
  <si>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</si>
  <si>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</si>
  <si>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</si>
  <si>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</si>
  <si>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</si>
  <si>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</si>
  <si>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</si>
  <si>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</si>
  <si>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</si>
  <si>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</si>
  <si>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</si>
  <si>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</si>
  <si>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</si>
  <si>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</si>
  <si>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</si>
  <si>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</si>
  <si>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</si>
  <si>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</si>
  <si>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</si>
  <si>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</si>
  <si>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</si>
  <si>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</si>
  <si>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</si>
  <si>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</si>
  <si>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</si>
  <si>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</si>
  <si>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</si>
  <si>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</si>
  <si>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</si>
  <si>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</si>
  <si>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</si>
  <si>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</si>
  <si>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</si>
  <si>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</si>
  <si>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</si>
  <si>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</si>
  <si>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</si>
  <si>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</si>
  <si>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</si>
  <si>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</si>
  <si>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</si>
  <si>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</si>
  <si>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</si>
  <si>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</si>
  <si>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</si>
  <si>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</si>
  <si>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</si>
  <si>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</si>
  <si>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</si>
  <si>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</si>
  <si>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</si>
  <si>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</si>
  <si>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</si>
  <si>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</si>
  <si>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</si>
  <si>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</si>
  <si>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</si>
  <si>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</si>
  <si>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</si>
  <si>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</si>
  <si>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</si>
  <si>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</si>
  <si>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</si>
  <si>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</si>
  <si>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</si>
  <si>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</si>
  <si>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</si>
  <si>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</si>
  <si>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</si>
  <si>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</si>
  <si>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</si>
  <si>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</si>
  <si>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</si>
  <si>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</si>
  <si>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</si>
  <si>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</si>
  <si>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</si>
  <si>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</si>
  <si>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</si>
  <si>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</si>
  <si>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</si>
  <si>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</si>
  <si>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</si>
  <si>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</si>
  <si>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</si>
  <si>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</si>
  <si>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</si>
  <si>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</si>
  <si>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</si>
  <si>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</si>
  <si>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</si>
  <si>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</si>
  <si>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</si>
  <si>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</si>
  <si>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</si>
  <si>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</si>
  <si>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</si>
  <si>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</si>
  <si>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</si>
  <si>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</si>
  <si>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</si>
  <si>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</si>
  <si>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</si>
  <si>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</si>
  <si>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</si>
  <si>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</si>
  <si>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</si>
  <si>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</si>
  <si>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</si>
  <si>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</si>
  <si>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</si>
  <si>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</si>
  <si>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</si>
  <si>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</si>
  <si>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</si>
  <si>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</si>
  <si>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</si>
  <si>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</si>
  <si>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</si>
  <si>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</si>
  <si>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</si>
  <si>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</si>
  <si>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</si>
  <si>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</si>
  <si>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</si>
  <si>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</si>
  <si>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</si>
  <si>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</si>
  <si>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</si>
  <si>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</si>
  <si>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</si>
  <si>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</si>
  <si>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</si>
  <si>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</si>
  <si>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</si>
  <si>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</si>
  <si>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</si>
  <si>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</si>
  <si>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</si>
  <si>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</si>
  <si>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</si>
  <si>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</si>
  <si>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</si>
  <si>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</si>
  <si>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</si>
  <si>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</si>
  <si>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</si>
  <si>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</si>
  <si>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</si>
  <si>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</si>
  <si>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</si>
  <si>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</si>
  <si>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</si>
  <si>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</si>
  <si>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</si>
  <si>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</si>
  <si>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</si>
  <si>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</si>
  <si>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</si>
  <si>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</si>
  <si>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</si>
  <si>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</si>
  <si>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</si>
  <si>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</si>
  <si>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</si>
  <si>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</si>
  <si>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</si>
  <si>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</si>
  <si>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</si>
  <si>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</si>
  <si>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</si>
  <si>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</si>
  <si>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</si>
  <si>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</si>
  <si>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</si>
  <si>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</si>
  <si>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</si>
  <si>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</si>
  <si>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</si>
  <si>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</si>
  <si>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</si>
  <si>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</si>
  <si>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</si>
  <si>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</si>
  <si>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</si>
  <si>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</si>
  <si>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</si>
  <si>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</si>
  <si>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</si>
  <si>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</si>
  <si>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</si>
  <si>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</si>
  <si>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</si>
  <si>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</si>
  <si>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</si>
  <si>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</si>
  <si>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</si>
  <si>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</si>
  <si>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</si>
  <si>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</si>
  <si>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</si>
  <si>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</si>
  <si>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</si>
  <si>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</si>
  <si>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</si>
  <si>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</si>
  <si>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</si>
  <si>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</si>
  <si>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</si>
  <si>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</si>
  <si>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</si>
  <si>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</si>
  <si>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</si>
  <si>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</si>
  <si>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</si>
  <si>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</si>
  <si>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</si>
  <si>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</si>
  <si>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</si>
  <si>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</si>
  <si>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</si>
  <si>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</si>
  <si>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</si>
  <si>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</si>
  <si>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</si>
  <si>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</si>
  <si>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</si>
  <si>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</si>
  <si>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</si>
  <si>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</si>
  <si>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</si>
  <si>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</si>
  <si>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</si>
  <si>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</si>
  <si>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</si>
  <si>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</si>
  <si>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</si>
  <si>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</si>
  <si>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</si>
  <si>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</si>
  <si>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</si>
  <si>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</si>
  <si>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</si>
  <si>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</si>
  <si>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</si>
  <si>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</si>
  <si>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</si>
  <si>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</si>
  <si>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</si>
  <si>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</si>
  <si>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</si>
  <si>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</si>
  <si>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</si>
  <si>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</si>
  <si>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</si>
  <si>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</si>
  <si>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</si>
  <si>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</si>
  <si>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</si>
  <si>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</si>
  <si>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</si>
  <si>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</si>
  <si>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</si>
  <si>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</si>
  <si>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</si>
  <si>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</si>
  <si>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</si>
  <si>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</si>
  <si>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</si>
  <si>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</si>
  <si>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</si>
  <si>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</si>
  <si>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</si>
  <si>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</si>
  <si>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</si>
  <si>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</si>
  <si>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</si>
  <si>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</si>
  <si>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</si>
  <si>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</si>
  <si>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</si>
  <si>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</si>
  <si>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</si>
  <si>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</si>
  <si>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</si>
  <si>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</si>
  <si>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</si>
  <si>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</si>
  <si>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</si>
  <si>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</si>
  <si>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</si>
  <si>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</si>
  <si>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</si>
  <si>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</si>
  <si>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</si>
  <si>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</si>
  <si>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</si>
  <si>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</si>
  <si>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</si>
  <si>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</si>
  <si>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</si>
  <si>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</si>
  <si>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</si>
  <si>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</si>
  <si>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</si>
  <si>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</si>
  <si>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</si>
  <si>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</si>
  <si>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</si>
  <si>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</si>
  <si>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</si>
  <si>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</si>
  <si>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</si>
  <si>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</si>
  <si>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</si>
  <si>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</si>
  <si>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</si>
  <si>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</si>
  <si>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</si>
  <si>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</si>
  <si>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</si>
  <si>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</si>
  <si>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</si>
  <si>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</si>
  <si>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</si>
  <si>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</si>
  <si>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</si>
  <si>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</si>
  <si>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</si>
  <si>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</si>
  <si>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</si>
  <si>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</si>
  <si>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</si>
  <si>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</si>
  <si>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</si>
  <si>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</si>
  <si>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</si>
  <si>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</si>
  <si>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</si>
  <si>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</si>
  <si>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</si>
  <si>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</si>
  <si>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</si>
  <si>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</si>
  <si>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</si>
  <si>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</si>
  <si>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</si>
  <si>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</si>
  <si>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</si>
  <si>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</si>
  <si>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</si>
  <si>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</si>
  <si>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</si>
  <si>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</si>
  <si>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</si>
  <si>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</si>
  <si>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</si>
  <si>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</si>
  <si>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</si>
  <si>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</si>
  <si>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</si>
  <si>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</si>
  <si>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</si>
  <si>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</si>
  <si>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</si>
  <si>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</si>
  <si>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</si>
  <si>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</si>
  <si>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</si>
  <si>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</si>
  <si>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</si>
  <si>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</si>
  <si>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</si>
  <si>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</si>
  <si>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</si>
  <si>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</si>
  <si>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</si>
  <si>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</si>
  <si>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</si>
  <si>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</si>
  <si>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</si>
  <si>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</si>
  <si>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</si>
  <si>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</si>
  <si>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</si>
  <si>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</si>
  <si>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</si>
  <si>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</si>
  <si>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</si>
  <si>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</si>
  <si>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</si>
  <si>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</si>
  <si>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</si>
  <si>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</si>
  <si>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</si>
  <si>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</si>
  <si>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</si>
  <si>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</si>
  <si>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</si>
  <si>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</si>
  <si>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</si>
  <si>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</si>
  <si>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</si>
  <si>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</si>
  <si>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</si>
  <si>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</si>
  <si>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</si>
  <si>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</si>
  <si>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</si>
  <si>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</si>
  <si>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</si>
  <si>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</si>
  <si>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</si>
  <si>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</si>
  <si>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</si>
  <si>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</si>
  <si>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</si>
  <si>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</si>
  <si>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</si>
  <si>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</si>
  <si>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</si>
  <si>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</si>
  <si>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</si>
  <si>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</si>
  <si>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</si>
  <si>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</si>
  <si>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</si>
  <si>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</si>
  <si>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</si>
  <si>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</si>
  <si>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</si>
  <si>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</si>
  <si>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</si>
  <si>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</si>
  <si>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</si>
  <si>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</si>
  <si>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</si>
  <si>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</si>
  <si>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</si>
  <si>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</si>
  <si>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</si>
  <si>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</si>
  <si>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</si>
  <si>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</si>
  <si>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</si>
  <si>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</si>
  <si>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</si>
  <si>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</si>
  <si>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</si>
  <si>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</si>
  <si>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</si>
  <si>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</si>
  <si>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</si>
  <si>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</si>
  <si>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</si>
  <si>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</si>
  <si>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</si>
  <si>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</si>
  <si>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</si>
  <si>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</si>
  <si>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</si>
  <si>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</si>
  <si>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</si>
  <si>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</si>
  <si>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</si>
  <si>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</si>
  <si>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</si>
  <si>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</si>
  <si>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</si>
  <si>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</si>
  <si>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</si>
  <si>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</si>
  <si>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</si>
  <si>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</si>
  <si>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</si>
  <si>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</si>
  <si>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</si>
  <si>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</si>
  <si>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</si>
  <si>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</si>
  <si>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</si>
  <si>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</si>
  <si>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</si>
  <si>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</si>
  <si>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</si>
  <si>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</si>
  <si>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</si>
  <si>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</si>
  <si>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</si>
  <si>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</si>
  <si>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</si>
  <si>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</si>
  <si>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</si>
  <si>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</si>
  <si>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</si>
  <si>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</si>
  <si>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</si>
  <si>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</si>
  <si>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</si>
  <si>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</si>
  <si>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</si>
  <si>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</si>
  <si>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</si>
  <si>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</si>
  <si>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</si>
  <si>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</si>
  <si>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</si>
  <si>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</si>
  <si>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</si>
  <si>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</si>
  <si>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</si>
  <si>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</si>
  <si>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</si>
  <si>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</si>
  <si>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</si>
  <si>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</si>
  <si>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</si>
  <si>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</si>
  <si>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</si>
  <si>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</si>
  <si>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</si>
  <si>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</si>
  <si>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</si>
  <si>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</si>
  <si>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</si>
  <si>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</si>
  <si>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</si>
  <si>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</si>
  <si>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</si>
  <si>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</si>
  <si>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</si>
  <si>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</si>
  <si>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</si>
  <si>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</si>
  <si>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</si>
  <si>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</si>
  <si>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</si>
  <si>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</si>
  <si>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</si>
  <si>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</si>
  <si>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</si>
  <si>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</si>
  <si>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</si>
  <si>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</si>
  <si>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</si>
  <si>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</si>
  <si>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</si>
  <si>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</si>
  <si>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</si>
  <si>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</si>
  <si>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</si>
  <si>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</si>
  <si>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</si>
  <si>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</si>
  <si>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</si>
  <si>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</si>
  <si>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</si>
  <si>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</si>
  <si>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</si>
  <si>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</si>
  <si>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</si>
  <si>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</si>
  <si>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</si>
  <si>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</si>
  <si>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</si>
  <si>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</si>
  <si>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</si>
  <si>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</si>
  <si>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</si>
  <si>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</si>
  <si>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</si>
  <si>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</si>
  <si>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</si>
  <si>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</si>
  <si>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</si>
  <si>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</si>
  <si>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</si>
  <si>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</si>
  <si>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</si>
  <si>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</si>
  <si>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</si>
  <si>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</si>
  <si>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</si>
  <si>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</si>
  <si>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</si>
  <si>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</si>
  <si>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</si>
  <si>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</si>
  <si>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</si>
  <si>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</si>
  <si>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</si>
  <si>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</si>
  <si>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</si>
  <si>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</si>
  <si>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</si>
  <si>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</si>
  <si>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</si>
  <si>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</si>
  <si>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</si>
  <si>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</si>
  <si>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</si>
  <si>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</si>
  <si>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</si>
  <si>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</si>
  <si>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</si>
  <si>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</si>
  <si>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</si>
  <si>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</si>
  <si>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</si>
  <si>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</si>
  <si>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</si>
  <si>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</si>
  <si>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</si>
  <si>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</si>
  <si>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</si>
  <si>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</si>
  <si>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</si>
  <si>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</si>
  <si>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</si>
  <si>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</si>
  <si>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</si>
  <si>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</si>
  <si>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</si>
  <si>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</si>
  <si>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</si>
  <si>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</si>
  <si>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</si>
  <si>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</si>
  <si>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</si>
  <si>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</si>
  <si>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</si>
  <si>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</si>
  <si>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</si>
  <si>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</si>
  <si>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</si>
  <si>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</si>
  <si>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</si>
  <si>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</si>
  <si>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</si>
  <si>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</si>
  <si>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</si>
  <si>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</si>
  <si>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</si>
  <si>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</si>
  <si>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</si>
  <si>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</si>
  <si>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</si>
  <si>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</si>
  <si>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</si>
  <si>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</si>
  <si>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</si>
  <si>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</si>
  <si>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</si>
  <si>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</si>
  <si>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</si>
  <si>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</si>
  <si>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</si>
  <si>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</si>
  <si>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</si>
  <si>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</si>
  <si>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</si>
  <si>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</si>
  <si>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</si>
  <si>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</si>
  <si>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</si>
  <si>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</si>
  <si>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</si>
  <si>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</si>
  <si>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</si>
  <si>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</si>
  <si>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</si>
  <si>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</si>
  <si>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</si>
  <si>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</si>
  <si>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</si>
  <si>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</si>
  <si>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</si>
  <si>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</si>
  <si>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</si>
  <si>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</si>
  <si>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</si>
  <si>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</si>
  <si>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</si>
  <si>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</si>
  <si>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</si>
  <si>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</si>
  <si>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</si>
  <si>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</si>
  <si>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</si>
  <si>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</si>
  <si>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</si>
  <si>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</si>
  <si>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</si>
  <si>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</si>
  <si>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</si>
  <si>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</si>
  <si>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</si>
  <si>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</si>
  <si>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</si>
  <si>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</si>
  <si>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</si>
  <si>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</si>
  <si>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</si>
  <si>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</si>
  <si>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</si>
  <si>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</si>
  <si>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</si>
  <si>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</si>
  <si>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</si>
  <si>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</si>
  <si>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</si>
  <si>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</si>
  <si>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</si>
  <si>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</si>
  <si>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</si>
  <si>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</si>
  <si>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</si>
  <si>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</si>
  <si>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</si>
  <si>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</si>
  <si>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</si>
  <si>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</si>
  <si>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</si>
  <si>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</si>
  <si>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</si>
  <si>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</si>
  <si>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</si>
  <si>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</si>
  <si>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</si>
  <si>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</si>
  <si>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</si>
  <si>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</si>
  <si>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</si>
  <si>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</si>
  <si>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</si>
  <si>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</si>
  <si>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</si>
  <si>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</si>
  <si>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</si>
  <si>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</si>
  <si>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</si>
  <si>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</si>
  <si>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</si>
  <si>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</si>
  <si>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</si>
  <si>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</si>
  <si>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</si>
  <si>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</si>
  <si>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</si>
  <si>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</si>
  <si>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</si>
  <si>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</si>
  <si>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</si>
  <si>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</si>
  <si>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</si>
  <si>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</si>
  <si>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</si>
  <si>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</si>
  <si>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</si>
  <si>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</si>
  <si>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</si>
  <si>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</si>
  <si>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</si>
  <si>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</si>
  <si>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</si>
  <si>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</si>
  <si>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</si>
  <si>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</si>
  <si>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</si>
  <si>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</si>
  <si>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</si>
  <si>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</si>
  <si>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</si>
  <si>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</si>
  <si>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</si>
  <si>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</si>
  <si>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</si>
  <si>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</si>
  <si>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</si>
  <si>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</si>
  <si>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</si>
  <si>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</si>
  <si>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</si>
  <si>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</si>
  <si>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</si>
  <si>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</si>
  <si>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</si>
  <si>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</si>
  <si>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</si>
  <si>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</si>
  <si>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</si>
  <si>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</si>
  <si>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</si>
  <si>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</si>
  <si>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</si>
  <si>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</si>
  <si>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</si>
  <si>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</si>
  <si>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</si>
  <si>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</si>
  <si>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</si>
  <si>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</si>
  <si>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</si>
  <si>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</si>
  <si>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</si>
  <si>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</si>
  <si>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</si>
  <si>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</si>
  <si>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</si>
  <si>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</si>
  <si>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</si>
  <si>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</si>
  <si>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</si>
  <si>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</si>
  <si>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</si>
  <si>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</si>
  <si>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</si>
  <si>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</si>
  <si>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</si>
  <si>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</si>
  <si>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</si>
  <si>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</si>
  <si>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</si>
  <si>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</si>
  <si>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</si>
  <si>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</si>
  <si>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</si>
  <si>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</si>
  <si>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</si>
  <si>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</si>
  <si>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</si>
  <si>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</si>
  <si>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</si>
  <si>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</si>
  <si>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</si>
  <si>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</si>
  <si>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</si>
  <si>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</si>
  <si>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</si>
  <si>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</si>
  <si>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</si>
  <si>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</si>
  <si>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</si>
  <si>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</si>
  <si>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</si>
  <si>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</si>
  <si>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</si>
  <si>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</si>
  <si>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</si>
  <si>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</si>
  <si>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</si>
  <si>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</si>
  <si>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</si>
  <si>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</si>
  <si>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</si>
  <si>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</si>
  <si>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</si>
  <si>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</si>
  <si>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</si>
  <si>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</si>
  <si>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</si>
  <si>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</si>
  <si>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</si>
  <si>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</si>
  <si>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</si>
  <si>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</si>
  <si>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</si>
  <si>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</si>
  <si>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</si>
  <si>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</si>
  <si>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</si>
  <si>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</si>
  <si>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</si>
  <si>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</si>
  <si>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</si>
  <si>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</si>
  <si>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</si>
  <si>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</si>
  <si>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</si>
  <si>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</si>
  <si>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</si>
  <si>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</si>
  <si>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</si>
  <si>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</si>
  <si>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</si>
  <si>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</si>
  <si>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</si>
  <si>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</si>
  <si>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</si>
  <si>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</si>
  <si>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</si>
  <si>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</si>
  <si>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</si>
  <si>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</si>
  <si>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</si>
  <si>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</si>
  <si>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</si>
  <si>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</si>
  <si>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</si>
  <si>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</si>
  <si>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</si>
  <si>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</si>
  <si>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</si>
  <si>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</si>
  <si>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</si>
  <si>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</si>
  <si>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</si>
  <si>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</si>
  <si>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</si>
  <si>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</si>
  <si>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</si>
  <si>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</si>
  <si>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</si>
  <si>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</si>
  <si>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</si>
  <si>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</si>
  <si>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</si>
  <si>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</si>
  <si>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</si>
  <si>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</si>
  <si>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</si>
  <si>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</si>
  <si>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</si>
  <si>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</si>
  <si>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</si>
  <si>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</si>
  <si>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</si>
  <si>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</si>
  <si>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</si>
  <si>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</si>
  <si>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</si>
  <si>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</si>
  <si>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</si>
  <si>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</si>
  <si>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</si>
  <si>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</si>
  <si>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</si>
  <si>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</si>
  <si>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</si>
  <si>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</si>
  <si>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</si>
  <si>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</si>
  <si>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</si>
  <si>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</si>
  <si>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</si>
  <si>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</si>
  <si>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</si>
  <si>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</si>
  <si>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</si>
  <si>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</si>
  <si>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</si>
  <si>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</si>
  <si>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</si>
  <si>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</si>
  <si>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</si>
  <si>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</si>
  <si>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</si>
  <si>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</si>
  <si>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</si>
  <si>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</si>
  <si>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</si>
  <si>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</si>
  <si>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</si>
  <si>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</si>
  <si>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</si>
  <si>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</si>
  <si>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</si>
  <si>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</si>
  <si>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</si>
  <si>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</si>
  <si>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</si>
  <si>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</si>
  <si>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</si>
  <si>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</si>
  <si>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</si>
  <si>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</si>
  <si>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</si>
  <si>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</si>
  <si>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</si>
  <si>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</si>
  <si>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</si>
  <si>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</si>
  <si>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</si>
  <si>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</si>
  <si>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</si>
  <si>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</si>
  <si>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</si>
  <si>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</si>
  <si>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</si>
  <si>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</si>
  <si>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</si>
  <si>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</si>
  <si>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</si>
  <si>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</si>
  <si>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</si>
  <si>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</si>
  <si>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</si>
  <si>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</si>
  <si>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</si>
  <si>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</si>
  <si>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</si>
  <si>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</si>
  <si>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</si>
  <si>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</si>
  <si>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</si>
  <si>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</si>
  <si>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</si>
  <si>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</si>
  <si>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</si>
  <si>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</si>
  <si>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</si>
  <si>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</si>
  <si>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</si>
  <si>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</si>
  <si>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</si>
  <si>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</si>
  <si>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</si>
  <si>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</si>
  <si>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</si>
  <si>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</si>
  <si>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</si>
  <si>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</si>
  <si>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</si>
  <si>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</si>
  <si>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</si>
  <si>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</si>
  <si>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</si>
  <si>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</si>
  <si>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</si>
  <si>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</si>
  <si>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</si>
  <si>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</si>
  <si>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</si>
  <si>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</si>
  <si>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</si>
  <si>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</si>
  <si>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</si>
  <si>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</si>
  <si>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</si>
  <si>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</si>
  <si>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</si>
  <si>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</si>
  <si>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</si>
  <si>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</si>
  <si>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</si>
  <si>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</si>
  <si>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</si>
  <si>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</si>
  <si>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</si>
  <si>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</si>
  <si>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</si>
  <si>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</si>
  <si>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</si>
  <si>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</si>
  <si>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</si>
  <si>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</si>
  <si>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</si>
  <si>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</si>
  <si>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</si>
  <si>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</si>
  <si>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</si>
  <si>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</si>
  <si>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</si>
  <si>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</si>
  <si>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</si>
  <si>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</si>
  <si>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</si>
  <si>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</si>
  <si>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</si>
  <si>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</si>
  <si>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</si>
  <si>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</si>
  <si>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</si>
  <si>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</si>
  <si>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</si>
  <si>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</si>
  <si>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</si>
  <si>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</si>
  <si>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</si>
  <si>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</si>
  <si>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</si>
  <si>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</si>
  <si>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</si>
  <si>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</si>
  <si>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</si>
  <si>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</si>
  <si>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</si>
  <si>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</si>
  <si>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</si>
  <si>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</si>
  <si>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</si>
  <si>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</si>
  <si>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</si>
  <si>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</si>
  <si>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</si>
  <si>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</si>
  <si>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</si>
  <si>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</si>
  <si>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</si>
  <si>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</si>
  <si>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</si>
  <si>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</si>
  <si>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</si>
  <si>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</si>
  <si>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</si>
  <si>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</si>
  <si>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</si>
  <si>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</si>
  <si>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</si>
  <si>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</si>
  <si>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</si>
  <si>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</si>
  <si>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</si>
  <si>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</si>
  <si>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</si>
  <si>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</si>
  <si>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</si>
  <si>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</si>
  <si>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</si>
  <si>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</si>
  <si>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</si>
  <si>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</si>
  <si>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</si>
  <si>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</si>
  <si>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</si>
  <si>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</si>
  <si>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</si>
  <si>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</si>
  <si>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</si>
  <si>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</si>
  <si>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</si>
  <si>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</si>
  <si>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</si>
  <si>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</si>
  <si>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</si>
  <si>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</si>
  <si>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</si>
  <si>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</si>
  <si>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</si>
  <si>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</si>
  <si>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</si>
  <si>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</si>
  <si>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</si>
  <si>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</si>
  <si>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</si>
  <si>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</si>
  <si>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</si>
  <si>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</si>
  <si>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</si>
  <si>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</si>
  <si>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</si>
  <si>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</si>
  <si>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</si>
  <si>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</si>
  <si>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</si>
  <si>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</si>
  <si>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</si>
  <si>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</si>
  <si>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</si>
  <si>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</si>
  <si>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</si>
  <si>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</si>
  <si>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</si>
  <si>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</si>
  <si>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</si>
  <si>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</si>
  <si>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</si>
  <si>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</si>
  <si>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</si>
  <si>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</si>
  <si>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</si>
  <si>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</si>
  <si>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</si>
  <si>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</si>
  <si>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</si>
  <si>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</si>
  <si>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</si>
  <si>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</si>
  <si>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</si>
  <si>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</si>
  <si>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</si>
  <si>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</si>
  <si>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</si>
  <si>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</si>
  <si>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</si>
  <si>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</si>
  <si>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</si>
  <si>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</si>
  <si>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</si>
  <si>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</si>
  <si>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</si>
  <si>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</si>
  <si>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</si>
  <si>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</si>
  <si>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</si>
  <si>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</si>
  <si>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</si>
  <si>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</si>
  <si>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</si>
  <si>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</si>
  <si>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</si>
  <si>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</si>
  <si>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</si>
  <si>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</si>
  <si>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</si>
  <si>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</si>
  <si>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</si>
  <si>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</si>
  <si>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</si>
  <si>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</si>
  <si>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</si>
  <si>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</si>
  <si>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</si>
  <si>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</si>
  <si>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</si>
  <si>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</si>
  <si>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</si>
  <si>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</si>
  <si>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</si>
  <si>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</si>
  <si>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</si>
  <si>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</si>
  <si>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</si>
  <si>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</si>
  <si>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</si>
  <si>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</si>
  <si>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</si>
  <si>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</si>
  <si>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</si>
  <si>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</si>
  <si>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</si>
  <si>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</si>
  <si>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</si>
  <si>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</si>
  <si>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</si>
  <si>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</si>
  <si>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</si>
  <si>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</si>
  <si>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</si>
  <si>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</si>
  <si>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</si>
  <si>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</si>
  <si>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</si>
  <si>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</si>
  <si>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</si>
  <si>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</si>
  <si>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</si>
  <si>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</si>
  <si>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</si>
  <si>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</si>
  <si>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</si>
  <si>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</si>
  <si>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</si>
  <si>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</si>
  <si>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</si>
  <si>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</si>
  <si>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</si>
  <si>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</si>
  <si>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</si>
  <si>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</si>
  <si>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</si>
  <si>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</si>
  <si>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</si>
  <si>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</si>
  <si>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</si>
  <si>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</si>
  <si>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</si>
  <si>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</si>
  <si>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</si>
  <si>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</si>
  <si>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</si>
  <si>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</si>
  <si>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</si>
  <si>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</si>
  <si>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</si>
  <si>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</si>
  <si>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</si>
  <si>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</si>
  <si>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</si>
  <si>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</si>
  <si>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</si>
  <si>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</si>
  <si>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</si>
  <si>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</si>
  <si>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</si>
  <si>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</si>
  <si>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</si>
  <si>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</si>
  <si>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</si>
  <si>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</si>
  <si>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</si>
  <si>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</si>
  <si>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</si>
  <si>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</si>
  <si>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</si>
  <si>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</si>
  <si>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</si>
  <si>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</si>
  <si>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</si>
  <si>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</si>
  <si>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</si>
  <si>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</si>
  <si>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</si>
  <si>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</si>
  <si>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</si>
  <si>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</si>
  <si>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</si>
  <si>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</si>
  <si>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</si>
  <si>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</si>
  <si>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</si>
  <si>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</si>
  <si>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</si>
  <si>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</si>
  <si>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</si>
  <si>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</si>
  <si>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</si>
  <si>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</si>
  <si>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</si>
  <si>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</si>
  <si>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</si>
  <si>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</si>
  <si>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</si>
  <si>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</si>
  <si>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</si>
  <si>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</si>
  <si>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</si>
  <si>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</si>
  <si>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</si>
  <si>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</si>
  <si>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</si>
  <si>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</si>
  <si>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</si>
  <si>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</si>
  <si>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</si>
  <si>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</si>
  <si>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</si>
  <si>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</si>
  <si>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</si>
  <si>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</si>
  <si>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</si>
  <si>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</si>
  <si>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</si>
  <si>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</si>
  <si>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</si>
  <si>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</si>
  <si>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</si>
  <si>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</si>
  <si>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</si>
  <si>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</si>
  <si>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</si>
  <si>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</si>
  <si>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</si>
  <si>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</si>
  <si>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</si>
  <si>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</si>
  <si>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</si>
  <si>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</si>
  <si>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</si>
  <si>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</si>
  <si>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</si>
  <si>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</si>
  <si>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</si>
  <si>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</si>
  <si>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</si>
  <si>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</si>
  <si>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</si>
  <si>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</si>
  <si>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</si>
  <si>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</si>
  <si>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</si>
  <si>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</si>
  <si>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</si>
  <si>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</si>
  <si>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</si>
  <si>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</si>
  <si>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</si>
  <si>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</si>
  <si>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</si>
  <si>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</si>
  <si>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</si>
  <si>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</si>
  <si>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</si>
  <si>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</si>
  <si>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</si>
  <si>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</si>
  <si>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</si>
  <si>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</si>
  <si>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</si>
  <si>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</si>
  <si>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</si>
  <si>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</si>
  <si>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</si>
  <si>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</si>
  <si>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</si>
  <si>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</si>
  <si>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</si>
  <si>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</si>
  <si>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</si>
  <si>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</si>
  <si>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</si>
  <si>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</si>
  <si>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</si>
  <si>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</si>
  <si>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</si>
  <si>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</si>
  <si>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</si>
  <si>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</si>
  <si>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</si>
  <si>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</si>
  <si>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</si>
  <si>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</si>
  <si>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</si>
  <si>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</si>
  <si>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</si>
  <si>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</si>
  <si>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</si>
  <si>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</si>
  <si>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</si>
  <si>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</si>
  <si>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</si>
  <si>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</si>
  <si>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</si>
  <si>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</si>
  <si>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</si>
  <si>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</si>
  <si>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</si>
  <si>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</si>
  <si>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</si>
  <si>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</si>
  <si>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</si>
  <si>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</si>
  <si>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</si>
  <si>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</si>
  <si>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</si>
  <si>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</si>
  <si>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</si>
  <si>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</si>
  <si>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</si>
  <si>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</si>
  <si>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</si>
  <si>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</si>
  <si>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</si>
  <si>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</si>
  <si>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</si>
  <si>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</si>
  <si>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</si>
  <si>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</si>
  <si>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</si>
  <si>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</si>
  <si>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</si>
  <si>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</si>
  <si>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</si>
  <si>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</si>
  <si>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</si>
  <si>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</si>
  <si>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</si>
  <si>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</si>
  <si>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</si>
  <si>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</si>
  <si>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</si>
  <si>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</si>
  <si>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</si>
  <si>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</si>
  <si>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</si>
  <si>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</si>
  <si>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</si>
  <si>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</si>
  <si>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</si>
  <si>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</si>
  <si>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</si>
  <si>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</si>
  <si>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</si>
  <si>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</si>
  <si>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</si>
  <si>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</si>
  <si>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</si>
  <si>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</si>
  <si>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</si>
  <si>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</si>
  <si>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</si>
  <si>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</si>
  <si>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</si>
  <si>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</si>
  <si>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</si>
  <si>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</si>
  <si>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</si>
  <si>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</si>
  <si>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</si>
  <si>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</si>
  <si>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</si>
  <si>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</si>
  <si>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</si>
  <si>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</si>
  <si>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</si>
  <si>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</si>
  <si>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</si>
  <si>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</si>
  <si>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</si>
  <si>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</si>
  <si>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</si>
  <si>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</si>
  <si>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</si>
  <si>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</si>
  <si>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</si>
  <si>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</si>
  <si>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</si>
  <si>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</si>
  <si>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</si>
  <si>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</si>
  <si>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</si>
  <si>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</si>
  <si>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</si>
  <si>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</si>
  <si>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</si>
  <si>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</si>
  <si>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</si>
  <si>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</si>
  <si>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</si>
  <si>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</si>
  <si>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</si>
  <si>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</si>
  <si>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</si>
  <si>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</si>
  <si>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</si>
  <si>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</si>
  <si>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</si>
  <si>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</si>
  <si>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</si>
  <si>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</si>
  <si>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</si>
  <si>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</si>
  <si>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</si>
  <si>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</si>
  <si>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</si>
  <si>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</si>
  <si>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</si>
  <si>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</si>
  <si>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</si>
  <si>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</si>
  <si>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</si>
  <si>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</si>
  <si>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</si>
  <si>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</si>
  <si>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</si>
  <si>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</si>
  <si>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</si>
  <si>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</si>
  <si>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</si>
  <si>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</si>
  <si>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</si>
  <si>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</si>
  <si>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</si>
  <si>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</si>
  <si>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</si>
  <si>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</si>
  <si>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</si>
  <si>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</si>
  <si>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</si>
  <si>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</si>
  <si>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</si>
  <si>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</si>
  <si>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</si>
  <si>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</si>
  <si>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</si>
  <si>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</si>
  <si>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</si>
  <si>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</si>
  <si>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</si>
  <si>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</si>
  <si>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r>
      <rPr>
        <sz val="12"/>
        <color theme="1"/>
        <rFont val="細明體"/>
        <family val="3"/>
        <charset val="136"/>
      </rPr>
      <t>希望</t>
    </r>
    <r>
      <rPr>
        <sz val="12"/>
        <color theme="1"/>
        <rFont val="Arial"/>
        <family val="2"/>
      </rPr>
      <t>M ON CROSS</t>
    </r>
    <phoneticPr fontId="2" type="noConversion"/>
  </si>
  <si>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</si>
  <si>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</si>
  <si>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</si>
  <si>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</si>
  <si>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</si>
  <si>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</si>
  <si>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</si>
  <si>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</si>
  <si>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</si>
  <si>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</si>
  <si>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</si>
  <si>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</si>
  <si>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</si>
  <si>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</si>
  <si>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</si>
  <si>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</si>
  <si>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</si>
  <si>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</si>
  <si>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</si>
  <si>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</si>
  <si>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</si>
  <si>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</si>
  <si>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</si>
  <si>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</si>
  <si>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七大罪：origin</t>
    <phoneticPr fontId="2" type="noConversion"/>
  </si>
  <si>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</si>
  <si>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</si>
  <si>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</si>
  <si>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</si>
  <si>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</si>
  <si>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</si>
  <si>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</si>
  <si>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輸入禮包碼即可兌換免費禮包</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</si>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</sst>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4">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66"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F427" activePane="bottomRight" state="frozen"/>
      <selection pane="topRight" activeCell="B1" sqref="B1"/>
      <selection pane="bottomLeft" activeCell="A2" sqref="A2"/>
      <selection pane="bottomRight" activeCell="M434" sqref="M434"/>
    </sheetView>
  </sheetViews>
  <sheetFormatPr defaultColWidth="8.875" defaultRowHeight="16.5"/>
  <cols>
    <col min="1" max="1" width="19.125" style="122"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1"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2"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2"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2"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2"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2"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2"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2"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2"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2"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2"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2"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2"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2"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2"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2"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2"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2"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2"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2"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2"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2"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2"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2"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2"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2"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2"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2"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2"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2"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2"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2"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2"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2"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2"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2"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2"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2"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2"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2"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2"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2"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2"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2"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2"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2"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2"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2"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2"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2"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2"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2"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2"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2"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2"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2"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2"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2"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2"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2"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2"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2"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2"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2"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2"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2"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2"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2"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2"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2"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2"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2"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2"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2"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2"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2"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3"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2"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2"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2"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2"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2"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2"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2"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2"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2"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2"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2"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2"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2"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2"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2"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2"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2"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2"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2"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2"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2"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2"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2"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2"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2"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3"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3"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4"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4"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4"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4"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4"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4"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4"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3"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3"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3"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4"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4"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4"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4"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5"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2"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2"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4"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4"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4"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4"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4"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2"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4"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4"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4"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4"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4"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4"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4"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4"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4"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4"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4"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4"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4"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4"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4"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2"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3"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4"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4"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3"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4"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4"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4"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4"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3"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3"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2"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4"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4"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4"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4"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4"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4"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4"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4"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4"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4"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4"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4"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4"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4"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4"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4"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4"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4"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4"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4"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4"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2"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2"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2"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4"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4"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2"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2"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2"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2"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4"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4"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4"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2"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2"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2"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2"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4"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4"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4"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4"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4"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4"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4"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4"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4"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4"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4"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4"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4"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4"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4"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4"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4"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4"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4"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4"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4"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4"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4"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4"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4"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2"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2"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4"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4"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4"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4"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4"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4"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4"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4"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4"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4"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4"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4"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4"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4"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4"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4"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4"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4"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4"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4"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4"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4"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4"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4"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4"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4"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4"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4"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4"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4"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4"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4"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4"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4"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4"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4"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4"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4"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4"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4"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4"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4"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4"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4"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4"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4"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4"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26"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26"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26"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26"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26"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26"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26"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27"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26"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26"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26"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26"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26"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26"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26"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2"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26"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26"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26"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27" t="s">
        <v>5547</v>
      </c>
      <c r="C301" s="118"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26"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26"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6"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26"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26"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26"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26"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26"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26"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2"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27"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26"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26"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26"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26"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26"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26"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26"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26"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26"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26"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26"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26"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2"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6"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19" t="s">
        <v>7545</v>
      </c>
      <c r="M326" s="120">
        <v>2799</v>
      </c>
      <c r="N326" s="119" t="s">
        <v>7546</v>
      </c>
      <c r="O326" s="120">
        <v>1451</v>
      </c>
      <c r="P326" s="119" t="s">
        <v>7547</v>
      </c>
      <c r="Q326" s="120">
        <v>593</v>
      </c>
      <c r="R326" s="119" t="s">
        <v>7548</v>
      </c>
      <c r="S326" s="120">
        <v>283</v>
      </c>
      <c r="T326" s="119" t="s">
        <v>7549</v>
      </c>
      <c r="U326" s="120">
        <v>149</v>
      </c>
      <c r="V326" s="119" t="s">
        <v>7550</v>
      </c>
      <c r="W326" s="120">
        <v>29</v>
      </c>
      <c r="X326" s="119" t="s">
        <v>66</v>
      </c>
      <c r="Y326" s="120">
        <v>593</v>
      </c>
      <c r="Z326" s="1"/>
      <c r="AA326" s="27"/>
      <c r="AB326" s="1"/>
      <c r="AC326" s="27"/>
    </row>
    <row r="327" spans="1:31" ht="28.5" customHeight="1" thickBot="1">
      <c r="A327" s="126"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6"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26"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26"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26"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27"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27"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26"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26"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26"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26"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26"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27"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19" t="s">
        <v>7436</v>
      </c>
      <c r="M339" s="120">
        <v>1997</v>
      </c>
      <c r="N339" s="119" t="s">
        <v>7437</v>
      </c>
      <c r="O339" s="120">
        <v>1108</v>
      </c>
      <c r="P339" s="119" t="s">
        <v>7438</v>
      </c>
      <c r="Q339" s="120">
        <v>663</v>
      </c>
      <c r="R339" s="119" t="s">
        <v>7439</v>
      </c>
      <c r="S339" s="120">
        <v>204</v>
      </c>
      <c r="T339" s="119" t="s">
        <v>7440</v>
      </c>
      <c r="U339" s="120">
        <v>65</v>
      </c>
      <c r="V339" s="119" t="s">
        <v>7441</v>
      </c>
      <c r="W339" s="120">
        <v>23</v>
      </c>
      <c r="X339" s="119" t="s">
        <v>7442</v>
      </c>
      <c r="Y339" s="120">
        <v>204</v>
      </c>
      <c r="Z339" s="119" t="s">
        <v>7443</v>
      </c>
      <c r="AA339" s="120">
        <v>162</v>
      </c>
      <c r="AB339" s="41"/>
      <c r="AC339" s="42"/>
    </row>
    <row r="340" spans="1:31" ht="28.5" customHeight="1" thickBot="1">
      <c r="A340" s="126"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26"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26"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26"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2"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2"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2"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26"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26"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26"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26"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26"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2"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2"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2"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2"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2"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3"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3"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2"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2"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2"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2"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19" t="s">
        <v>7449</v>
      </c>
      <c r="M401" s="120">
        <v>2689</v>
      </c>
      <c r="N401" s="119" t="s">
        <v>7450</v>
      </c>
      <c r="O401" s="120">
        <v>1353</v>
      </c>
      <c r="P401" s="119" t="s">
        <v>7451</v>
      </c>
      <c r="Q401" s="120">
        <v>717</v>
      </c>
      <c r="R401" s="119" t="s">
        <v>7452</v>
      </c>
      <c r="S401" s="120">
        <v>445</v>
      </c>
      <c r="T401" s="119" t="s">
        <v>7453</v>
      </c>
      <c r="U401" s="120">
        <v>291</v>
      </c>
      <c r="V401" s="119" t="s">
        <v>6</v>
      </c>
      <c r="W401" s="120">
        <v>139</v>
      </c>
      <c r="Y401" s="42"/>
      <c r="Z401" s="41"/>
      <c r="AA401" s="42"/>
      <c r="AB401" s="41"/>
      <c r="AC401" s="42"/>
    </row>
    <row r="402" spans="1:31" ht="28.5" customHeight="1" thickBot="1">
      <c r="A402" s="122"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2"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19" t="s">
        <v>4</v>
      </c>
      <c r="M403" s="120">
        <v>3019</v>
      </c>
      <c r="N403" s="119" t="s">
        <v>5</v>
      </c>
      <c r="O403" s="120">
        <v>1580</v>
      </c>
      <c r="P403" s="119" t="s">
        <v>17</v>
      </c>
      <c r="Q403" s="120">
        <v>645</v>
      </c>
      <c r="R403" s="119" t="s">
        <v>163</v>
      </c>
      <c r="S403" s="120">
        <v>309</v>
      </c>
      <c r="T403" s="119" t="s">
        <v>6</v>
      </c>
      <c r="U403" s="120">
        <v>165</v>
      </c>
      <c r="V403" s="119" t="s">
        <v>164</v>
      </c>
      <c r="W403" s="120">
        <v>32</v>
      </c>
      <c r="X403" s="119" t="s">
        <v>7407</v>
      </c>
      <c r="Y403" s="120">
        <v>926</v>
      </c>
      <c r="Z403" s="119" t="s">
        <v>1311</v>
      </c>
      <c r="AA403" s="120">
        <v>165</v>
      </c>
      <c r="AB403" s="119" t="s">
        <v>5329</v>
      </c>
      <c r="AC403" s="120">
        <v>97</v>
      </c>
      <c r="AD403" s="119" t="s">
        <v>6367</v>
      </c>
      <c r="AE403" s="120">
        <v>165</v>
      </c>
    </row>
    <row r="404" spans="1:31" ht="28.5" customHeight="1" thickBot="1">
      <c r="A404" s="122"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19" t="s">
        <v>235</v>
      </c>
      <c r="M404" s="120">
        <v>2689</v>
      </c>
      <c r="N404" s="119" t="s">
        <v>236</v>
      </c>
      <c r="O404" s="120">
        <v>1353</v>
      </c>
      <c r="P404" s="119" t="s">
        <v>1292</v>
      </c>
      <c r="Q404" s="120">
        <v>899</v>
      </c>
      <c r="R404" s="119" t="s">
        <v>237</v>
      </c>
      <c r="S404" s="120">
        <v>608</v>
      </c>
      <c r="T404" s="119" t="s">
        <v>1638</v>
      </c>
      <c r="U404" s="120">
        <v>445</v>
      </c>
      <c r="V404" s="119" t="s">
        <v>238</v>
      </c>
      <c r="W404" s="120">
        <v>300</v>
      </c>
      <c r="X404" s="119" t="s">
        <v>239</v>
      </c>
      <c r="Y404" s="120">
        <v>157</v>
      </c>
      <c r="Z404" s="119" t="s">
        <v>107</v>
      </c>
      <c r="AA404" s="120">
        <v>31</v>
      </c>
      <c r="AB404" s="119" t="s">
        <v>7435</v>
      </c>
      <c r="AC404" s="120">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19" t="s">
        <v>7429</v>
      </c>
      <c r="M406" s="120">
        <v>2959</v>
      </c>
      <c r="N406" s="119" t="s">
        <v>7430</v>
      </c>
      <c r="O406" s="120">
        <v>1534</v>
      </c>
      <c r="P406" s="119" t="s">
        <v>7431</v>
      </c>
      <c r="Q406" s="120">
        <v>608</v>
      </c>
      <c r="R406" s="119" t="s">
        <v>7432</v>
      </c>
      <c r="S406" s="120">
        <v>300</v>
      </c>
      <c r="T406" s="119" t="s">
        <v>7433</v>
      </c>
      <c r="U406" s="120">
        <v>157</v>
      </c>
      <c r="V406" s="119" t="s">
        <v>7434</v>
      </c>
      <c r="W406" s="120">
        <v>31</v>
      </c>
    </row>
    <row r="407" spans="1:31" ht="28.5" customHeight="1" thickBot="1">
      <c r="A407" s="122"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19" t="s">
        <v>3837</v>
      </c>
      <c r="M407" s="120">
        <v>2261</v>
      </c>
      <c r="N407" s="119" t="s">
        <v>7444</v>
      </c>
      <c r="O407" s="120">
        <v>1807</v>
      </c>
      <c r="P407" s="119" t="s">
        <v>7445</v>
      </c>
      <c r="Q407" s="120">
        <v>717</v>
      </c>
      <c r="R407" s="119" t="s">
        <v>7446</v>
      </c>
      <c r="S407" s="120">
        <v>536</v>
      </c>
      <c r="T407" s="119" t="s">
        <v>284</v>
      </c>
      <c r="U407" s="120">
        <v>176</v>
      </c>
      <c r="V407" s="119" t="s">
        <v>5252</v>
      </c>
      <c r="W407" s="120">
        <v>28</v>
      </c>
      <c r="X407" s="119" t="s">
        <v>7447</v>
      </c>
      <c r="Y407" s="120">
        <v>139</v>
      </c>
      <c r="Z407" s="119" t="s">
        <v>7448</v>
      </c>
      <c r="AA407" s="120">
        <v>291</v>
      </c>
    </row>
    <row r="408" spans="1:31" ht="28.5" customHeight="1" thickBot="1">
      <c r="A408" s="120"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19" t="s">
        <v>7468</v>
      </c>
      <c r="M408" s="120">
        <v>9792</v>
      </c>
      <c r="N408" s="119" t="s">
        <v>7469</v>
      </c>
      <c r="O408" s="120">
        <v>6365</v>
      </c>
      <c r="P408" s="119" t="s">
        <v>7470</v>
      </c>
      <c r="Q408" s="120">
        <v>4896</v>
      </c>
      <c r="R408" s="119" t="s">
        <v>5497</v>
      </c>
      <c r="S408" s="120">
        <v>2868</v>
      </c>
      <c r="T408" s="119" t="s">
        <v>7471</v>
      </c>
      <c r="U408" s="120">
        <v>2207</v>
      </c>
      <c r="V408" s="119" t="s">
        <v>5498</v>
      </c>
      <c r="W408" s="120">
        <v>1492</v>
      </c>
      <c r="X408" s="119" t="s">
        <v>7472</v>
      </c>
      <c r="Y408" s="120">
        <v>1130</v>
      </c>
      <c r="Z408" s="119" t="s">
        <v>5499</v>
      </c>
      <c r="AA408" s="120">
        <v>874</v>
      </c>
      <c r="AB408" s="119" t="s">
        <v>7473</v>
      </c>
      <c r="AC408" s="120">
        <v>830</v>
      </c>
      <c r="AD408" s="119" t="s">
        <v>7474</v>
      </c>
      <c r="AE408" s="120">
        <v>538</v>
      </c>
    </row>
    <row r="409" spans="1:31" ht="28.5" customHeight="1" thickBot="1">
      <c r="A409" s="120"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19" t="s">
        <v>7553</v>
      </c>
      <c r="M409" s="120">
        <v>2799</v>
      </c>
      <c r="N409" s="119" t="s">
        <v>7554</v>
      </c>
      <c r="O409" s="120">
        <v>1709</v>
      </c>
      <c r="P409" s="119" t="s">
        <v>7555</v>
      </c>
      <c r="Q409" s="120">
        <v>936</v>
      </c>
      <c r="R409" s="119" t="s">
        <v>7556</v>
      </c>
      <c r="S409" s="120">
        <v>593</v>
      </c>
      <c r="T409" s="119" t="s">
        <v>7557</v>
      </c>
      <c r="U409" s="120">
        <v>283</v>
      </c>
      <c r="V409" s="119" t="s">
        <v>7558</v>
      </c>
      <c r="W409" s="120">
        <v>131</v>
      </c>
      <c r="X409" s="119" t="s">
        <v>7559</v>
      </c>
      <c r="Y409" s="120">
        <v>131</v>
      </c>
      <c r="Z409" s="119" t="s">
        <v>7560</v>
      </c>
      <c r="AA409" s="120">
        <v>263</v>
      </c>
      <c r="AB409" s="119" t="s">
        <v>7561</v>
      </c>
      <c r="AC409" s="120">
        <v>283</v>
      </c>
      <c r="AD409" s="119" t="s">
        <v>7562</v>
      </c>
      <c r="AE409" s="120">
        <v>593</v>
      </c>
    </row>
    <row r="410" spans="1:31" ht="28.5" customHeight="1" thickBot="1">
      <c r="A410" s="120"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19" t="s">
        <v>7572</v>
      </c>
      <c r="M410" s="120">
        <v>2310</v>
      </c>
      <c r="N410" s="119" t="s">
        <v>7573</v>
      </c>
      <c r="O410" s="120">
        <v>1632</v>
      </c>
      <c r="P410" s="119" t="s">
        <v>7574</v>
      </c>
      <c r="Q410" s="120">
        <v>1117</v>
      </c>
      <c r="R410" s="119" t="s">
        <v>111</v>
      </c>
      <c r="S410" s="120">
        <v>601</v>
      </c>
      <c r="T410" s="119" t="s">
        <v>6510</v>
      </c>
      <c r="U410" s="120">
        <v>263</v>
      </c>
      <c r="V410" s="119" t="s">
        <v>31</v>
      </c>
      <c r="W410" s="120">
        <v>114</v>
      </c>
      <c r="X410" s="119" t="s">
        <v>7575</v>
      </c>
      <c r="Y410" s="120">
        <v>575</v>
      </c>
      <c r="Z410" s="119" t="s">
        <v>7576</v>
      </c>
      <c r="AA410" s="120">
        <v>236</v>
      </c>
      <c r="AB410" s="119" t="s">
        <v>7577</v>
      </c>
      <c r="AC410" s="120">
        <v>283</v>
      </c>
    </row>
    <row r="411" spans="1:31" ht="28.5" customHeight="1" thickBot="1">
      <c r="A411" s="120"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19" t="s">
        <v>179</v>
      </c>
      <c r="M411" s="120">
        <v>2799</v>
      </c>
      <c r="N411" s="119" t="s">
        <v>180</v>
      </c>
      <c r="O411" s="120">
        <v>1451</v>
      </c>
      <c r="P411" s="119" t="s">
        <v>181</v>
      </c>
      <c r="Q411" s="120">
        <v>850</v>
      </c>
      <c r="R411" s="119" t="s">
        <v>7551</v>
      </c>
      <c r="S411" s="120">
        <v>369</v>
      </c>
      <c r="T411" s="119" t="s">
        <v>65</v>
      </c>
      <c r="U411" s="120">
        <v>149</v>
      </c>
      <c r="V411" s="119" t="s">
        <v>194</v>
      </c>
      <c r="W411" s="120">
        <v>60</v>
      </c>
      <c r="X411" s="119" t="s">
        <v>7552</v>
      </c>
      <c r="Y411" s="120">
        <v>114</v>
      </c>
      <c r="Z411" s="119" t="s">
        <v>1295</v>
      </c>
      <c r="AA411" s="120">
        <v>149</v>
      </c>
      <c r="AB411" s="119" t="s">
        <v>1519</v>
      </c>
      <c r="AC411" s="120">
        <v>850</v>
      </c>
    </row>
    <row r="412" spans="1:31" ht="28.5" customHeight="1" thickBot="1">
      <c r="A412" s="122"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19" t="s">
        <v>7563</v>
      </c>
      <c r="M412" s="120">
        <v>1881</v>
      </c>
      <c r="N412" s="119" t="s">
        <v>7564</v>
      </c>
      <c r="O412" s="120">
        <v>902</v>
      </c>
      <c r="P412" s="119" t="s">
        <v>7565</v>
      </c>
      <c r="Q412" s="120">
        <v>455</v>
      </c>
      <c r="R412" s="119" t="s">
        <v>7566</v>
      </c>
      <c r="S412" s="120">
        <v>201</v>
      </c>
      <c r="T412" s="119" t="s">
        <v>7567</v>
      </c>
      <c r="U412" s="120">
        <v>88</v>
      </c>
      <c r="V412" s="119" t="s">
        <v>7568</v>
      </c>
      <c r="W412" s="120">
        <v>29</v>
      </c>
      <c r="X412" s="119" t="s">
        <v>7569</v>
      </c>
      <c r="Y412" s="120">
        <v>575</v>
      </c>
      <c r="Z412" s="119" t="s">
        <v>7570</v>
      </c>
      <c r="AA412" s="120">
        <v>149</v>
      </c>
      <c r="AB412" s="119" t="s">
        <v>7571</v>
      </c>
      <c r="AC412" s="120">
        <v>201</v>
      </c>
    </row>
    <row r="413" spans="1:31" ht="28.5" customHeight="1" thickBot="1">
      <c r="A413" s="120"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19" t="s">
        <v>7578</v>
      </c>
      <c r="M413" s="120">
        <v>2544</v>
      </c>
      <c r="N413" s="119" t="s">
        <v>1321</v>
      </c>
      <c r="O413" s="120">
        <v>1280</v>
      </c>
      <c r="P413" s="119" t="s">
        <v>3627</v>
      </c>
      <c r="Q413" s="120">
        <v>679</v>
      </c>
      <c r="R413" s="119" t="s">
        <v>3517</v>
      </c>
      <c r="S413" s="120">
        <v>275</v>
      </c>
      <c r="T413" s="119" t="s">
        <v>7579</v>
      </c>
      <c r="U413" s="120">
        <v>131</v>
      </c>
      <c r="V413" s="119" t="s">
        <v>31</v>
      </c>
      <c r="W413" s="120">
        <v>53</v>
      </c>
      <c r="X413" s="119" t="s">
        <v>7580</v>
      </c>
      <c r="Y413" s="120">
        <v>275</v>
      </c>
      <c r="Z413" s="119" t="s">
        <v>7581</v>
      </c>
      <c r="AA413" s="120">
        <v>131</v>
      </c>
      <c r="AB413" s="1"/>
      <c r="AC413" s="27"/>
    </row>
    <row r="414" spans="1:31" ht="28.5" customHeight="1" thickBot="1">
      <c r="A414" s="132"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19" t="s">
        <v>7611</v>
      </c>
      <c r="M414" s="120">
        <v>2544</v>
      </c>
      <c r="N414" s="119" t="s">
        <v>7606</v>
      </c>
      <c r="O414" s="120">
        <v>1280</v>
      </c>
      <c r="P414" s="119" t="s">
        <v>7607</v>
      </c>
      <c r="Q414" s="120">
        <v>679</v>
      </c>
      <c r="R414" s="119" t="s">
        <v>7608</v>
      </c>
      <c r="S414" s="120">
        <v>275</v>
      </c>
      <c r="T414" s="119" t="s">
        <v>7609</v>
      </c>
      <c r="U414" s="120">
        <v>166</v>
      </c>
      <c r="V414" s="119" t="s">
        <v>7610</v>
      </c>
      <c r="W414" s="120">
        <v>26</v>
      </c>
      <c r="X414" s="1"/>
      <c r="Y414" s="27"/>
      <c r="Z414" s="1"/>
      <c r="AA414" s="27"/>
      <c r="AB414" s="1"/>
      <c r="AC414" s="27"/>
    </row>
    <row r="415" spans="1:31" ht="28.5" customHeight="1" thickBot="1">
      <c r="A415" s="132"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2"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0"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0"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0"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19" t="s">
        <v>46</v>
      </c>
      <c r="M419" s="120">
        <v>2544</v>
      </c>
      <c r="N419" s="119" t="s">
        <v>1677</v>
      </c>
      <c r="O419" s="120">
        <v>1280</v>
      </c>
      <c r="P419" s="119" t="s">
        <v>151</v>
      </c>
      <c r="Q419" s="120">
        <v>850</v>
      </c>
      <c r="R419" s="119" t="s">
        <v>1679</v>
      </c>
      <c r="S419" s="120">
        <v>575</v>
      </c>
      <c r="T419" s="119" t="s">
        <v>153</v>
      </c>
      <c r="U419" s="120">
        <v>421</v>
      </c>
      <c r="V419" s="119" t="s">
        <v>1680</v>
      </c>
      <c r="W419" s="120">
        <v>283</v>
      </c>
      <c r="X419" s="119" t="s">
        <v>1682</v>
      </c>
      <c r="Y419" s="120">
        <v>149</v>
      </c>
      <c r="Z419" s="119" t="s">
        <v>1683</v>
      </c>
      <c r="AA419" s="120">
        <v>28</v>
      </c>
    </row>
    <row r="420" spans="1:29" ht="28.5" customHeight="1" thickBot="1">
      <c r="A420" s="122"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19" t="s">
        <v>7646</v>
      </c>
      <c r="M420" s="120">
        <v>2500</v>
      </c>
      <c r="N420" s="119" t="s">
        <v>7647</v>
      </c>
      <c r="O420" s="120">
        <v>1680</v>
      </c>
      <c r="P420" s="119" t="s">
        <v>7648</v>
      </c>
      <c r="Q420" s="120">
        <v>1005</v>
      </c>
      <c r="R420" s="119" t="s">
        <v>7649</v>
      </c>
      <c r="S420" s="120">
        <v>414</v>
      </c>
      <c r="T420" s="119" t="s">
        <v>7650</v>
      </c>
      <c r="U420" s="120">
        <v>249</v>
      </c>
      <c r="V420" s="119" t="s">
        <v>7651</v>
      </c>
      <c r="W420" s="120">
        <v>189</v>
      </c>
      <c r="X420" s="119" t="s">
        <v>7652</v>
      </c>
      <c r="Y420" s="120">
        <v>103</v>
      </c>
      <c r="Z420" s="119" t="s">
        <v>7653</v>
      </c>
      <c r="AA420" s="120">
        <v>498</v>
      </c>
    </row>
    <row r="421" spans="1:29" ht="28.5" customHeight="1" thickBot="1">
      <c r="A421" s="122"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thickBot="1">
      <c r="A422" s="122" t="s">
        <v>7667</v>
      </c>
      <c r="C422" s="9" t="s">
        <v>7668</v>
      </c>
      <c r="E422" s="10" t="s">
        <v>7671</v>
      </c>
      <c r="F422" s="9" t="str">
        <f t="shared" si="16"/>
        <v>gift-codes.html?game=不正經魔王軍</v>
      </c>
      <c r="G422" s="10" t="s">
        <v>7672</v>
      </c>
      <c r="H422" s="10" t="str">
        <f t="shared" si="17"/>
        <v>https://www.ssbuy.tw/game-detail.html?game=不正經魔王軍</v>
      </c>
      <c r="I422" s="11" t="s">
        <v>7673</v>
      </c>
      <c r="J422" s="40" t="s">
        <v>5422</v>
      </c>
      <c r="K422" s="43" t="s">
        <v>5450</v>
      </c>
      <c r="L422" s="1" t="s">
        <v>5950</v>
      </c>
      <c r="M422" s="27">
        <v>2751</v>
      </c>
      <c r="N422" s="1" t="s">
        <v>5951</v>
      </c>
      <c r="O422" s="27">
        <v>1427</v>
      </c>
      <c r="P422" s="1" t="s">
        <v>5952</v>
      </c>
      <c r="Q422" s="27">
        <v>836</v>
      </c>
      <c r="R422" s="1" t="s">
        <v>5953</v>
      </c>
      <c r="S422" s="27">
        <v>734</v>
      </c>
      <c r="T422" s="1" t="s">
        <v>5954</v>
      </c>
      <c r="U422" s="27">
        <v>566</v>
      </c>
      <c r="V422" s="1" t="s">
        <v>5955</v>
      </c>
      <c r="W422" s="27">
        <v>414</v>
      </c>
      <c r="X422" s="1" t="s">
        <v>5956</v>
      </c>
      <c r="Y422" s="27">
        <v>279</v>
      </c>
      <c r="Z422" s="1" t="s">
        <v>5957</v>
      </c>
      <c r="AA422" s="27">
        <v>146</v>
      </c>
      <c r="AB422" s="1" t="s">
        <v>5958</v>
      </c>
      <c r="AC422" s="27">
        <v>28</v>
      </c>
    </row>
    <row r="423" spans="1:29" ht="28.5" customHeight="1" thickBot="1">
      <c r="A423" s="132" t="s">
        <v>7727</v>
      </c>
      <c r="C423" s="9" t="s">
        <v>7706</v>
      </c>
      <c r="D423" s="10" t="s">
        <v>7703</v>
      </c>
      <c r="E423" s="10" t="s">
        <v>7705</v>
      </c>
      <c r="F423" s="9" t="str">
        <f t="shared" si="16"/>
        <v>gift-codes.html?game=星之救援者</v>
      </c>
      <c r="G423" s="10" t="s">
        <v>7704</v>
      </c>
      <c r="H423" s="10" t="str">
        <f t="shared" si="17"/>
        <v>https://www.ssbuy.tw/game-detail.html?game=星之救援者</v>
      </c>
      <c r="I423" s="11" t="s">
        <v>7708</v>
      </c>
      <c r="J423" s="40" t="s">
        <v>5422</v>
      </c>
      <c r="K423" s="43" t="s">
        <v>5450</v>
      </c>
      <c r="L423" s="1" t="s">
        <v>5950</v>
      </c>
      <c r="M423" s="27">
        <v>2751</v>
      </c>
      <c r="N423" s="1" t="s">
        <v>5951</v>
      </c>
      <c r="O423" s="27">
        <v>1427</v>
      </c>
      <c r="P423" s="1" t="s">
        <v>5952</v>
      </c>
      <c r="Q423" s="27">
        <v>836</v>
      </c>
      <c r="R423" s="1" t="s">
        <v>5953</v>
      </c>
      <c r="S423" s="27">
        <v>734</v>
      </c>
      <c r="T423" s="1" t="s">
        <v>5954</v>
      </c>
      <c r="U423" s="27">
        <v>566</v>
      </c>
      <c r="V423" s="1" t="s">
        <v>5955</v>
      </c>
      <c r="W423" s="27">
        <v>414</v>
      </c>
      <c r="X423" s="1" t="s">
        <v>5956</v>
      </c>
      <c r="Y423" s="27">
        <v>279</v>
      </c>
      <c r="Z423" s="1" t="s">
        <v>5957</v>
      </c>
      <c r="AA423" s="27">
        <v>146</v>
      </c>
      <c r="AB423" s="1" t="s">
        <v>5958</v>
      </c>
      <c r="AC423" s="27">
        <v>28</v>
      </c>
    </row>
    <row r="424" spans="1:29" ht="28.5" customHeight="1" thickBot="1">
      <c r="A424" s="120" t="s">
        <v>7707</v>
      </c>
      <c r="C424" s="44" t="s">
        <v>7691</v>
      </c>
      <c r="D424" s="10" t="s">
        <v>7692</v>
      </c>
      <c r="E424" s="10" t="s">
        <v>7694</v>
      </c>
      <c r="F424" s="9" t="str">
        <f t="shared" si="16"/>
        <v>gift-codes.html?game=希望M ON CROSS</v>
      </c>
      <c r="G424" s="10" t="s">
        <v>7693</v>
      </c>
      <c r="H424" s="10" t="str">
        <f t="shared" si="17"/>
        <v>https://www.ssbuy.tw/game-detail.html?game=希望M ON CROSS</v>
      </c>
      <c r="I424" s="11" t="s">
        <v>7709</v>
      </c>
      <c r="J424" s="40" t="s">
        <v>5422</v>
      </c>
      <c r="K424" s="43" t="s">
        <v>5450</v>
      </c>
      <c r="L424" s="1" t="s">
        <v>5950</v>
      </c>
      <c r="M424" s="27">
        <v>2751</v>
      </c>
      <c r="N424" s="1" t="s">
        <v>5951</v>
      </c>
      <c r="O424" s="27">
        <v>1427</v>
      </c>
      <c r="P424" s="1" t="s">
        <v>5952</v>
      </c>
      <c r="Q424" s="27">
        <v>836</v>
      </c>
      <c r="R424" s="1" t="s">
        <v>5953</v>
      </c>
      <c r="S424" s="27">
        <v>734</v>
      </c>
      <c r="T424" s="1" t="s">
        <v>5954</v>
      </c>
      <c r="U424" s="27">
        <v>566</v>
      </c>
      <c r="V424" s="1" t="s">
        <v>5955</v>
      </c>
      <c r="W424" s="27">
        <v>414</v>
      </c>
      <c r="X424" s="1" t="s">
        <v>5956</v>
      </c>
      <c r="Y424" s="27">
        <v>279</v>
      </c>
      <c r="Z424" s="1" t="s">
        <v>5957</v>
      </c>
      <c r="AA424" s="27">
        <v>146</v>
      </c>
      <c r="AB424" s="1" t="s">
        <v>5958</v>
      </c>
      <c r="AC424" s="27">
        <v>28</v>
      </c>
    </row>
    <row r="425" spans="1:29" ht="28.5" customHeight="1" thickBot="1">
      <c r="A425" s="122" t="s">
        <v>7689</v>
      </c>
      <c r="C425" s="9" t="s">
        <v>7699</v>
      </c>
      <c r="D425" s="10" t="s">
        <v>7700</v>
      </c>
      <c r="E425" s="10" t="s">
        <v>7701</v>
      </c>
      <c r="F425" s="9" t="str">
        <f t="shared" si="16"/>
        <v>gift-codes.html?game=RO仙境傳說：愛如初見Classic</v>
      </c>
      <c r="G425" s="10" t="s">
        <v>7702</v>
      </c>
      <c r="H425" s="10" t="str">
        <f t="shared" si="17"/>
        <v>https://www.ssbuy.tw/game-detail.html?game=RO仙境傳說：愛如初見Classic</v>
      </c>
      <c r="I425" s="11" t="s">
        <v>7710</v>
      </c>
      <c r="J425" s="40" t="s">
        <v>5422</v>
      </c>
      <c r="K425" s="43" t="s">
        <v>5450</v>
      </c>
      <c r="L425" s="1" t="s">
        <v>5950</v>
      </c>
      <c r="M425" s="27">
        <v>2751</v>
      </c>
      <c r="N425" s="1" t="s">
        <v>5951</v>
      </c>
      <c r="O425" s="27">
        <v>1427</v>
      </c>
      <c r="P425" s="1" t="s">
        <v>5952</v>
      </c>
      <c r="Q425" s="27">
        <v>836</v>
      </c>
      <c r="R425" s="1" t="s">
        <v>5953</v>
      </c>
      <c r="S425" s="27">
        <v>734</v>
      </c>
      <c r="T425" s="1" t="s">
        <v>5954</v>
      </c>
      <c r="U425" s="27">
        <v>566</v>
      </c>
      <c r="V425" s="1" t="s">
        <v>5955</v>
      </c>
      <c r="W425" s="27">
        <v>414</v>
      </c>
      <c r="X425" s="1" t="s">
        <v>5956</v>
      </c>
      <c r="Y425" s="27">
        <v>279</v>
      </c>
      <c r="Z425" s="1" t="s">
        <v>5957</v>
      </c>
      <c r="AA425" s="27">
        <v>146</v>
      </c>
      <c r="AB425" s="1" t="s">
        <v>5958</v>
      </c>
      <c r="AC425" s="27">
        <v>28</v>
      </c>
    </row>
    <row r="426" spans="1:29" ht="28.5" customHeight="1" thickBot="1">
      <c r="A426" s="122" t="s">
        <v>7690</v>
      </c>
      <c r="C426" s="9" t="s">
        <v>7698</v>
      </c>
      <c r="D426" s="10" t="s">
        <v>7697</v>
      </c>
      <c r="E426" s="10" t="s">
        <v>7695</v>
      </c>
      <c r="F426" s="9" t="str">
        <f t="shared" si="16"/>
        <v>gift-codes.html?game=鐳明閃擊</v>
      </c>
      <c r="G426" s="10" t="s">
        <v>7696</v>
      </c>
      <c r="H426" s="10" t="str">
        <f t="shared" si="17"/>
        <v>https://www.ssbuy.tw/game-detail.html?game=鐳明閃擊</v>
      </c>
      <c r="I426" s="11" t="s">
        <v>7711</v>
      </c>
      <c r="J426" s="40" t="s">
        <v>5422</v>
      </c>
      <c r="K426" s="43" t="s">
        <v>5450</v>
      </c>
      <c r="L426" s="1" t="s">
        <v>5950</v>
      </c>
      <c r="M426" s="27">
        <v>2751</v>
      </c>
      <c r="N426" s="1" t="s">
        <v>5951</v>
      </c>
      <c r="O426" s="27">
        <v>1427</v>
      </c>
      <c r="P426" s="1" t="s">
        <v>5952</v>
      </c>
      <c r="Q426" s="27">
        <v>836</v>
      </c>
      <c r="R426" s="1" t="s">
        <v>5953</v>
      </c>
      <c r="S426" s="27">
        <v>734</v>
      </c>
      <c r="T426" s="1" t="s">
        <v>5954</v>
      </c>
      <c r="U426" s="27">
        <v>566</v>
      </c>
      <c r="V426" s="1" t="s">
        <v>5955</v>
      </c>
      <c r="W426" s="27">
        <v>414</v>
      </c>
      <c r="X426" s="1" t="s">
        <v>5956</v>
      </c>
      <c r="Y426" s="27">
        <v>279</v>
      </c>
      <c r="Z426" s="1" t="s">
        <v>5957</v>
      </c>
      <c r="AA426" s="27">
        <v>146</v>
      </c>
      <c r="AB426" s="1" t="s">
        <v>5958</v>
      </c>
      <c r="AC426" s="27">
        <v>28</v>
      </c>
    </row>
    <row r="427" spans="1:29" ht="28.5" customHeight="1" thickBot="1">
      <c r="A427" s="122" t="s">
        <v>7719</v>
      </c>
      <c r="C427" s="9" t="s">
        <v>7714</v>
      </c>
      <c r="E427" s="10" t="s">
        <v>7715</v>
      </c>
      <c r="F427" s="9" t="str">
        <f t="shared" si="16"/>
        <v>gift-codes.html?game=最後的迴響</v>
      </c>
      <c r="G427" s="2" t="s">
        <v>7721</v>
      </c>
      <c r="H427" s="10" t="str">
        <f t="shared" si="17"/>
        <v>https://www.ssbuy.tw/game-detail.html?game=最後的迴響</v>
      </c>
      <c r="I427" s="11" t="s">
        <v>7722</v>
      </c>
      <c r="J427" s="40" t="s">
        <v>5422</v>
      </c>
      <c r="K427" s="43" t="s">
        <v>5450</v>
      </c>
      <c r="L427" s="1" t="s">
        <v>5950</v>
      </c>
      <c r="M427" s="27">
        <v>2751</v>
      </c>
      <c r="N427" s="1" t="s">
        <v>5951</v>
      </c>
      <c r="O427" s="27">
        <v>1427</v>
      </c>
      <c r="P427" s="1" t="s">
        <v>5952</v>
      </c>
      <c r="Q427" s="27">
        <v>836</v>
      </c>
      <c r="R427" s="1" t="s">
        <v>5953</v>
      </c>
      <c r="S427" s="27">
        <v>734</v>
      </c>
      <c r="T427" s="1" t="s">
        <v>5954</v>
      </c>
      <c r="U427" s="27">
        <v>566</v>
      </c>
      <c r="V427" s="1" t="s">
        <v>5955</v>
      </c>
      <c r="W427" s="27">
        <v>414</v>
      </c>
      <c r="X427" s="1" t="s">
        <v>5956</v>
      </c>
      <c r="Y427" s="27">
        <v>279</v>
      </c>
      <c r="Z427" s="1" t="s">
        <v>5957</v>
      </c>
      <c r="AA427" s="27">
        <v>146</v>
      </c>
      <c r="AB427" s="1" t="s">
        <v>5958</v>
      </c>
      <c r="AC427" s="27">
        <v>28</v>
      </c>
    </row>
    <row r="428" spans="1:29" ht="28.5" customHeight="1" thickBot="1">
      <c r="A428" s="122" t="s">
        <v>7720</v>
      </c>
      <c r="C428" s="9" t="s">
        <v>7712</v>
      </c>
      <c r="D428" s="10" t="s">
        <v>7716</v>
      </c>
      <c r="E428" s="10" t="s">
        <v>7717</v>
      </c>
      <c r="F428" s="9" t="str">
        <f t="shared" ref="F428:F491" si="18">IF(A428="", "", "gift-codes.html?game=" &amp; A428)</f>
        <v>gift-codes.html?game=極樂仙途</v>
      </c>
      <c r="G428" s="10" t="s">
        <v>7713</v>
      </c>
      <c r="H428" s="10" t="str">
        <f t="shared" ref="H428:H491" si="19">IF(A428="", "", "https://www.ssbuy.tw/game-detail.html?game="&amp;A428)</f>
        <v>https://www.ssbuy.tw/game-detail.html?game=極樂仙途</v>
      </c>
      <c r="I428" s="11" t="s">
        <v>7723</v>
      </c>
      <c r="J428" s="40" t="s">
        <v>5422</v>
      </c>
      <c r="K428" s="43" t="s">
        <v>5450</v>
      </c>
      <c r="L428" s="1" t="s">
        <v>5950</v>
      </c>
      <c r="M428" s="27">
        <v>2751</v>
      </c>
      <c r="N428" s="1" t="s">
        <v>5951</v>
      </c>
      <c r="O428" s="27">
        <v>1427</v>
      </c>
      <c r="P428" s="1" t="s">
        <v>5952</v>
      </c>
      <c r="Q428" s="27">
        <v>836</v>
      </c>
      <c r="R428" s="1" t="s">
        <v>5953</v>
      </c>
      <c r="S428" s="27">
        <v>734</v>
      </c>
      <c r="T428" s="1" t="s">
        <v>5954</v>
      </c>
      <c r="U428" s="27">
        <v>566</v>
      </c>
      <c r="V428" s="1" t="s">
        <v>5955</v>
      </c>
      <c r="W428" s="27">
        <v>414</v>
      </c>
      <c r="X428" s="1" t="s">
        <v>5956</v>
      </c>
      <c r="Y428" s="27">
        <v>279</v>
      </c>
      <c r="Z428" s="1" t="s">
        <v>5957</v>
      </c>
      <c r="AA428" s="27">
        <v>146</v>
      </c>
      <c r="AB428" s="1" t="s">
        <v>5958</v>
      </c>
      <c r="AC428" s="27">
        <v>28</v>
      </c>
    </row>
    <row r="429" spans="1:29" ht="28.5" customHeight="1" thickBot="1">
      <c r="A429" s="122" t="s">
        <v>7732</v>
      </c>
      <c r="C429" s="9" t="s">
        <v>7731</v>
      </c>
      <c r="D429" s="10" t="s">
        <v>7729</v>
      </c>
      <c r="E429" s="10" t="s">
        <v>7728</v>
      </c>
      <c r="F429" s="9" t="str">
        <f t="shared" si="18"/>
        <v>gift-codes.html?game=七大罪：origin</v>
      </c>
      <c r="G429" s="10" t="s">
        <v>7730</v>
      </c>
      <c r="H429" s="10" t="str">
        <f t="shared" si="19"/>
        <v>https://www.ssbuy.tw/game-detail.html?game=七大罪：origin</v>
      </c>
      <c r="I429" s="11" t="s">
        <v>7742</v>
      </c>
      <c r="J429" s="40" t="s">
        <v>5422</v>
      </c>
      <c r="K429" s="43" t="s">
        <v>5450</v>
      </c>
      <c r="L429" s="119" t="s">
        <v>7743</v>
      </c>
      <c r="M429" s="120">
        <v>2735</v>
      </c>
      <c r="N429" s="119" t="s">
        <v>7744</v>
      </c>
      <c r="O429" s="120">
        <v>1418</v>
      </c>
      <c r="P429" s="119" t="s">
        <v>7745</v>
      </c>
      <c r="Q429" s="120">
        <v>831</v>
      </c>
      <c r="R429" s="119" t="s">
        <v>7746</v>
      </c>
      <c r="S429" s="120">
        <v>411</v>
      </c>
      <c r="T429" s="119" t="s">
        <v>7747</v>
      </c>
      <c r="U429" s="120">
        <v>145</v>
      </c>
      <c r="V429" s="119" t="s">
        <v>7748</v>
      </c>
      <c r="W429" s="120">
        <v>28</v>
      </c>
      <c r="X429" s="119" t="s">
        <v>7749</v>
      </c>
      <c r="Y429" s="120">
        <v>697</v>
      </c>
      <c r="Z429" s="119" t="s">
        <v>7750</v>
      </c>
      <c r="AA429" s="120">
        <v>411</v>
      </c>
      <c r="AB429" s="119" t="s">
        <v>7751</v>
      </c>
      <c r="AC429" s="120">
        <v>145</v>
      </c>
    </row>
    <row r="430" spans="1:29" ht="28.5" customHeight="1">
      <c r="F430" s="9" t="str">
        <f t="shared" si="18"/>
        <v/>
      </c>
      <c r="H430" s="10" t="str">
        <f t="shared" si="19"/>
        <v/>
      </c>
    </row>
    <row r="431" spans="1:29" ht="28.5" customHeight="1" thickBot="1">
      <c r="F431" s="9" t="str">
        <f t="shared" si="18"/>
        <v/>
      </c>
      <c r="H431" s="10" t="str">
        <f t="shared" si="19"/>
        <v/>
      </c>
    </row>
    <row r="432" spans="1:29" ht="28.5" customHeight="1" thickBot="1">
      <c r="F432" s="9" t="str">
        <f t="shared" si="18"/>
        <v/>
      </c>
      <c r="H432" s="10" t="str">
        <f t="shared" si="19"/>
        <v/>
      </c>
      <c r="L432" s="119"/>
      <c r="M432" s="120"/>
    </row>
    <row r="433" spans="6:13" ht="28.5" customHeight="1" thickBot="1">
      <c r="F433" s="9" t="str">
        <f t="shared" si="18"/>
        <v/>
      </c>
      <c r="H433" s="10" t="str">
        <f t="shared" si="19"/>
        <v/>
      </c>
      <c r="L433" s="119"/>
      <c r="M433" s="120"/>
    </row>
    <row r="434" spans="6:13" ht="28.5" customHeight="1" thickBot="1">
      <c r="F434" s="9" t="str">
        <f t="shared" si="18"/>
        <v/>
      </c>
      <c r="H434" s="10" t="str">
        <f t="shared" si="19"/>
        <v/>
      </c>
      <c r="L434" s="119"/>
      <c r="M434" s="120"/>
    </row>
    <row r="435" spans="6:13" ht="28.5" customHeight="1" thickBot="1">
      <c r="F435" s="9" t="str">
        <f t="shared" si="18"/>
        <v/>
      </c>
      <c r="H435" s="10" t="str">
        <f t="shared" si="19"/>
        <v/>
      </c>
      <c r="L435" s="119"/>
      <c r="M435" s="120"/>
    </row>
    <row r="436" spans="6:13" ht="28.5" customHeight="1" thickBot="1">
      <c r="F436" s="9" t="str">
        <f t="shared" si="18"/>
        <v/>
      </c>
      <c r="H436" s="10" t="str">
        <f t="shared" si="19"/>
        <v/>
      </c>
      <c r="L436" s="119"/>
      <c r="M436" s="120"/>
    </row>
    <row r="437" spans="6:13" ht="28.5" customHeight="1" thickBot="1">
      <c r="F437" s="9" t="str">
        <f t="shared" si="18"/>
        <v/>
      </c>
      <c r="H437" s="10" t="str">
        <f t="shared" si="19"/>
        <v/>
      </c>
      <c r="L437" s="119"/>
      <c r="M437" s="120"/>
    </row>
    <row r="438" spans="6:13" ht="28.5" customHeight="1">
      <c r="F438" s="9" t="str">
        <f t="shared" si="18"/>
        <v/>
      </c>
      <c r="H438" s="10" t="str">
        <f t="shared" si="19"/>
        <v/>
      </c>
    </row>
    <row r="439" spans="6:13" ht="28.5" customHeight="1">
      <c r="F439" s="9" t="str">
        <f t="shared" si="18"/>
        <v/>
      </c>
      <c r="H439" s="10" t="str">
        <f t="shared" si="19"/>
        <v/>
      </c>
    </row>
    <row r="440" spans="6:13" ht="28.5" customHeight="1">
      <c r="F440" s="9" t="str">
        <f t="shared" si="18"/>
        <v/>
      </c>
      <c r="H440" s="10" t="str">
        <f t="shared" si="19"/>
        <v/>
      </c>
    </row>
    <row r="441" spans="6:13" ht="28.5" customHeight="1">
      <c r="F441" s="9" t="str">
        <f t="shared" si="18"/>
        <v/>
      </c>
      <c r="H441" s="10" t="str">
        <f t="shared" si="19"/>
        <v/>
      </c>
    </row>
    <row r="442" spans="6:13" ht="28.5" customHeight="1">
      <c r="F442" s="9" t="str">
        <f t="shared" si="18"/>
        <v/>
      </c>
      <c r="H442" s="10" t="str">
        <f t="shared" si="19"/>
        <v/>
      </c>
    </row>
    <row r="443" spans="6:13" ht="28.5" customHeight="1">
      <c r="F443" s="9" t="str">
        <f t="shared" si="18"/>
        <v/>
      </c>
      <c r="H443" s="10" t="str">
        <f t="shared" si="19"/>
        <v/>
      </c>
    </row>
    <row r="444" spans="6:13" ht="28.5" customHeight="1">
      <c r="F444" s="9" t="str">
        <f t="shared" si="18"/>
        <v/>
      </c>
      <c r="H444" s="10" t="str">
        <f t="shared" si="19"/>
        <v/>
      </c>
    </row>
    <row r="445" spans="6:13" ht="28.5" customHeight="1">
      <c r="F445" s="9" t="str">
        <f t="shared" si="18"/>
        <v/>
      </c>
      <c r="H445" s="10" t="str">
        <f t="shared" si="19"/>
        <v/>
      </c>
    </row>
    <row r="446" spans="6:13" ht="28.5" customHeight="1">
      <c r="F446" s="9" t="str">
        <f t="shared" si="18"/>
        <v/>
      </c>
      <c r="H446" s="10" t="str">
        <f t="shared" si="19"/>
        <v/>
      </c>
    </row>
    <row r="447" spans="6:13" ht="28.5" customHeight="1">
      <c r="F447" s="9" t="str">
        <f t="shared" si="18"/>
        <v/>
      </c>
      <c r="H447" s="10" t="str">
        <f t="shared" si="19"/>
        <v/>
      </c>
    </row>
    <row r="448" spans="6:13"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D412" activePane="bottomRight" state="frozen"/>
      <selection pane="topRight" activeCell="B1" sqref="B1"/>
      <selection pane="bottomLeft" activeCell="A2" sqref="A2"/>
      <selection pane="bottomRight" activeCell="I430" sqref="I430"/>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0" t="s">
        <v>327</v>
      </c>
      <c r="B1" s="51" t="s">
        <v>1686</v>
      </c>
      <c r="C1" s="51" t="s">
        <v>2643</v>
      </c>
      <c r="D1" s="52" t="s">
        <v>2644</v>
      </c>
      <c r="E1" s="95" t="s">
        <v>1687</v>
      </c>
      <c r="F1" s="109" t="s">
        <v>1688</v>
      </c>
      <c r="G1" s="51" t="s">
        <v>1689</v>
      </c>
      <c r="H1" s="51" t="s">
        <v>1690</v>
      </c>
      <c r="I1" s="51" t="s">
        <v>1691</v>
      </c>
      <c r="J1" s="95" t="s">
        <v>1692</v>
      </c>
      <c r="K1" s="96"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6181</v>
      </c>
      <c r="AZ1" s="54" t="s">
        <v>6182</v>
      </c>
      <c r="BA1" s="53" t="s">
        <v>6183</v>
      </c>
      <c r="BB1" s="51" t="s">
        <v>6184</v>
      </c>
      <c r="BC1" s="53" t="s">
        <v>6185</v>
      </c>
      <c r="BD1" s="51" t="s">
        <v>6186</v>
      </c>
      <c r="BE1" s="53" t="s">
        <v>6187</v>
      </c>
      <c r="BF1" s="51" t="s">
        <v>6188</v>
      </c>
      <c r="BG1" s="53" t="s">
        <v>6189</v>
      </c>
      <c r="BH1" s="51" t="s">
        <v>6190</v>
      </c>
      <c r="BI1" s="53" t="s">
        <v>6191</v>
      </c>
      <c r="BJ1" s="51" t="s">
        <v>6192</v>
      </c>
      <c r="BK1" s="53" t="s">
        <v>6193</v>
      </c>
      <c r="BL1" s="51" t="s">
        <v>6194</v>
      </c>
      <c r="BM1" s="53" t="s">
        <v>6195</v>
      </c>
      <c r="BN1" s="51" t="s">
        <v>6196</v>
      </c>
      <c r="BO1" s="53" t="s">
        <v>6197</v>
      </c>
      <c r="BP1" s="51" t="s">
        <v>6198</v>
      </c>
      <c r="BQ1" s="53" t="s">
        <v>6199</v>
      </c>
      <c r="BR1" s="55" t="s">
        <v>6200</v>
      </c>
    </row>
    <row r="2" spans="1:70" ht="28.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7" t="s">
        <v>2668</v>
      </c>
      <c r="F2" s="110" t="s">
        <v>2669</v>
      </c>
      <c r="G2" s="58" t="s">
        <v>1711</v>
      </c>
      <c r="H2" s="58" t="s">
        <v>2670</v>
      </c>
      <c r="I2" s="57"/>
      <c r="J2" s="97"/>
      <c r="K2" s="98"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8.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7" t="s">
        <v>2671</v>
      </c>
      <c r="F3" s="110" t="s">
        <v>2669</v>
      </c>
      <c r="G3" s="58" t="s">
        <v>1711</v>
      </c>
      <c r="H3" s="58" t="s">
        <v>2672</v>
      </c>
      <c r="I3" s="57"/>
      <c r="J3" s="97"/>
      <c r="K3" s="98"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8.5" customHeight="1">
      <c r="A4" s="56" t="s">
        <v>2673</v>
      </c>
      <c r="B4" s="57" t="str">
        <f t="shared" si="0"/>
        <v>giftcodesbanner/極速快感-bar.jpg</v>
      </c>
      <c r="C4" s="57"/>
      <c r="D4" s="57" t="str">
        <f t="shared" si="1"/>
        <v>https://www.ssbuy.tw/detail_giftcode/dist/giftcodes/極速快感.html</v>
      </c>
      <c r="E4" s="97"/>
      <c r="F4" s="110" t="s">
        <v>2674</v>
      </c>
      <c r="G4" s="58" t="s">
        <v>1711</v>
      </c>
      <c r="H4" s="58" t="s">
        <v>2675</v>
      </c>
      <c r="I4" s="57"/>
      <c r="J4" s="97"/>
      <c r="K4" s="98"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8.5" customHeight="1">
      <c r="A5" s="62" t="s">
        <v>401</v>
      </c>
      <c r="B5" s="57" t="str">
        <f t="shared" si="0"/>
        <v>giftcodesbanner/俠客傳說：小小英雄-bar.jpg</v>
      </c>
      <c r="C5" s="57"/>
      <c r="D5" s="57" t="str">
        <f t="shared" si="1"/>
        <v>https://www.ssbuy.tw/detail_giftcode/dist/giftcodes/俠客傳說：小小英雄.html</v>
      </c>
      <c r="E5" s="97" t="s">
        <v>402</v>
      </c>
      <c r="F5" s="110" t="s">
        <v>1740</v>
      </c>
      <c r="G5" s="58" t="s">
        <v>1711</v>
      </c>
      <c r="H5" s="58" t="s">
        <v>1840</v>
      </c>
      <c r="I5" s="57"/>
      <c r="J5" s="97"/>
      <c r="K5" s="98"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8.5" customHeight="1">
      <c r="A6" s="62" t="s">
        <v>2676</v>
      </c>
      <c r="B6" s="57" t="str">
        <f t="shared" si="0"/>
        <v>giftcodesbanner/逆水寒-bar.jpg</v>
      </c>
      <c r="C6" s="57"/>
      <c r="D6" s="57" t="str">
        <f t="shared" si="1"/>
        <v>https://www.ssbuy.tw/detail_giftcode/dist/giftcodes/逆水寒.html</v>
      </c>
      <c r="E6" s="97" t="s">
        <v>411</v>
      </c>
      <c r="F6" s="110" t="s">
        <v>2674</v>
      </c>
      <c r="G6" s="58" t="s">
        <v>1711</v>
      </c>
      <c r="H6" s="58" t="s">
        <v>2675</v>
      </c>
      <c r="I6" s="57"/>
      <c r="J6" s="97"/>
      <c r="K6" s="98"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8.5" customHeight="1">
      <c r="A7" s="62" t="s">
        <v>418</v>
      </c>
      <c r="B7" s="57" t="str">
        <f t="shared" si="0"/>
        <v>giftcodesbanner/RO仙境傳說：一定要可愛-bar.jpg</v>
      </c>
      <c r="C7" s="57"/>
      <c r="D7" s="57" t="str">
        <f t="shared" si="1"/>
        <v>https://www.ssbuy.tw/detail_giftcode/dist/giftcodes/RO仙境傳說：一定要可愛.html</v>
      </c>
      <c r="E7" s="97" t="s">
        <v>2677</v>
      </c>
      <c r="F7" s="110" t="s">
        <v>1710</v>
      </c>
      <c r="G7" s="58" t="s">
        <v>1711</v>
      </c>
      <c r="H7" s="58" t="s">
        <v>2675</v>
      </c>
      <c r="I7" s="57"/>
      <c r="J7" s="97"/>
      <c r="K7" s="98"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8.5" customHeight="1">
      <c r="A8" s="62" t="s">
        <v>427</v>
      </c>
      <c r="B8" s="57" t="str">
        <f t="shared" si="0"/>
        <v>giftcodesbanner/RO新世代-bar.jpg</v>
      </c>
      <c r="C8" s="57"/>
      <c r="D8" s="57" t="str">
        <f t="shared" si="1"/>
        <v>https://www.ssbuy.tw/detail_giftcode/dist/giftcodes/RO新世代.html</v>
      </c>
      <c r="E8" s="97" t="s">
        <v>428</v>
      </c>
      <c r="F8" s="110" t="s">
        <v>2669</v>
      </c>
      <c r="G8" s="58" t="s">
        <v>1711</v>
      </c>
      <c r="H8" s="58" t="s">
        <v>2675</v>
      </c>
      <c r="I8" s="57"/>
      <c r="J8" s="97"/>
      <c r="K8" s="98"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8.5" customHeight="1">
      <c r="A9" s="62" t="s">
        <v>436</v>
      </c>
      <c r="B9" s="57" t="str">
        <f t="shared" si="0"/>
        <v>giftcodesbanner/上古：龍神覺醒-bar.jpg</v>
      </c>
      <c r="C9" s="57"/>
      <c r="D9" s="57" t="str">
        <f t="shared" si="1"/>
        <v>https://www.ssbuy.tw/detail_giftcode/dist/giftcodes/上古：龍神覺醒.html</v>
      </c>
      <c r="E9" s="97" t="s">
        <v>437</v>
      </c>
      <c r="F9" s="110" t="s">
        <v>1740</v>
      </c>
      <c r="G9" s="58" t="s">
        <v>1711</v>
      </c>
      <c r="H9" s="58" t="s">
        <v>2675</v>
      </c>
      <c r="I9" s="57"/>
      <c r="J9" s="97"/>
      <c r="K9" s="98"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8.5" customHeight="1">
      <c r="A10" s="62" t="s">
        <v>446</v>
      </c>
      <c r="B10" s="57" t="str">
        <f t="shared" si="0"/>
        <v>giftcodesbanner/小艦艦超勇-bar.jpg</v>
      </c>
      <c r="C10" s="57"/>
      <c r="D10" s="57" t="str">
        <f t="shared" si="1"/>
        <v>https://www.ssbuy.tw/detail_giftcode/dist/giftcodes/小艦艦超勇.html</v>
      </c>
      <c r="E10" s="97" t="s">
        <v>447</v>
      </c>
      <c r="F10" s="110" t="s">
        <v>2674</v>
      </c>
      <c r="G10" s="58" t="s">
        <v>1711</v>
      </c>
      <c r="H10" s="58" t="s">
        <v>2675</v>
      </c>
      <c r="I10" s="57"/>
      <c r="J10" s="97"/>
      <c r="K10" s="98"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8.5" customHeight="1">
      <c r="A11" s="62" t="s">
        <v>454</v>
      </c>
      <c r="B11" s="57" t="str">
        <f t="shared" si="0"/>
        <v>giftcodesbanner/天使軍團-bar.jpg</v>
      </c>
      <c r="C11" s="57"/>
      <c r="D11" s="57" t="str">
        <f t="shared" si="1"/>
        <v>https://www.ssbuy.tw/detail_giftcode/dist/giftcodes/天使軍團.html</v>
      </c>
      <c r="E11" s="97" t="s">
        <v>455</v>
      </c>
      <c r="F11" s="110" t="s">
        <v>2674</v>
      </c>
      <c r="G11" s="58" t="s">
        <v>1711</v>
      </c>
      <c r="H11" s="58" t="s">
        <v>2675</v>
      </c>
      <c r="I11" s="57"/>
      <c r="J11" s="97"/>
      <c r="K11" s="98"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8.5" customHeight="1">
      <c r="A12" s="62" t="s">
        <v>462</v>
      </c>
      <c r="B12" s="57" t="str">
        <f t="shared" si="0"/>
        <v>giftcodesbanner/天堂W-bar.jpg</v>
      </c>
      <c r="C12" s="57"/>
      <c r="D12" s="57" t="str">
        <f t="shared" si="1"/>
        <v>https://www.ssbuy.tw/detail_giftcode/dist/giftcodes/天堂W.html</v>
      </c>
      <c r="E12" s="97" t="s">
        <v>463</v>
      </c>
      <c r="F12" s="110" t="s">
        <v>1740</v>
      </c>
      <c r="G12" s="58" t="s">
        <v>1711</v>
      </c>
      <c r="H12" s="58" t="s">
        <v>1840</v>
      </c>
      <c r="I12" s="57"/>
      <c r="J12" s="97"/>
      <c r="K12" s="98"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8.5" customHeight="1">
      <c r="A13" s="62" t="s">
        <v>469</v>
      </c>
      <c r="B13" s="57" t="str">
        <f t="shared" si="0"/>
        <v>giftcodesbanner/少女前線2：追放-bar.jpg</v>
      </c>
      <c r="C13" s="57"/>
      <c r="D13" s="57" t="str">
        <f t="shared" si="1"/>
        <v>https://www.ssbuy.tw/detail_giftcode/dist/giftcodes/少女前線2：追放.html</v>
      </c>
      <c r="E13" s="97" t="s">
        <v>470</v>
      </c>
      <c r="F13" s="110" t="s">
        <v>2674</v>
      </c>
      <c r="G13" s="58" t="s">
        <v>1711</v>
      </c>
      <c r="H13" s="58" t="s">
        <v>2675</v>
      </c>
      <c r="I13" s="57"/>
      <c r="J13" s="97"/>
      <c r="K13" s="98"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8.5" customHeight="1">
      <c r="A14" s="62" t="s">
        <v>2679</v>
      </c>
      <c r="B14" s="57" t="str">
        <f t="shared" si="0"/>
        <v>giftcodesbanner/幻獸傳說Ｍ-bar.jpg</v>
      </c>
      <c r="C14" s="57"/>
      <c r="D14" s="57" t="str">
        <f t="shared" si="1"/>
        <v>https://www.ssbuy.tw/detail_giftcode/dist/giftcodes/幻獸傳說Ｍ.html</v>
      </c>
      <c r="E14" s="97" t="s">
        <v>2680</v>
      </c>
      <c r="F14" s="110" t="s">
        <v>2674</v>
      </c>
      <c r="G14" s="58" t="s">
        <v>1711</v>
      </c>
      <c r="H14" s="58" t="s">
        <v>2675</v>
      </c>
      <c r="I14" s="57"/>
      <c r="J14" s="97"/>
      <c r="K14" s="98"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8.5" customHeight="1">
      <c r="A15" s="62" t="s">
        <v>2681</v>
      </c>
      <c r="B15" s="57" t="str">
        <f t="shared" si="0"/>
        <v>giftcodesbanner/未定事件簿-bar.jpg</v>
      </c>
      <c r="C15" s="57"/>
      <c r="D15" s="57" t="str">
        <f t="shared" si="1"/>
        <v>https://www.ssbuy.tw/detail_giftcode/dist/giftcodes/未定事件簿.html</v>
      </c>
      <c r="E15" s="97" t="s">
        <v>2682</v>
      </c>
      <c r="F15" s="110" t="s">
        <v>2674</v>
      </c>
      <c r="G15" s="58" t="s">
        <v>1711</v>
      </c>
      <c r="H15" s="58" t="s">
        <v>2675</v>
      </c>
      <c r="I15" s="57"/>
      <c r="J15" s="97"/>
      <c r="K15" s="98"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8.5" customHeight="1">
      <c r="A16" s="62" t="s">
        <v>496</v>
      </c>
      <c r="B16" s="57" t="str">
        <f t="shared" si="0"/>
        <v>giftcodesbanner/永恆靈魂-bar.jpg</v>
      </c>
      <c r="C16" s="57"/>
      <c r="D16" s="57" t="str">
        <f t="shared" si="1"/>
        <v>https://www.ssbuy.tw/detail_giftcode/dist/giftcodes/永恆靈魂.html</v>
      </c>
      <c r="E16" s="111" t="s">
        <v>2683</v>
      </c>
      <c r="F16" s="110" t="s">
        <v>2674</v>
      </c>
      <c r="G16" s="58" t="s">
        <v>1711</v>
      </c>
      <c r="H16" s="58" t="s">
        <v>2675</v>
      </c>
      <c r="I16" s="57"/>
      <c r="J16" s="97"/>
      <c r="K16" s="98"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8.5" customHeight="1">
      <c r="A17" s="62" t="s">
        <v>503</v>
      </c>
      <c r="B17" s="57" t="str">
        <f t="shared" si="0"/>
        <v>giftcodesbanner/守住呀主公-bar.jpg</v>
      </c>
      <c r="C17" s="57"/>
      <c r="D17" s="57" t="str">
        <f t="shared" si="1"/>
        <v>https://www.ssbuy.tw/detail_giftcode/dist/giftcodes/守住呀主公.html</v>
      </c>
      <c r="E17" s="97" t="s">
        <v>2684</v>
      </c>
      <c r="F17" s="110" t="s">
        <v>2685</v>
      </c>
      <c r="G17" s="58" t="s">
        <v>1711</v>
      </c>
      <c r="H17" s="58" t="s">
        <v>2675</v>
      </c>
      <c r="I17" s="57"/>
      <c r="J17" s="97"/>
      <c r="K17" s="98"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8.5" customHeight="1">
      <c r="A18" s="62" t="s">
        <v>1839</v>
      </c>
      <c r="B18" s="57" t="str">
        <f t="shared" si="0"/>
        <v>giftcodesbanner/吟遊戰記-bar.jpg</v>
      </c>
      <c r="C18" s="57"/>
      <c r="D18" s="57" t="str">
        <f t="shared" si="1"/>
        <v>https://www.ssbuy.tw/detail_giftcode/dist/giftcodes/吟遊戰記.html</v>
      </c>
      <c r="E18" s="112" t="s">
        <v>514</v>
      </c>
      <c r="F18" s="110" t="s">
        <v>2674</v>
      </c>
      <c r="G18" s="58" t="s">
        <v>1711</v>
      </c>
      <c r="H18" s="58" t="s">
        <v>2670</v>
      </c>
      <c r="I18" s="57"/>
      <c r="J18" s="97"/>
      <c r="K18" s="98"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8.5" customHeight="1">
      <c r="A19" s="62" t="s">
        <v>2686</v>
      </c>
      <c r="B19" s="57" t="str">
        <f t="shared" si="0"/>
        <v>giftcodesbanner/我獨自升級：ARISE-bar.jpg</v>
      </c>
      <c r="C19" s="57"/>
      <c r="D19" s="57" t="str">
        <f t="shared" si="1"/>
        <v>https://www.ssbuy.tw/detail_giftcode/dist/giftcodes/我獨自升級：ARISE.html</v>
      </c>
      <c r="E19" s="97" t="s">
        <v>524</v>
      </c>
      <c r="F19" s="110" t="s">
        <v>1740</v>
      </c>
      <c r="G19" s="58" t="s">
        <v>1711</v>
      </c>
      <c r="H19" s="58" t="s">
        <v>2675</v>
      </c>
      <c r="I19" s="57"/>
      <c r="J19" s="97"/>
      <c r="K19" s="99"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8.5" customHeight="1">
      <c r="A20" s="62" t="s">
        <v>2694</v>
      </c>
      <c r="B20" s="57" t="str">
        <f t="shared" si="0"/>
        <v>giftcodesbanner/命運聖契：少女的羈絆-bar.jpg</v>
      </c>
      <c r="C20" s="57"/>
      <c r="D20" s="57" t="str">
        <f t="shared" si="1"/>
        <v>https://www.ssbuy.tw/detail_giftcode/dist/giftcodes/命運聖契：少女的羈絆.html</v>
      </c>
      <c r="E20" s="97" t="s">
        <v>2695</v>
      </c>
      <c r="F20" s="110" t="s">
        <v>1710</v>
      </c>
      <c r="G20" s="58" t="s">
        <v>1711</v>
      </c>
      <c r="H20" s="58" t="s">
        <v>2675</v>
      </c>
      <c r="I20" s="57"/>
      <c r="J20" s="97"/>
      <c r="K20" s="98"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8.5" customHeight="1">
      <c r="A21" s="62" t="s">
        <v>539</v>
      </c>
      <c r="B21" s="57" t="str">
        <f t="shared" si="0"/>
        <v>giftcodesbanner/放置軍團-bar.jpg</v>
      </c>
      <c r="C21" s="57"/>
      <c r="D21" s="57" t="str">
        <f t="shared" si="1"/>
        <v>https://www.ssbuy.tw/detail_giftcode/dist/giftcodes/放置軍團.html</v>
      </c>
      <c r="E21" s="97" t="s">
        <v>2706</v>
      </c>
      <c r="F21" s="110" t="s">
        <v>1710</v>
      </c>
      <c r="G21" s="58" t="s">
        <v>1711</v>
      </c>
      <c r="H21" s="58" t="s">
        <v>2675</v>
      </c>
      <c r="I21" s="57"/>
      <c r="J21" s="97"/>
      <c r="K21" s="98"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8.5" customHeight="1">
      <c r="A22" s="62" t="s">
        <v>2717</v>
      </c>
      <c r="B22" s="57" t="str">
        <f t="shared" si="0"/>
        <v>giftcodesbanner/明日方舟-bar.jpg</v>
      </c>
      <c r="C22" s="57"/>
      <c r="D22" s="57" t="str">
        <f t="shared" si="1"/>
        <v>https://www.ssbuy.tw/detail_giftcode/dist/giftcodes/明日方舟.html</v>
      </c>
      <c r="E22" s="97" t="s">
        <v>2718</v>
      </c>
      <c r="F22" s="110" t="s">
        <v>2674</v>
      </c>
      <c r="G22" s="58" t="s">
        <v>1711</v>
      </c>
      <c r="H22" s="58" t="s">
        <v>2670</v>
      </c>
      <c r="I22" s="57"/>
      <c r="J22" s="97"/>
      <c r="K22" s="98"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8.5" customHeight="1">
      <c r="A23" s="62" t="s">
        <v>2721</v>
      </c>
      <c r="B23" s="57" t="str">
        <f t="shared" si="0"/>
        <v>giftcodesbanner/屍鬼三國-bar.jpg</v>
      </c>
      <c r="C23" s="57"/>
      <c r="D23" s="57" t="str">
        <f t="shared" si="1"/>
        <v>https://www.ssbuy.tw/detail_giftcode/dist/giftcodes/屍鬼三國.html</v>
      </c>
      <c r="E23" s="97" t="s">
        <v>2722</v>
      </c>
      <c r="F23" s="110" t="s">
        <v>2674</v>
      </c>
      <c r="G23" s="58" t="s">
        <v>1711</v>
      </c>
      <c r="H23" s="58" t="s">
        <v>2675</v>
      </c>
      <c r="I23" s="57"/>
      <c r="J23" s="97"/>
      <c r="K23" s="98"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8.5" customHeight="1">
      <c r="A24" s="62" t="s">
        <v>2731</v>
      </c>
      <c r="B24" s="57" t="str">
        <f t="shared" si="0"/>
        <v>giftcodesbanner/星鏈計畫：未來少女-bar.jpg</v>
      </c>
      <c r="C24" s="57"/>
      <c r="D24" s="57" t="str">
        <f t="shared" si="1"/>
        <v>https://www.ssbuy.tw/detail_giftcode/dist/giftcodes/星鏈計畫：未來少女.html</v>
      </c>
      <c r="E24" s="97" t="s">
        <v>2732</v>
      </c>
      <c r="F24" s="110" t="s">
        <v>1710</v>
      </c>
      <c r="G24" s="58" t="s">
        <v>1711</v>
      </c>
      <c r="H24" s="58" t="s">
        <v>2675</v>
      </c>
      <c r="I24" s="57"/>
      <c r="J24" s="97"/>
      <c r="K24" s="98"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8.5" customHeight="1">
      <c r="A25" s="62" t="s">
        <v>569</v>
      </c>
      <c r="B25" s="57" t="str">
        <f t="shared" si="0"/>
        <v>giftcodesbanner/英雄之王-bar.jpg</v>
      </c>
      <c r="C25" s="57"/>
      <c r="D25" s="57" t="str">
        <f t="shared" si="1"/>
        <v>https://www.ssbuy.tw/detail_giftcode/dist/giftcodes/英雄之王.html</v>
      </c>
      <c r="E25" s="112" t="s">
        <v>2743</v>
      </c>
      <c r="F25" s="110" t="s">
        <v>1710</v>
      </c>
      <c r="G25" s="58" t="s">
        <v>1711</v>
      </c>
      <c r="H25" s="58" t="s">
        <v>2675</v>
      </c>
      <c r="I25" s="57"/>
      <c r="J25" s="97"/>
      <c r="K25" s="98"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8.5" customHeight="1">
      <c r="A26" s="62" t="s">
        <v>576</v>
      </c>
      <c r="B26" s="57" t="str">
        <f t="shared" si="0"/>
        <v>giftcodesbanner/英雄聯盟-bar.jpg</v>
      </c>
      <c r="C26" s="57"/>
      <c r="D26" s="57" t="str">
        <f t="shared" si="1"/>
        <v>https://www.ssbuy.tw/detail_giftcode/dist/giftcodes/英雄聯盟.html</v>
      </c>
      <c r="E26" s="97"/>
      <c r="F26" s="110" t="s">
        <v>2674</v>
      </c>
      <c r="G26" s="58" t="s">
        <v>1711</v>
      </c>
      <c r="H26" s="58" t="s">
        <v>1840</v>
      </c>
      <c r="I26" s="57"/>
      <c r="J26" s="97"/>
      <c r="K26" s="98"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8.5" customHeight="1">
      <c r="A27" s="62" t="s">
        <v>582</v>
      </c>
      <c r="B27" s="57" t="str">
        <f t="shared" si="0"/>
        <v>giftcodesbanner/恐龍突變-bar.jpg</v>
      </c>
      <c r="C27" s="57"/>
      <c r="D27" s="57" t="str">
        <f t="shared" si="1"/>
        <v>https://www.ssbuy.tw/detail_giftcode/dist/giftcodes/恐龍突變.html</v>
      </c>
      <c r="E27" s="112" t="s">
        <v>2757</v>
      </c>
      <c r="F27" s="110" t="s">
        <v>2674</v>
      </c>
      <c r="G27" s="58" t="s">
        <v>1711</v>
      </c>
      <c r="H27" s="58" t="s">
        <v>2675</v>
      </c>
      <c r="I27" s="57"/>
      <c r="J27" s="97"/>
      <c r="K27" s="98"/>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8.5" customHeight="1">
      <c r="A28" s="62" t="s">
        <v>592</v>
      </c>
      <c r="B28" s="57" t="str">
        <f t="shared" si="0"/>
        <v>giftcodesbanner/神域-bar.jpg</v>
      </c>
      <c r="C28" s="57"/>
      <c r="D28" s="57" t="str">
        <f t="shared" si="1"/>
        <v>https://www.ssbuy.tw/detail_giftcode/dist/giftcodes/神域.html</v>
      </c>
      <c r="E28" s="97" t="s">
        <v>2758</v>
      </c>
      <c r="F28" s="110" t="s">
        <v>2674</v>
      </c>
      <c r="G28" s="58" t="s">
        <v>1711</v>
      </c>
      <c r="H28" s="58" t="s">
        <v>2675</v>
      </c>
      <c r="I28" s="57"/>
      <c r="J28" s="97"/>
      <c r="K28" s="98"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8.5" customHeight="1">
      <c r="A29" s="62" t="s">
        <v>2762</v>
      </c>
      <c r="B29" s="57" t="str">
        <f t="shared" si="0"/>
        <v>giftcodesbanner/崩壞：星穹鐵道-bar.jpg</v>
      </c>
      <c r="C29" s="57"/>
      <c r="D29" s="57" t="str">
        <f t="shared" si="1"/>
        <v>https://www.ssbuy.tw/detail_giftcode/dist/giftcodes/崩壞：星穹鐵道.html</v>
      </c>
      <c r="E29" s="112" t="s">
        <v>2763</v>
      </c>
      <c r="F29" s="110" t="s">
        <v>2674</v>
      </c>
      <c r="G29" s="58" t="s">
        <v>1711</v>
      </c>
      <c r="H29" s="58" t="s">
        <v>1840</v>
      </c>
      <c r="I29" s="57"/>
      <c r="J29" s="97"/>
      <c r="K29" s="98"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8.5" customHeight="1">
      <c r="A30" s="62" t="s">
        <v>610</v>
      </c>
      <c r="B30" s="57" t="str">
        <f t="shared" si="0"/>
        <v>giftcodesbanner/救世者之樹：新世界-bar.jpg</v>
      </c>
      <c r="C30" s="57"/>
      <c r="D30" s="57" t="str">
        <f t="shared" si="1"/>
        <v>https://www.ssbuy.tw/detail_giftcode/dist/giftcodes/救世者之樹：新世界.html</v>
      </c>
      <c r="E30" s="112" t="s">
        <v>2766</v>
      </c>
      <c r="F30" s="110" t="s">
        <v>2674</v>
      </c>
      <c r="G30" s="58" t="s">
        <v>1711</v>
      </c>
      <c r="H30" s="58" t="s">
        <v>2675</v>
      </c>
      <c r="I30" s="57"/>
      <c r="J30" s="97"/>
      <c r="K30" s="98"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8.5" customHeight="1">
      <c r="A31" s="62" t="s">
        <v>618</v>
      </c>
      <c r="B31" s="57" t="str">
        <f t="shared" si="0"/>
        <v>giftcodesbanner/球球英雄-bar.jpg</v>
      </c>
      <c r="C31" s="57"/>
      <c r="D31" s="57" t="str">
        <f t="shared" si="1"/>
        <v>https://www.ssbuy.tw/detail_giftcode/dist/giftcodes/球球英雄.html</v>
      </c>
      <c r="E31" s="112" t="s">
        <v>2776</v>
      </c>
      <c r="F31" s="110" t="s">
        <v>2674</v>
      </c>
      <c r="G31" s="58" t="s">
        <v>1711</v>
      </c>
      <c r="H31" s="58" t="s">
        <v>2675</v>
      </c>
      <c r="I31" s="57"/>
      <c r="J31" s="97"/>
      <c r="K31" s="98"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8.5" customHeight="1">
      <c r="A32" s="62" t="s">
        <v>626</v>
      </c>
      <c r="B32" s="57" t="str">
        <f t="shared" si="0"/>
        <v>giftcodesbanner/第七史詩-bar.jpg</v>
      </c>
      <c r="C32" s="57"/>
      <c r="D32" s="57" t="str">
        <f t="shared" si="1"/>
        <v>https://www.ssbuy.tw/detail_giftcode/dist/giftcodes/第七史詩.html</v>
      </c>
      <c r="E32" s="97" t="s">
        <v>2780</v>
      </c>
      <c r="F32" s="110" t="s">
        <v>2685</v>
      </c>
      <c r="G32" s="58" t="s">
        <v>1711</v>
      </c>
      <c r="H32" s="58" t="s">
        <v>2670</v>
      </c>
      <c r="I32" s="57"/>
      <c r="J32" s="97"/>
      <c r="K32" s="98"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8.5" customHeight="1">
      <c r="A33" s="62" t="s">
        <v>2783</v>
      </c>
      <c r="B33" s="57" t="str">
        <f t="shared" si="0"/>
        <v>giftcodesbanner/創世紀戰M：阿修羅計畫-bar.jpg</v>
      </c>
      <c r="C33" s="57"/>
      <c r="D33" s="57" t="str">
        <f t="shared" si="1"/>
        <v>https://www.ssbuy.tw/detail_giftcode/dist/giftcodes/創世紀戰M：阿修羅計畫.html</v>
      </c>
      <c r="E33" s="112" t="s">
        <v>2784</v>
      </c>
      <c r="F33" s="110" t="s">
        <v>2674</v>
      </c>
      <c r="G33" s="58" t="s">
        <v>1711</v>
      </c>
      <c r="H33" s="58" t="s">
        <v>2670</v>
      </c>
      <c r="I33" s="57"/>
      <c r="J33" s="97"/>
      <c r="K33" s="98"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8.5" customHeight="1">
      <c r="A34" s="62" t="s">
        <v>2796</v>
      </c>
      <c r="B34" s="57" t="str">
        <f t="shared" si="0"/>
        <v>giftcodesbanner/最強宗師-bar.jpg</v>
      </c>
      <c r="C34" s="57"/>
      <c r="D34" s="57" t="str">
        <f t="shared" si="1"/>
        <v>https://www.ssbuy.tw/detail_giftcode/dist/giftcodes/最強宗師.html</v>
      </c>
      <c r="E34" s="97" t="s">
        <v>2797</v>
      </c>
      <c r="F34" s="110" t="s">
        <v>2674</v>
      </c>
      <c r="G34" s="58" t="s">
        <v>1711</v>
      </c>
      <c r="H34" s="58" t="s">
        <v>2675</v>
      </c>
      <c r="I34" s="57"/>
      <c r="J34" s="97"/>
      <c r="K34" s="98"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8.5" customHeight="1">
      <c r="A35" s="62" t="s">
        <v>655</v>
      </c>
      <c r="B35" s="57" t="str">
        <f t="shared" si="0"/>
        <v>giftcodesbanner/無期迷途-bar.jpg</v>
      </c>
      <c r="C35" s="57"/>
      <c r="D35" s="57" t="str">
        <f t="shared" si="1"/>
        <v>https://www.ssbuy.tw/detail_giftcode/dist/giftcodes/無期迷途.html</v>
      </c>
      <c r="E35" s="112" t="s">
        <v>2810</v>
      </c>
      <c r="F35" s="110" t="s">
        <v>2674</v>
      </c>
      <c r="G35" s="58" t="s">
        <v>1711</v>
      </c>
      <c r="H35" s="58" t="s">
        <v>2675</v>
      </c>
      <c r="I35" s="57"/>
      <c r="J35" s="97"/>
      <c r="K35" s="98"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8.5" customHeight="1">
      <c r="A36" s="62" t="s">
        <v>663</v>
      </c>
      <c r="B36" s="57" t="str">
        <f t="shared" si="0"/>
        <v>giftcodesbanner/絕區零-bar.jpg</v>
      </c>
      <c r="C36" s="57"/>
      <c r="D36" s="57" t="str">
        <f t="shared" si="1"/>
        <v>https://www.ssbuy.tw/detail_giftcode/dist/giftcodes/絕區零.html</v>
      </c>
      <c r="E36" s="97" t="s">
        <v>2815</v>
      </c>
      <c r="F36" s="110" t="s">
        <v>2674</v>
      </c>
      <c r="G36" s="58" t="s">
        <v>1711</v>
      </c>
      <c r="H36" s="58" t="s">
        <v>2675</v>
      </c>
      <c r="I36" s="57"/>
      <c r="J36" s="97"/>
      <c r="K36" s="98"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8.5" customHeight="1">
      <c r="A37" s="62" t="s">
        <v>674</v>
      </c>
      <c r="B37" s="57" t="str">
        <f t="shared" si="0"/>
        <v>giftcodesbanner/傳說對決-bar.jpg</v>
      </c>
      <c r="C37" s="57"/>
      <c r="D37" s="57" t="str">
        <f t="shared" si="1"/>
        <v>https://www.ssbuy.tw/detail_giftcode/dist/giftcodes/傳說對決.html</v>
      </c>
      <c r="E37" s="97" t="s">
        <v>2829</v>
      </c>
      <c r="F37" s="110" t="s">
        <v>2674</v>
      </c>
      <c r="G37" s="58" t="s">
        <v>1711</v>
      </c>
      <c r="H37" s="58" t="s">
        <v>1840</v>
      </c>
      <c r="I37" s="57"/>
      <c r="J37" s="97"/>
      <c r="K37" s="98"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8.5" customHeight="1">
      <c r="A38" s="62" t="s">
        <v>2832</v>
      </c>
      <c r="B38" s="57" t="str">
        <f t="shared" si="0"/>
        <v>giftcodesbanner/楓之谷M-bar.jpg</v>
      </c>
      <c r="C38" s="57"/>
      <c r="D38" s="57" t="str">
        <f t="shared" si="1"/>
        <v>https://www.ssbuy.tw/detail_giftcode/dist/giftcodes/楓之谷M.html</v>
      </c>
      <c r="E38" s="97" t="s">
        <v>2833</v>
      </c>
      <c r="F38" s="110" t="s">
        <v>2674</v>
      </c>
      <c r="G38" s="58" t="s">
        <v>1711</v>
      </c>
      <c r="H38" s="58" t="s">
        <v>2675</v>
      </c>
      <c r="I38" s="57"/>
      <c r="J38" s="97"/>
      <c r="K38" s="98"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8.5" customHeight="1">
      <c r="A39" s="62" t="s">
        <v>692</v>
      </c>
      <c r="B39" s="57" t="str">
        <f t="shared" si="0"/>
        <v>giftcodesbanner/鳴潮-bar.jpg</v>
      </c>
      <c r="C39" s="57"/>
      <c r="D39" s="57" t="str">
        <f t="shared" si="1"/>
        <v>https://www.ssbuy.tw/detail_giftcode/dist/giftcodes/鳴潮.html</v>
      </c>
      <c r="E39" s="97" t="s">
        <v>2839</v>
      </c>
      <c r="F39" s="110" t="s">
        <v>2674</v>
      </c>
      <c r="G39" s="58" t="s">
        <v>1711</v>
      </c>
      <c r="H39" s="58" t="s">
        <v>1840</v>
      </c>
      <c r="I39" s="57"/>
      <c r="J39" s="97"/>
      <c r="K39" s="98"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8.5" customHeight="1">
      <c r="A40" s="62" t="s">
        <v>2847</v>
      </c>
      <c r="B40" s="57" t="str">
        <f t="shared" si="0"/>
        <v>giftcodesbanner/劍與遠征：啟程-bar.jpg</v>
      </c>
      <c r="C40" s="57"/>
      <c r="D40" s="57" t="str">
        <f t="shared" si="1"/>
        <v>https://www.ssbuy.tw/detail_giftcode/dist/giftcodes/劍與遠征：啟程.html</v>
      </c>
      <c r="E40" s="97" t="s">
        <v>1850</v>
      </c>
      <c r="F40" s="110" t="s">
        <v>1740</v>
      </c>
      <c r="G40" s="58" t="s">
        <v>1711</v>
      </c>
      <c r="H40" s="58" t="s">
        <v>2675</v>
      </c>
      <c r="I40" s="57"/>
      <c r="J40" s="97"/>
      <c r="K40" s="98"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8.5" customHeight="1">
      <c r="A41" s="62" t="s">
        <v>710</v>
      </c>
      <c r="B41" s="57" t="str">
        <f t="shared" si="0"/>
        <v>giftcodesbanner/熱血大作戰-bar.jpg</v>
      </c>
      <c r="C41" s="57"/>
      <c r="D41" s="57" t="str">
        <f t="shared" si="1"/>
        <v>https://www.ssbuy.tw/detail_giftcode/dist/giftcodes/熱血大作戰.html</v>
      </c>
      <c r="E41" s="97" t="s">
        <v>1851</v>
      </c>
      <c r="F41" s="110" t="s">
        <v>2674</v>
      </c>
      <c r="G41" s="58" t="s">
        <v>1711</v>
      </c>
      <c r="H41" s="58" t="s">
        <v>1840</v>
      </c>
      <c r="I41" s="57"/>
      <c r="J41" s="97"/>
      <c r="K41" s="98"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8.5" customHeight="1">
      <c r="A42" s="62" t="s">
        <v>2860</v>
      </c>
      <c r="B42" s="57" t="str">
        <f t="shared" si="0"/>
        <v>giftcodesbanner/骷髏傳說：戰神崛起-bar.jpg</v>
      </c>
      <c r="C42" s="57"/>
      <c r="D42" s="57" t="str">
        <f t="shared" si="1"/>
        <v>https://www.ssbuy.tw/detail_giftcode/dist/giftcodes/骷髏傳說：戰神崛起.html</v>
      </c>
      <c r="E42" s="97" t="s">
        <v>2861</v>
      </c>
      <c r="F42" s="110" t="s">
        <v>1710</v>
      </c>
      <c r="G42" s="58" t="s">
        <v>1711</v>
      </c>
      <c r="H42" s="58" t="s">
        <v>1840</v>
      </c>
      <c r="I42" s="57"/>
      <c r="J42" s="97"/>
      <c r="K42" s="98"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8.5" customHeight="1">
      <c r="A43" s="62" t="s">
        <v>2862</v>
      </c>
      <c r="B43" s="57" t="str">
        <f t="shared" si="0"/>
        <v>giftcodesbanner/黎明：血色魔女-bar.jpg</v>
      </c>
      <c r="C43" s="57"/>
      <c r="D43" s="57" t="str">
        <f t="shared" si="1"/>
        <v>https://www.ssbuy.tw/detail_giftcode/dist/giftcodes/黎明：血色魔女.html</v>
      </c>
      <c r="E43" s="97" t="s">
        <v>2863</v>
      </c>
      <c r="F43" s="110" t="s">
        <v>1710</v>
      </c>
      <c r="G43" s="58" t="s">
        <v>1711</v>
      </c>
      <c r="H43" s="58" t="s">
        <v>1840</v>
      </c>
      <c r="I43" s="57"/>
      <c r="J43" s="97"/>
      <c r="K43" s="98"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8.5" customHeight="1">
      <c r="A44" s="62" t="s">
        <v>735</v>
      </c>
      <c r="B44" s="57" t="str">
        <f t="shared" si="0"/>
        <v>giftcodesbanner/黎明啟示錄-bar.jpg</v>
      </c>
      <c r="C44" s="57"/>
      <c r="D44" s="57" t="str">
        <f t="shared" si="1"/>
        <v>https://www.ssbuy.tw/detail_giftcode/dist/giftcodes/黎明啟示錄.html</v>
      </c>
      <c r="E44" s="97" t="s">
        <v>2864</v>
      </c>
      <c r="F44" s="110" t="s">
        <v>1710</v>
      </c>
      <c r="G44" s="58" t="s">
        <v>1711</v>
      </c>
      <c r="H44" s="58" t="s">
        <v>1840</v>
      </c>
      <c r="I44" s="57"/>
      <c r="J44" s="97"/>
      <c r="K44" s="98">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8.5" customHeight="1">
      <c r="A45" s="62" t="s">
        <v>741</v>
      </c>
      <c r="B45" s="57" t="str">
        <f t="shared" si="0"/>
        <v>giftcodesbanner/龍魂旅人-bar.jpg</v>
      </c>
      <c r="C45" s="57"/>
      <c r="D45" s="57" t="str">
        <f t="shared" si="1"/>
        <v>https://www.ssbuy.tw/detail_giftcode/dist/giftcodes/龍魂旅人.html</v>
      </c>
      <c r="E45" s="97" t="s">
        <v>2865</v>
      </c>
      <c r="F45" s="110" t="s">
        <v>1710</v>
      </c>
      <c r="G45" s="58" t="s">
        <v>1711</v>
      </c>
      <c r="H45" s="58" t="s">
        <v>1840</v>
      </c>
      <c r="I45" s="57"/>
      <c r="J45" s="97"/>
      <c r="K45" s="98"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8.5" customHeight="1">
      <c r="A46" s="62" t="s">
        <v>749</v>
      </c>
      <c r="B46" s="57" t="str">
        <f t="shared" si="0"/>
        <v>giftcodesbanner/戀與深空-bar.jpg</v>
      </c>
      <c r="C46" s="57"/>
      <c r="D46" s="57" t="str">
        <f t="shared" si="1"/>
        <v>https://www.ssbuy.tw/detail_giftcode/dist/giftcodes/戀與深空.html</v>
      </c>
      <c r="E46" s="97" t="s">
        <v>1907</v>
      </c>
      <c r="F46" s="110" t="s">
        <v>1710</v>
      </c>
      <c r="G46" s="58" t="s">
        <v>1711</v>
      </c>
      <c r="H46" s="58" t="s">
        <v>1840</v>
      </c>
      <c r="I46" s="57"/>
      <c r="J46" s="97"/>
      <c r="K46" s="98"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8.5" customHeight="1">
      <c r="A47" s="62" t="s">
        <v>757</v>
      </c>
      <c r="B47" s="57" t="str">
        <f t="shared" si="0"/>
        <v>giftcodesbanner/靈魂衝擊：無限放置-bar.jpg</v>
      </c>
      <c r="C47" s="57"/>
      <c r="D47" s="57" t="str">
        <f t="shared" si="1"/>
        <v>https://www.ssbuy.tw/detail_giftcode/dist/giftcodes/靈魂衝擊：無限放置.html</v>
      </c>
      <c r="E47" s="97" t="s">
        <v>1921</v>
      </c>
      <c r="F47" s="110" t="s">
        <v>1710</v>
      </c>
      <c r="G47" s="58" t="s">
        <v>1711</v>
      </c>
      <c r="H47" s="58" t="s">
        <v>1840</v>
      </c>
      <c r="I47" s="57"/>
      <c r="J47" s="97"/>
      <c r="K47" s="98"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8.5" customHeight="1">
      <c r="A48" s="62" t="s">
        <v>2873</v>
      </c>
      <c r="B48" s="57" t="str">
        <f t="shared" si="0"/>
        <v>giftcodesbanner/楓葉島-bar.jpg</v>
      </c>
      <c r="C48" s="57"/>
      <c r="D48" s="57" t="str">
        <f t="shared" si="1"/>
        <v>https://www.ssbuy.tw/detail_giftcode/dist/giftcodes/楓葉島.html</v>
      </c>
      <c r="E48" s="97" t="s">
        <v>2874</v>
      </c>
      <c r="F48" s="110" t="s">
        <v>1710</v>
      </c>
      <c r="G48" s="58" t="s">
        <v>1711</v>
      </c>
      <c r="H48" s="58" t="s">
        <v>1840</v>
      </c>
      <c r="I48" s="57"/>
      <c r="J48" s="97"/>
      <c r="K48" s="98"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8.5" customHeight="1">
      <c r="A49" s="62" t="s">
        <v>774</v>
      </c>
      <c r="B49" s="57" t="str">
        <f t="shared" si="0"/>
        <v>giftcodesbanner/無名江湖-bar.jpg</v>
      </c>
      <c r="C49" s="57"/>
      <c r="D49" s="57" t="str">
        <f t="shared" si="1"/>
        <v>https://www.ssbuy.tw/detail_giftcode/dist/giftcodes/無名江湖.html</v>
      </c>
      <c r="E49" s="97" t="s">
        <v>1929</v>
      </c>
      <c r="F49" s="110" t="s">
        <v>1710</v>
      </c>
      <c r="G49" s="58" t="s">
        <v>1711</v>
      </c>
      <c r="H49" s="58" t="s">
        <v>1840</v>
      </c>
      <c r="I49" s="57"/>
      <c r="J49" s="97"/>
      <c r="K49" s="98"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8.5" customHeight="1">
      <c r="A50" s="62" t="s">
        <v>782</v>
      </c>
      <c r="B50" s="57" t="str">
        <f t="shared" si="0"/>
        <v>giftcodesbanner/萬妖領域-bar.jpg</v>
      </c>
      <c r="C50" s="57"/>
      <c r="D50" s="57" t="str">
        <f t="shared" si="1"/>
        <v>https://www.ssbuy.tw/detail_giftcode/dist/giftcodes/萬妖領域.html</v>
      </c>
      <c r="E50" s="97" t="s">
        <v>2886</v>
      </c>
      <c r="F50" s="110" t="s">
        <v>1710</v>
      </c>
      <c r="G50" s="58" t="s">
        <v>1711</v>
      </c>
      <c r="H50" s="58" t="s">
        <v>1840</v>
      </c>
      <c r="I50" s="57"/>
      <c r="J50" s="97"/>
      <c r="K50" s="98"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8.5" customHeight="1">
      <c r="A51" s="62" t="s">
        <v>790</v>
      </c>
      <c r="B51" s="57" t="str">
        <f t="shared" si="0"/>
        <v>giftcodesbanner/一姬當千TD-bar.jpg</v>
      </c>
      <c r="C51" s="57"/>
      <c r="D51" s="57" t="str">
        <f t="shared" si="1"/>
        <v>https://www.ssbuy.tw/detail_giftcode/dist/giftcodes/一姬當千TD.html</v>
      </c>
      <c r="E51" s="97" t="s">
        <v>1935</v>
      </c>
      <c r="F51" s="110" t="s">
        <v>1710</v>
      </c>
      <c r="G51" s="58" t="s">
        <v>1711</v>
      </c>
      <c r="H51" s="58" t="s">
        <v>1840</v>
      </c>
      <c r="I51" s="57"/>
      <c r="J51" s="97"/>
      <c r="K51" s="98"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8.5" customHeight="1">
      <c r="A52" s="62" t="s">
        <v>797</v>
      </c>
      <c r="B52" s="57" t="str">
        <f t="shared" si="0"/>
        <v>giftcodesbanner/劍客行-bar.jpg</v>
      </c>
      <c r="C52" s="57"/>
      <c r="D52" s="57" t="str">
        <f t="shared" si="1"/>
        <v>https://www.ssbuy.tw/detail_giftcode/dist/giftcodes/劍客行.html</v>
      </c>
      <c r="E52" s="97" t="s">
        <v>1938</v>
      </c>
      <c r="F52" s="110" t="s">
        <v>1710</v>
      </c>
      <c r="G52" s="58" t="s">
        <v>1711</v>
      </c>
      <c r="H52" s="58" t="s">
        <v>1840</v>
      </c>
      <c r="I52" s="57"/>
      <c r="J52" s="97"/>
      <c r="K52" s="98"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8.5" customHeight="1">
      <c r="A53" s="62" t="s">
        <v>806</v>
      </c>
      <c r="B53" s="57" t="str">
        <f t="shared" si="0"/>
        <v>giftcodesbanner/時之樹少女-bar.jpg</v>
      </c>
      <c r="C53" s="57"/>
      <c r="D53" s="57" t="str">
        <f t="shared" si="1"/>
        <v>https://www.ssbuy.tw/detail_giftcode/dist/giftcodes/時之樹少女.html</v>
      </c>
      <c r="E53" s="97" t="s">
        <v>2891</v>
      </c>
      <c r="F53" s="110" t="s">
        <v>1710</v>
      </c>
      <c r="G53" s="58" t="s">
        <v>1711</v>
      </c>
      <c r="H53" s="58" t="s">
        <v>1840</v>
      </c>
      <c r="I53" s="57"/>
      <c r="J53" s="97"/>
      <c r="K53" s="98"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8.5" customHeight="1">
      <c r="A54" s="62" t="s">
        <v>2895</v>
      </c>
      <c r="B54" s="57" t="str">
        <f t="shared" si="0"/>
        <v>giftcodesbanner/錨點降臨Re：Code-bar.jpg</v>
      </c>
      <c r="C54" s="57"/>
      <c r="D54" s="57" t="str">
        <f t="shared" si="1"/>
        <v>https://www.ssbuy.tw/detail_giftcode/dist/giftcodes/錨點降臨Re：Code.html</v>
      </c>
      <c r="E54" s="97" t="s">
        <v>1946</v>
      </c>
      <c r="F54" s="110" t="s">
        <v>1710</v>
      </c>
      <c r="G54" s="58" t="s">
        <v>1711</v>
      </c>
      <c r="H54" s="58" t="s">
        <v>1840</v>
      </c>
      <c r="I54" s="57"/>
      <c r="J54" s="97"/>
      <c r="K54" s="99"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8.5" customHeight="1">
      <c r="A55" s="62" t="s">
        <v>2896</v>
      </c>
      <c r="B55" s="57" t="str">
        <f t="shared" si="0"/>
        <v>giftcodesbanner/神契氣靈師-bar.jpg</v>
      </c>
      <c r="C55" s="57"/>
      <c r="D55" s="57" t="str">
        <f t="shared" si="1"/>
        <v>https://www.ssbuy.tw/detail_giftcode/dist/giftcodes/神契氣靈師.html</v>
      </c>
      <c r="E55" s="97" t="s">
        <v>1970</v>
      </c>
      <c r="F55" s="110" t="s">
        <v>1710</v>
      </c>
      <c r="G55" s="58" t="s">
        <v>1711</v>
      </c>
      <c r="H55" s="58" t="s">
        <v>1840</v>
      </c>
      <c r="I55" s="57"/>
      <c r="J55" s="97"/>
      <c r="K55" s="99"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8.5" customHeight="1">
      <c r="A56" s="62" t="s">
        <v>2897</v>
      </c>
      <c r="B56" s="57" t="str">
        <f t="shared" si="0"/>
        <v>giftcodesbanner/不休旅途：繪卷世界-bar.jpg</v>
      </c>
      <c r="C56" s="57"/>
      <c r="D56" s="57" t="str">
        <f t="shared" si="1"/>
        <v>https://www.ssbuy.tw/detail_giftcode/dist/giftcodes/不休旅途：繪卷世界.html</v>
      </c>
      <c r="E56" s="97" t="s">
        <v>1996</v>
      </c>
      <c r="F56" s="110" t="s">
        <v>1710</v>
      </c>
      <c r="G56" s="58" t="s">
        <v>1711</v>
      </c>
      <c r="H56" s="58" t="s">
        <v>1840</v>
      </c>
      <c r="I56" s="57"/>
      <c r="J56" s="97"/>
      <c r="K56" s="99"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8.5" customHeight="1">
      <c r="A57" s="62" t="s">
        <v>2010</v>
      </c>
      <c r="B57" s="57" t="str">
        <f t="shared" si="0"/>
        <v>giftcodesbanner/別破防鴨-bar.jpg</v>
      </c>
      <c r="C57" s="57"/>
      <c r="D57" s="57" t="str">
        <f t="shared" si="1"/>
        <v>https://www.ssbuy.tw/detail_giftcode/dist/giftcodes/別破防鴨.html</v>
      </c>
      <c r="E57" s="112" t="s">
        <v>2011</v>
      </c>
      <c r="F57" s="110" t="s">
        <v>1710</v>
      </c>
      <c r="G57" s="58" t="s">
        <v>1711</v>
      </c>
      <c r="H57" s="58" t="s">
        <v>1840</v>
      </c>
      <c r="I57" s="57"/>
      <c r="J57" s="97"/>
      <c r="K57" s="99"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8.5" customHeight="1">
      <c r="A58" s="62" t="s">
        <v>846</v>
      </c>
      <c r="B58" s="57" t="str">
        <f t="shared" si="0"/>
        <v>giftcodesbanner/超派救星幫幫忙-bar.jpg</v>
      </c>
      <c r="C58" s="57"/>
      <c r="D58" s="57" t="str">
        <f t="shared" si="1"/>
        <v>https://www.ssbuy.tw/detail_giftcode/dist/giftcodes/超派救星幫幫忙.html</v>
      </c>
      <c r="E58" s="97" t="s">
        <v>2030</v>
      </c>
      <c r="F58" s="110" t="s">
        <v>1710</v>
      </c>
      <c r="G58" s="58" t="s">
        <v>1711</v>
      </c>
      <c r="H58" s="58" t="s">
        <v>1840</v>
      </c>
      <c r="I58" s="57"/>
      <c r="J58" s="97"/>
      <c r="K58" s="100"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8.5" customHeight="1">
      <c r="A59" s="62" t="s">
        <v>857</v>
      </c>
      <c r="B59" s="57" t="str">
        <f t="shared" si="0"/>
        <v>giftcodesbanner/時光大爆炸-bar.jpg</v>
      </c>
      <c r="C59" s="57"/>
      <c r="D59" s="57" t="str">
        <f t="shared" si="1"/>
        <v>https://www.ssbuy.tw/detail_giftcode/dist/giftcodes/時光大爆炸.html</v>
      </c>
      <c r="E59" s="97" t="s">
        <v>2899</v>
      </c>
      <c r="F59" s="110" t="s">
        <v>1710</v>
      </c>
      <c r="G59" s="58" t="s">
        <v>1711</v>
      </c>
      <c r="H59" s="58" t="s">
        <v>1840</v>
      </c>
      <c r="I59" s="57"/>
      <c r="J59" s="97"/>
      <c r="K59" s="98"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8.5" customHeight="1">
      <c r="A60" s="62" t="s">
        <v>866</v>
      </c>
      <c r="B60" s="57" t="str">
        <f t="shared" si="0"/>
        <v>giftcodesbanner/深淵：不滅者-bar.jpg</v>
      </c>
      <c r="C60" s="57"/>
      <c r="D60" s="57" t="str">
        <f t="shared" si="1"/>
        <v>https://www.ssbuy.tw/detail_giftcode/dist/giftcodes/深淵：不滅者.html</v>
      </c>
      <c r="E60" s="97" t="s">
        <v>2900</v>
      </c>
      <c r="F60" s="110" t="s">
        <v>1710</v>
      </c>
      <c r="G60" s="58" t="s">
        <v>1711</v>
      </c>
      <c r="H60" s="58" t="s">
        <v>1840</v>
      </c>
      <c r="I60" s="57"/>
      <c r="J60" s="97"/>
      <c r="K60" s="99"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8.5" customHeight="1">
      <c r="A61" s="62" t="s">
        <v>2</v>
      </c>
      <c r="B61" s="57" t="str">
        <f t="shared" si="0"/>
        <v>giftcodesbanner/Last War-bar.jpg</v>
      </c>
      <c r="C61" s="57"/>
      <c r="D61" s="57" t="str">
        <f t="shared" si="1"/>
        <v>https://www.ssbuy.tw/detail_giftcode/dist/giftcodes/Last War.html</v>
      </c>
      <c r="E61" s="97" t="s">
        <v>2901</v>
      </c>
      <c r="F61" s="110" t="s">
        <v>1710</v>
      </c>
      <c r="G61" s="58" t="s">
        <v>1711</v>
      </c>
      <c r="H61" s="58" t="s">
        <v>1840</v>
      </c>
      <c r="I61" s="57"/>
      <c r="J61" s="97"/>
      <c r="K61" s="98"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8.5" customHeight="1">
      <c r="A62" s="62" t="s">
        <v>883</v>
      </c>
      <c r="B62" s="57" t="str">
        <f t="shared" si="0"/>
        <v>giftcodesbanner/勇士不要停-bar.jpg</v>
      </c>
      <c r="C62" s="57"/>
      <c r="D62" s="57" t="str">
        <f t="shared" si="1"/>
        <v>https://www.ssbuy.tw/detail_giftcode/dist/giftcodes/勇士不要停.html</v>
      </c>
      <c r="E62" s="97" t="s">
        <v>2053</v>
      </c>
      <c r="F62" s="110" t="s">
        <v>1710</v>
      </c>
      <c r="G62" s="58" t="s">
        <v>1711</v>
      </c>
      <c r="H62" s="58" t="s">
        <v>1840</v>
      </c>
      <c r="I62" s="57"/>
      <c r="J62" s="97"/>
      <c r="K62" s="98"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8.5" customHeight="1">
      <c r="A63" s="62" t="s">
        <v>890</v>
      </c>
      <c r="B63" s="57" t="str">
        <f t="shared" si="0"/>
        <v>giftcodesbanner/元氣火柴人-bar.jpg</v>
      </c>
      <c r="C63" s="57"/>
      <c r="D63" s="57" t="str">
        <f t="shared" si="1"/>
        <v>https://www.ssbuy.tw/detail_giftcode/dist/giftcodes/元氣火柴人.html</v>
      </c>
      <c r="E63" s="112" t="s">
        <v>2910</v>
      </c>
      <c r="F63" s="110" t="s">
        <v>1710</v>
      </c>
      <c r="G63" s="58" t="s">
        <v>1711</v>
      </c>
      <c r="H63" s="58" t="s">
        <v>1840</v>
      </c>
      <c r="I63" s="57"/>
      <c r="J63" s="97"/>
      <c r="K63" s="98"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8.5" customHeight="1">
      <c r="A64" s="62" t="s">
        <v>899</v>
      </c>
      <c r="B64" s="57" t="str">
        <f t="shared" si="0"/>
        <v>giftcodesbanner/深淵之影-bar.jpg</v>
      </c>
      <c r="C64" s="57"/>
      <c r="D64" s="57" t="str">
        <f t="shared" si="1"/>
        <v>https://www.ssbuy.tw/detail_giftcode/dist/giftcodes/深淵之影.html</v>
      </c>
      <c r="E64" s="97" t="s">
        <v>2916</v>
      </c>
      <c r="F64" s="110" t="s">
        <v>1710</v>
      </c>
      <c r="G64" s="58" t="s">
        <v>1711</v>
      </c>
      <c r="H64" s="58" t="s">
        <v>1840</v>
      </c>
      <c r="I64" s="57"/>
      <c r="J64" s="97"/>
      <c r="K64" s="98"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8.5" customHeight="1">
      <c r="A65" s="62" t="s">
        <v>904</v>
      </c>
      <c r="B65" s="57" t="str">
        <f t="shared" si="0"/>
        <v>giftcodesbanner/玩星派對-bar.jpg</v>
      </c>
      <c r="C65" s="57"/>
      <c r="D65" s="57" t="str">
        <f t="shared" si="1"/>
        <v>https://www.ssbuy.tw/detail_giftcode/dist/giftcodes/玩星派對.html</v>
      </c>
      <c r="E65" s="97" t="s">
        <v>2067</v>
      </c>
      <c r="F65" s="110" t="s">
        <v>1710</v>
      </c>
      <c r="G65" s="58" t="s">
        <v>1711</v>
      </c>
      <c r="H65" s="58" t="s">
        <v>1840</v>
      </c>
      <c r="I65" s="57"/>
      <c r="J65" s="97"/>
      <c r="K65" s="98"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8.5" customHeight="1">
      <c r="A66" s="62" t="s">
        <v>2072</v>
      </c>
      <c r="B66" s="57" t="str">
        <f t="shared" si="0"/>
        <v>giftcodesbanner/進化吧!我的人生-bar.jpg</v>
      </c>
      <c r="C66" s="57"/>
      <c r="D66" s="57" t="str">
        <f t="shared" si="1"/>
        <v>https://www.ssbuy.tw/detail_giftcode/dist/giftcodes/進化吧!我的人生.html</v>
      </c>
      <c r="E66" s="97" t="s">
        <v>2073</v>
      </c>
      <c r="F66" s="110" t="s">
        <v>1710</v>
      </c>
      <c r="G66" s="58" t="s">
        <v>1711</v>
      </c>
      <c r="H66" s="58" t="s">
        <v>1840</v>
      </c>
      <c r="I66" s="57"/>
      <c r="J66" s="97"/>
      <c r="K66" s="98"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6374</v>
      </c>
      <c r="X66" s="60" t="s">
        <v>6375</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8.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7" t="s">
        <v>2080</v>
      </c>
      <c r="F67" s="110" t="s">
        <v>1710</v>
      </c>
      <c r="G67" s="58" t="s">
        <v>1711</v>
      </c>
      <c r="H67" s="58" t="s">
        <v>1840</v>
      </c>
      <c r="I67" s="57"/>
      <c r="J67" s="97"/>
      <c r="K67" s="98"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8.5" customHeight="1">
      <c r="A68" s="62" t="s">
        <v>2088</v>
      </c>
      <c r="B68" s="57" t="str">
        <f t="shared" si="2"/>
        <v>giftcodesbanner/小冰冰傳奇：回到最初-bar.jpg</v>
      </c>
      <c r="C68" s="57"/>
      <c r="D68" s="57" t="str">
        <f t="shared" si="3"/>
        <v>https://www.ssbuy.tw/detail_giftcode/dist/giftcodes/小冰冰傳奇：回到最初.html</v>
      </c>
      <c r="E68" s="97" t="s">
        <v>2089</v>
      </c>
      <c r="F68" s="110" t="s">
        <v>1710</v>
      </c>
      <c r="G68" s="58" t="s">
        <v>1711</v>
      </c>
      <c r="H68" s="58" t="s">
        <v>1840</v>
      </c>
      <c r="I68" s="57"/>
      <c r="J68" s="97"/>
      <c r="K68" s="98"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8.5" customHeight="1">
      <c r="A69" s="62" t="s">
        <v>936</v>
      </c>
      <c r="B69" s="57" t="str">
        <f t="shared" si="2"/>
        <v>giftcodesbanner/江湖風雲傳-bar.jpg</v>
      </c>
      <c r="C69" s="57"/>
      <c r="D69" s="57" t="str">
        <f t="shared" si="3"/>
        <v>https://www.ssbuy.tw/detail_giftcode/dist/giftcodes/江湖風雲傳.html</v>
      </c>
      <c r="E69" s="97" t="s">
        <v>2929</v>
      </c>
      <c r="F69" s="110" t="s">
        <v>1710</v>
      </c>
      <c r="G69" s="58" t="s">
        <v>1711</v>
      </c>
      <c r="H69" s="58" t="s">
        <v>1840</v>
      </c>
      <c r="I69" s="57"/>
      <c r="J69" s="97"/>
      <c r="K69" s="98"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8.5" customHeight="1">
      <c r="A70" s="62" t="s">
        <v>2099</v>
      </c>
      <c r="B70" s="57" t="str">
        <f t="shared" si="2"/>
        <v>giftcodesbanner/星願之冠：狼少女物語-bar.jpg</v>
      </c>
      <c r="C70" s="57"/>
      <c r="D70" s="57" t="str">
        <f t="shared" si="3"/>
        <v>https://www.ssbuy.tw/detail_giftcode/dist/giftcodes/星願之冠：狼少女物語.html</v>
      </c>
      <c r="E70" s="97" t="s">
        <v>2100</v>
      </c>
      <c r="F70" s="110" t="s">
        <v>1710</v>
      </c>
      <c r="G70" s="58" t="s">
        <v>1711</v>
      </c>
      <c r="H70" s="58" t="s">
        <v>1840</v>
      </c>
      <c r="I70" s="57"/>
      <c r="J70" s="97"/>
      <c r="K70" s="98"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8.5" customHeight="1">
      <c r="A71" s="62" t="s">
        <v>955</v>
      </c>
      <c r="B71" s="57" t="str">
        <f t="shared" si="2"/>
        <v>giftcodesbanner/香蕉缺個芭樂-bar.jpg</v>
      </c>
      <c r="C71" s="57"/>
      <c r="D71" s="57" t="str">
        <f t="shared" si="3"/>
        <v>https://www.ssbuy.tw/detail_giftcode/dist/giftcodes/香蕉缺個芭樂.html</v>
      </c>
      <c r="E71" s="97" t="s">
        <v>2933</v>
      </c>
      <c r="F71" s="110" t="s">
        <v>1710</v>
      </c>
      <c r="G71" s="58" t="s">
        <v>1711</v>
      </c>
      <c r="H71" s="58" t="s">
        <v>1840</v>
      </c>
      <c r="I71" s="57"/>
      <c r="J71" s="97"/>
      <c r="K71" s="98"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8.5" customHeight="1">
      <c r="A72" s="62" t="s">
        <v>962</v>
      </c>
      <c r="B72" s="57" t="str">
        <f t="shared" si="2"/>
        <v>giftcodesbanner/精靈塔塔開-bar.jpg</v>
      </c>
      <c r="C72" s="57"/>
      <c r="D72" s="57" t="str">
        <f t="shared" si="3"/>
        <v>https://www.ssbuy.tw/detail_giftcode/dist/giftcodes/精靈塔塔開.html</v>
      </c>
      <c r="E72" s="97" t="s">
        <v>2110</v>
      </c>
      <c r="F72" s="110" t="s">
        <v>1710</v>
      </c>
      <c r="G72" s="58" t="s">
        <v>1711</v>
      </c>
      <c r="H72" s="58" t="s">
        <v>1840</v>
      </c>
      <c r="I72" s="57"/>
      <c r="J72" s="97"/>
      <c r="K72" s="98"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8.5" customHeight="1">
      <c r="A73" s="62" t="s">
        <v>970</v>
      </c>
      <c r="B73" s="57" t="str">
        <f t="shared" si="2"/>
        <v>giftcodesbanner/終末之歌-bar.jpg</v>
      </c>
      <c r="C73" s="57"/>
      <c r="D73" s="57" t="str">
        <f t="shared" si="3"/>
        <v>https://www.ssbuy.tw/detail_giftcode/dist/giftcodes/終末之歌.html</v>
      </c>
      <c r="E73" s="97" t="s">
        <v>2949</v>
      </c>
      <c r="F73" s="110" t="s">
        <v>1710</v>
      </c>
      <c r="G73" s="58" t="s">
        <v>1711</v>
      </c>
      <c r="H73" s="58" t="s">
        <v>1840</v>
      </c>
      <c r="I73" s="57"/>
      <c r="J73" s="97"/>
      <c r="K73" s="98"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8.5" customHeight="1">
      <c r="A74" s="62" t="s">
        <v>978</v>
      </c>
      <c r="B74" s="57" t="str">
        <f t="shared" si="2"/>
        <v>giftcodesbanner/森靈奇境-bar.jpg</v>
      </c>
      <c r="C74" s="57"/>
      <c r="D74" s="57" t="str">
        <f t="shared" si="3"/>
        <v>https://www.ssbuy.tw/detail_giftcode/dist/giftcodes/森靈奇境.html</v>
      </c>
      <c r="E74" s="97" t="s">
        <v>2113</v>
      </c>
      <c r="F74" s="110" t="s">
        <v>1710</v>
      </c>
      <c r="G74" s="58" t="s">
        <v>1711</v>
      </c>
      <c r="H74" s="58" t="s">
        <v>1840</v>
      </c>
      <c r="I74" s="57"/>
      <c r="J74" s="97"/>
      <c r="K74" s="98"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8.5" customHeight="1">
      <c r="A75" s="62" t="s">
        <v>2961</v>
      </c>
      <c r="B75" s="57" t="str">
        <f t="shared" si="2"/>
        <v>giftcodesbanner/鬥破蒼穹：蕭門篇-bar.jpg</v>
      </c>
      <c r="C75" s="57"/>
      <c r="D75" s="57" t="str">
        <f t="shared" si="3"/>
        <v>https://www.ssbuy.tw/detail_giftcode/dist/giftcodes/鬥破蒼穹：蕭門篇.html</v>
      </c>
      <c r="E75" s="97" t="s">
        <v>2122</v>
      </c>
      <c r="F75" s="110" t="s">
        <v>1710</v>
      </c>
      <c r="G75" s="58" t="s">
        <v>1711</v>
      </c>
      <c r="H75" s="58" t="s">
        <v>1840</v>
      </c>
      <c r="I75" s="57"/>
      <c r="J75" s="97"/>
      <c r="K75" s="98"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8.5" customHeight="1">
      <c r="A76" s="62" t="s">
        <v>995</v>
      </c>
      <c r="B76" s="57" t="str">
        <f t="shared" si="2"/>
        <v>giftcodesbanner/無畏的狼煙-bar.jpg</v>
      </c>
      <c r="C76" s="57"/>
      <c r="D76" s="57" t="str">
        <f t="shared" si="3"/>
        <v>https://www.ssbuy.tw/detail_giftcode/dist/giftcodes/無畏的狼煙.html</v>
      </c>
      <c r="E76" s="97" t="s">
        <v>2130</v>
      </c>
      <c r="F76" s="110" t="s">
        <v>1710</v>
      </c>
      <c r="G76" s="58" t="s">
        <v>1711</v>
      </c>
      <c r="H76" s="58" t="s">
        <v>1840</v>
      </c>
      <c r="I76" s="57"/>
      <c r="J76" s="97"/>
      <c r="K76" s="98"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8.5" customHeight="1">
      <c r="A77" s="73" t="s">
        <v>2970</v>
      </c>
      <c r="B77" s="57" t="str">
        <f t="shared" si="2"/>
        <v>giftcodesbanner/代號：無頭-bar.jpg</v>
      </c>
      <c r="C77" s="57"/>
      <c r="D77" s="57" t="str">
        <f t="shared" si="3"/>
        <v>https://www.ssbuy.tw/detail_giftcode/dist/giftcodes/代號：無頭.html</v>
      </c>
      <c r="E77" s="97" t="s">
        <v>2136</v>
      </c>
      <c r="F77" s="110" t="s">
        <v>1710</v>
      </c>
      <c r="G77" s="58" t="s">
        <v>1711</v>
      </c>
      <c r="H77" s="58" t="s">
        <v>1840</v>
      </c>
      <c r="I77" s="57"/>
      <c r="J77" s="97"/>
      <c r="K77" s="98"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8.5" customHeight="1">
      <c r="A78" s="62" t="s">
        <v>1012</v>
      </c>
      <c r="B78" s="57" t="str">
        <f t="shared" si="2"/>
        <v>giftcodesbanner/牛頭人GO-bar.jpg</v>
      </c>
      <c r="C78" s="57"/>
      <c r="D78" s="57" t="str">
        <f t="shared" si="3"/>
        <v>https://www.ssbuy.tw/detail_giftcode/dist/giftcodes/牛頭人GO.html</v>
      </c>
      <c r="E78" s="97" t="s">
        <v>2977</v>
      </c>
      <c r="F78" s="110" t="s">
        <v>1710</v>
      </c>
      <c r="G78" s="58" t="s">
        <v>1711</v>
      </c>
      <c r="H78" s="58" t="s">
        <v>1840</v>
      </c>
      <c r="I78" s="57"/>
      <c r="J78" s="97"/>
      <c r="K78" s="98"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8.5" customHeight="1">
      <c r="A79" s="62" t="s">
        <v>1021</v>
      </c>
      <c r="B79" s="57" t="str">
        <f t="shared" si="2"/>
        <v>giftcodesbanner/派對吧三國-bar.jpg</v>
      </c>
      <c r="C79" s="57"/>
      <c r="D79" s="57" t="str">
        <f t="shared" si="3"/>
        <v>https://www.ssbuy.tw/detail_giftcode/dist/giftcodes/派對吧三國.html</v>
      </c>
      <c r="E79" s="97" t="s">
        <v>2982</v>
      </c>
      <c r="F79" s="110" t="s">
        <v>1710</v>
      </c>
      <c r="G79" s="58" t="s">
        <v>1711</v>
      </c>
      <c r="H79" s="58" t="s">
        <v>1840</v>
      </c>
      <c r="I79" s="57"/>
      <c r="J79" s="97"/>
      <c r="K79" s="98"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8.5" customHeight="1">
      <c r="A80" s="62" t="s">
        <v>1035</v>
      </c>
      <c r="B80" s="57" t="str">
        <f t="shared" si="2"/>
        <v>giftcodesbanner/酒酒大俠-bar.jpg</v>
      </c>
      <c r="C80" s="57"/>
      <c r="D80" s="57" t="str">
        <f t="shared" si="3"/>
        <v>https://www.ssbuy.tw/detail_giftcode/dist/giftcodes/酒酒大俠.html</v>
      </c>
      <c r="E80" s="97" t="s">
        <v>2987</v>
      </c>
      <c r="F80" s="110" t="s">
        <v>1710</v>
      </c>
      <c r="G80" s="58" t="s">
        <v>1711</v>
      </c>
      <c r="H80" s="58" t="s">
        <v>1840</v>
      </c>
      <c r="I80" s="57"/>
      <c r="J80" s="97"/>
      <c r="K80" s="98"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8.5" customHeight="1">
      <c r="A81" s="62" t="s">
        <v>1044</v>
      </c>
      <c r="B81" s="57" t="str">
        <f t="shared" si="2"/>
        <v>giftcodesbanner/鼠衛家園-bar.jpg</v>
      </c>
      <c r="C81" s="57"/>
      <c r="D81" s="57" t="str">
        <f t="shared" si="3"/>
        <v>https://www.ssbuy.tw/detail_giftcode/dist/giftcodes/鼠衛家園.html</v>
      </c>
      <c r="E81" s="97" t="s">
        <v>2992</v>
      </c>
      <c r="F81" s="110" t="s">
        <v>1710</v>
      </c>
      <c r="G81" s="58" t="s">
        <v>1711</v>
      </c>
      <c r="H81" s="58" t="s">
        <v>1840</v>
      </c>
      <c r="I81" s="57"/>
      <c r="J81" s="97"/>
      <c r="K81" s="98"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8.5" customHeight="1">
      <c r="A82" s="62" t="s">
        <v>2997</v>
      </c>
      <c r="B82" s="57" t="str">
        <f t="shared" si="2"/>
        <v>giftcodesbanner/未頌者之歌：異世界冒險奇譚-bar.jpg</v>
      </c>
      <c r="C82" s="57"/>
      <c r="D82" s="57" t="str">
        <f t="shared" si="3"/>
        <v>https://www.ssbuy.tw/detail_giftcode/dist/giftcodes/未頌者之歌：異世界冒險奇譚.html</v>
      </c>
      <c r="E82" s="97" t="s">
        <v>2998</v>
      </c>
      <c r="F82" s="110" t="s">
        <v>1710</v>
      </c>
      <c r="G82" s="58" t="s">
        <v>1711</v>
      </c>
      <c r="H82" s="58" t="s">
        <v>1840</v>
      </c>
      <c r="I82" s="57"/>
      <c r="J82" s="97"/>
      <c r="K82" s="98"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8.5" customHeight="1">
      <c r="A83" s="62" t="s">
        <v>1059</v>
      </c>
      <c r="B83" s="57" t="str">
        <f t="shared" si="2"/>
        <v>giftcodesbanner/熱練戰士-bar.jpg</v>
      </c>
      <c r="C83" s="57"/>
      <c r="D83" s="57" t="str">
        <f t="shared" si="3"/>
        <v>https://www.ssbuy.tw/detail_giftcode/dist/giftcodes/熱練戰士.html</v>
      </c>
      <c r="E83" s="97" t="s">
        <v>3003</v>
      </c>
      <c r="F83" s="110" t="s">
        <v>1710</v>
      </c>
      <c r="G83" s="58" t="s">
        <v>1711</v>
      </c>
      <c r="H83" s="58" t="s">
        <v>1840</v>
      </c>
      <c r="I83" s="57"/>
      <c r="J83" s="97"/>
      <c r="K83" s="98"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8.5" customHeight="1">
      <c r="A84" s="62" t="s">
        <v>1064</v>
      </c>
      <c r="B84" s="57" t="str">
        <f t="shared" si="2"/>
        <v>giftcodesbanner/聯盟戰棋-bar.jpg</v>
      </c>
      <c r="C84" s="57"/>
      <c r="D84" s="57" t="str">
        <f t="shared" si="3"/>
        <v>https://www.ssbuy.tw/detail_giftcode/dist/giftcodes/聯盟戰棋.html</v>
      </c>
      <c r="E84" s="97" t="s">
        <v>2161</v>
      </c>
      <c r="F84" s="110" t="s">
        <v>1710</v>
      </c>
      <c r="G84" s="58" t="s">
        <v>1711</v>
      </c>
      <c r="H84" s="58" t="s">
        <v>1840</v>
      </c>
      <c r="I84" s="57"/>
      <c r="J84" s="97"/>
      <c r="K84" s="98"/>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8.5" customHeight="1">
      <c r="A85" s="62" t="s">
        <v>2162</v>
      </c>
      <c r="B85" s="57" t="str">
        <f t="shared" si="2"/>
        <v>giftcodesbanner/劍客物語-bar.jpg</v>
      </c>
      <c r="C85" s="57"/>
      <c r="D85" s="57" t="str">
        <f t="shared" si="3"/>
        <v>https://www.ssbuy.tw/detail_giftcode/dist/giftcodes/劍客物語.html</v>
      </c>
      <c r="E85" s="97" t="s">
        <v>3012</v>
      </c>
      <c r="F85" s="110" t="s">
        <v>1710</v>
      </c>
      <c r="G85" s="58" t="s">
        <v>1711</v>
      </c>
      <c r="H85" s="58" t="s">
        <v>1840</v>
      </c>
      <c r="I85" s="57"/>
      <c r="J85" s="97"/>
      <c r="K85" s="98"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8.5" customHeight="1">
      <c r="A86" s="62" t="s">
        <v>2168</v>
      </c>
      <c r="B86" s="57" t="str">
        <f t="shared" si="2"/>
        <v>giftcodesbanner/人在塔在-bar.jpg</v>
      </c>
      <c r="C86" s="57"/>
      <c r="D86" s="57" t="str">
        <f t="shared" si="3"/>
        <v>https://www.ssbuy.tw/detail_giftcode/dist/giftcodes/人在塔在.html</v>
      </c>
      <c r="E86" s="97" t="s">
        <v>3024</v>
      </c>
      <c r="F86" s="110" t="s">
        <v>1710</v>
      </c>
      <c r="G86" s="58" t="s">
        <v>1711</v>
      </c>
      <c r="H86" s="58" t="s">
        <v>1840</v>
      </c>
      <c r="I86" s="57"/>
      <c r="J86" s="97"/>
      <c r="K86" s="98"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8.5" customHeight="1">
      <c r="A87" s="62" t="s">
        <v>2170</v>
      </c>
      <c r="B87" s="57" t="str">
        <f t="shared" si="2"/>
        <v>giftcodesbanner/龍語霜城-bar.jpg</v>
      </c>
      <c r="C87" s="57"/>
      <c r="D87" s="57" t="str">
        <f t="shared" si="3"/>
        <v>https://www.ssbuy.tw/detail_giftcode/dist/giftcodes/龍語霜城.html</v>
      </c>
      <c r="E87" s="97" t="s">
        <v>3026</v>
      </c>
      <c r="F87" s="110" t="s">
        <v>1710</v>
      </c>
      <c r="G87" s="58" t="s">
        <v>1711</v>
      </c>
      <c r="H87" s="58" t="s">
        <v>1840</v>
      </c>
      <c r="I87" s="57"/>
      <c r="J87" s="97"/>
      <c r="K87" s="98"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8.5" customHeight="1">
      <c r="A88" s="62" t="s">
        <v>2176</v>
      </c>
      <c r="B88" s="57" t="str">
        <f t="shared" si="2"/>
        <v>giftcodesbanner/洛伊的移動要塞-bar.jpg</v>
      </c>
      <c r="C88" s="57"/>
      <c r="D88" s="57" t="str">
        <f t="shared" si="3"/>
        <v>https://www.ssbuy.tw/detail_giftcode/dist/giftcodes/洛伊的移動要塞.html</v>
      </c>
      <c r="E88" s="97" t="s">
        <v>2177</v>
      </c>
      <c r="F88" s="110" t="s">
        <v>1710</v>
      </c>
      <c r="G88" s="58" t="s">
        <v>1711</v>
      </c>
      <c r="H88" s="58" t="s">
        <v>1840</v>
      </c>
      <c r="I88" s="57"/>
      <c r="J88" s="97"/>
      <c r="K88" s="98"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8.5" customHeight="1">
      <c r="A89" s="62" t="s">
        <v>3043</v>
      </c>
      <c r="B89" s="57" t="str">
        <f t="shared" si="2"/>
        <v>giftcodesbanner/喵喵王國-bar.jpg</v>
      </c>
      <c r="C89" s="57"/>
      <c r="D89" s="57" t="str">
        <f t="shared" si="3"/>
        <v>https://www.ssbuy.tw/detail_giftcode/dist/giftcodes/喵喵王國.html</v>
      </c>
      <c r="E89" s="97" t="s">
        <v>3044</v>
      </c>
      <c r="F89" s="110" t="s">
        <v>1710</v>
      </c>
      <c r="G89" s="58" t="s">
        <v>1711</v>
      </c>
      <c r="H89" s="58" t="s">
        <v>1840</v>
      </c>
      <c r="I89" s="57"/>
      <c r="J89" s="97"/>
      <c r="K89" s="98"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8.5" customHeight="1">
      <c r="A90" s="62" t="s">
        <v>1121</v>
      </c>
      <c r="B90" s="57" t="str">
        <f t="shared" si="2"/>
        <v>giftcodesbanner/東京謎影者-bar.jpg</v>
      </c>
      <c r="C90" s="57"/>
      <c r="D90" s="57" t="str">
        <f t="shared" si="3"/>
        <v>https://www.ssbuy.tw/detail_giftcode/dist/giftcodes/東京謎影者.html</v>
      </c>
      <c r="E90" s="97" t="s">
        <v>2185</v>
      </c>
      <c r="F90" s="110" t="s">
        <v>1710</v>
      </c>
      <c r="G90" s="58" t="s">
        <v>1711</v>
      </c>
      <c r="H90" s="58" t="s">
        <v>1840</v>
      </c>
      <c r="I90" s="57"/>
      <c r="J90" s="97"/>
      <c r="K90" s="98"/>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8.5" customHeight="1">
      <c r="A91" s="62" t="s">
        <v>1129</v>
      </c>
      <c r="B91" s="57" t="str">
        <f t="shared" si="2"/>
        <v>giftcodesbanner/戰極死遊-bar.jpg</v>
      </c>
      <c r="C91" s="57"/>
      <c r="D91" s="57" t="str">
        <f t="shared" si="3"/>
        <v>https://www.ssbuy.tw/detail_giftcode/dist/giftcodes/戰極死遊.html</v>
      </c>
      <c r="E91" s="97" t="s">
        <v>2186</v>
      </c>
      <c r="F91" s="110" t="s">
        <v>1710</v>
      </c>
      <c r="G91" s="58" t="s">
        <v>1711</v>
      </c>
      <c r="H91" s="58" t="s">
        <v>1840</v>
      </c>
      <c r="I91" s="57"/>
      <c r="J91" s="97"/>
      <c r="K91" s="98"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8.5" customHeight="1">
      <c r="A92" s="62" t="s">
        <v>1137</v>
      </c>
      <c r="B92" s="57" t="str">
        <f t="shared" si="2"/>
        <v>giftcodesbanner/進擊的蝸牛-bar.jpg</v>
      </c>
      <c r="C92" s="57"/>
      <c r="D92" s="57" t="str">
        <f t="shared" si="3"/>
        <v>https://www.ssbuy.tw/detail_giftcode/dist/giftcodes/進擊的蝸牛.html</v>
      </c>
      <c r="E92" s="97" t="s">
        <v>2189</v>
      </c>
      <c r="F92" s="110" t="s">
        <v>1710</v>
      </c>
      <c r="G92" s="58" t="s">
        <v>1711</v>
      </c>
      <c r="H92" s="58" t="s">
        <v>1840</v>
      </c>
      <c r="I92" s="57"/>
      <c r="J92" s="97"/>
      <c r="K92" s="98"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8.5" customHeight="1">
      <c r="A93" s="62" t="s">
        <v>1145</v>
      </c>
      <c r="B93" s="57" t="str">
        <f t="shared" si="2"/>
        <v>giftcodesbanner/純白大作戰-bar.jpg</v>
      </c>
      <c r="C93" s="57"/>
      <c r="D93" s="57" t="str">
        <f t="shared" si="3"/>
        <v>https://www.ssbuy.tw/detail_giftcode/dist/giftcodes/純白大作戰.html</v>
      </c>
      <c r="E93" s="97" t="s">
        <v>2201</v>
      </c>
      <c r="F93" s="110" t="s">
        <v>1710</v>
      </c>
      <c r="G93" s="58" t="s">
        <v>1711</v>
      </c>
      <c r="H93" s="58" t="s">
        <v>1840</v>
      </c>
      <c r="I93" s="57"/>
      <c r="J93" s="97"/>
      <c r="K93" s="98"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8.5" customHeight="1">
      <c r="A94" s="62" t="s">
        <v>1153</v>
      </c>
      <c r="B94" s="57" t="str">
        <f t="shared" si="2"/>
        <v>giftcodesbanner/黑星勇者-bar.jpg</v>
      </c>
      <c r="C94" s="57"/>
      <c r="D94" s="57" t="str">
        <f t="shared" si="3"/>
        <v>https://www.ssbuy.tw/detail_giftcode/dist/giftcodes/黑星勇者.html</v>
      </c>
      <c r="E94" s="97" t="s">
        <v>2206</v>
      </c>
      <c r="F94" s="110" t="s">
        <v>1710</v>
      </c>
      <c r="G94" s="58" t="s">
        <v>1711</v>
      </c>
      <c r="H94" s="58" t="s">
        <v>1840</v>
      </c>
      <c r="I94" s="57"/>
      <c r="J94" s="97"/>
      <c r="K94" s="98"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8.5" customHeight="1">
      <c r="A95" s="62" t="s">
        <v>2209</v>
      </c>
      <c r="B95" s="57" t="str">
        <f t="shared" si="2"/>
        <v>giftcodesbanner/龍之谷：經典再現-bar.jpg</v>
      </c>
      <c r="C95" s="57"/>
      <c r="D95" s="57" t="str">
        <f t="shared" si="3"/>
        <v>https://www.ssbuy.tw/detail_giftcode/dist/giftcodes/龍之谷：經典再現.html</v>
      </c>
      <c r="E95" s="97" t="s">
        <v>2210</v>
      </c>
      <c r="F95" s="110" t="s">
        <v>1710</v>
      </c>
      <c r="G95" s="58" t="s">
        <v>1711</v>
      </c>
      <c r="H95" s="58" t="s">
        <v>1840</v>
      </c>
      <c r="I95" s="57"/>
      <c r="J95" s="97"/>
      <c r="K95" s="98"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8.5" customHeight="1">
      <c r="A96" s="62" t="s">
        <v>1170</v>
      </c>
      <c r="B96" s="57" t="str">
        <f t="shared" si="2"/>
        <v>giftcodesbanner/楓之谷Artale-bar.jpg</v>
      </c>
      <c r="C96" s="57"/>
      <c r="D96" s="57" t="str">
        <f t="shared" si="3"/>
        <v>https://www.ssbuy.tw/detail_giftcode/dist/giftcodes/楓之谷Artale.html</v>
      </c>
      <c r="E96" s="97" t="s">
        <v>3060</v>
      </c>
      <c r="F96" s="110" t="s">
        <v>1710</v>
      </c>
      <c r="G96" s="58" t="s">
        <v>1711</v>
      </c>
      <c r="H96" s="58" t="s">
        <v>1840</v>
      </c>
      <c r="I96" s="57"/>
      <c r="J96" s="97"/>
      <c r="K96" s="98"/>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8.5" customHeight="1">
      <c r="A97" s="62" t="s">
        <v>2212</v>
      </c>
      <c r="B97" s="57" t="str">
        <f t="shared" si="2"/>
        <v>giftcodesbanner/出發吧麥芬-bar.jpg</v>
      </c>
      <c r="C97" s="57"/>
      <c r="D97" s="57" t="str">
        <f t="shared" si="3"/>
        <v>https://www.ssbuy.tw/detail_giftcode/dist/giftcodes/出發吧麥芬.html</v>
      </c>
      <c r="E97" s="97" t="s">
        <v>3061</v>
      </c>
      <c r="F97" s="110" t="s">
        <v>1710</v>
      </c>
      <c r="G97" s="58" t="s">
        <v>1711</v>
      </c>
      <c r="H97" s="58" t="s">
        <v>1840</v>
      </c>
      <c r="I97" s="57"/>
      <c r="J97" s="97"/>
      <c r="K97" s="98"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8.5" customHeight="1">
      <c r="A98" s="62" t="s">
        <v>1181</v>
      </c>
      <c r="B98" s="57" t="str">
        <f t="shared" si="2"/>
        <v>giftcodesbanner/RO仙境傳說：守護永恆的愛 Classic-bar.jpg</v>
      </c>
      <c r="C98" s="57"/>
      <c r="D98" s="57" t="str">
        <f t="shared" si="3"/>
        <v>https://www.ssbuy.tw/detail_giftcode/dist/giftcodes/RO仙境傳說：守護永恆的愛 Classic.html</v>
      </c>
      <c r="E98" s="97" t="s">
        <v>2215</v>
      </c>
      <c r="F98" s="110" t="s">
        <v>1710</v>
      </c>
      <c r="G98" s="58" t="s">
        <v>1711</v>
      </c>
      <c r="H98" s="58" t="s">
        <v>1840</v>
      </c>
      <c r="I98" s="57"/>
      <c r="J98" s="97"/>
      <c r="K98" s="98"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8.5" customHeight="1">
      <c r="A99" s="62" t="s">
        <v>2219</v>
      </c>
      <c r="B99" s="57" t="str">
        <f t="shared" si="2"/>
        <v>giftcodesbanner/魔力寶貝：復興-bar.jpg</v>
      </c>
      <c r="C99" s="57"/>
      <c r="D99" s="57" t="str">
        <f t="shared" si="3"/>
        <v>https://www.ssbuy.tw/detail_giftcode/dist/giftcodes/魔力寶貝：復興.html</v>
      </c>
      <c r="E99" s="97" t="s">
        <v>3078</v>
      </c>
      <c r="F99" s="110" t="s">
        <v>1710</v>
      </c>
      <c r="G99" s="58" t="s">
        <v>1711</v>
      </c>
      <c r="H99" s="58" t="s">
        <v>1840</v>
      </c>
      <c r="I99" s="57"/>
      <c r="J99" s="97"/>
      <c r="K99" s="98"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8.5" customHeight="1">
      <c r="A100" s="62" t="s">
        <v>2225</v>
      </c>
      <c r="B100" s="57" t="str">
        <f t="shared" si="2"/>
        <v>giftcodesbanner/東京喰種Awakening-bar.jpg</v>
      </c>
      <c r="C100" s="57"/>
      <c r="D100" s="57" t="str">
        <f t="shared" si="3"/>
        <v>https://www.ssbuy.tw/detail_giftcode/dist/giftcodes/東京喰種Awakening.html</v>
      </c>
      <c r="E100" s="97" t="s">
        <v>2226</v>
      </c>
      <c r="F100" s="110" t="s">
        <v>1710</v>
      </c>
      <c r="G100" s="58" t="s">
        <v>1711</v>
      </c>
      <c r="H100" s="58" t="s">
        <v>1840</v>
      </c>
      <c r="I100" s="57"/>
      <c r="J100" s="97"/>
      <c r="K100" s="98"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8.5" customHeight="1">
      <c r="A101" s="62" t="s">
        <v>1207</v>
      </c>
      <c r="B101" s="57" t="str">
        <f t="shared" si="2"/>
        <v>giftcodesbanner/晶核-bar.jpg</v>
      </c>
      <c r="C101" s="57"/>
      <c r="D101" s="57" t="str">
        <f t="shared" si="3"/>
        <v>https://www.ssbuy.tw/detail_giftcode/dist/giftcodes/晶核.html</v>
      </c>
      <c r="E101" s="97" t="s">
        <v>2241</v>
      </c>
      <c r="F101" s="110" t="s">
        <v>1710</v>
      </c>
      <c r="G101" s="58" t="s">
        <v>1711</v>
      </c>
      <c r="H101" s="58" t="s">
        <v>1840</v>
      </c>
      <c r="I101" s="57"/>
      <c r="J101" s="97"/>
      <c r="K101" s="98"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8.5" customHeight="1">
      <c r="A102" s="62" t="s">
        <v>1216</v>
      </c>
      <c r="B102" s="57" t="str">
        <f t="shared" si="2"/>
        <v>giftcodesbanner/無盡夢迴-bar.jpg</v>
      </c>
      <c r="C102" s="57"/>
      <c r="D102" s="57" t="str">
        <f t="shared" si="3"/>
        <v>https://www.ssbuy.tw/detail_giftcode/dist/giftcodes/無盡夢迴.html</v>
      </c>
      <c r="E102" s="97" t="s">
        <v>3104</v>
      </c>
      <c r="F102" s="110" t="s">
        <v>1710</v>
      </c>
      <c r="G102" s="58" t="s">
        <v>1711</v>
      </c>
      <c r="H102" s="58" t="s">
        <v>1840</v>
      </c>
      <c r="I102" s="57"/>
      <c r="J102" s="97"/>
      <c r="K102" s="98"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8.5" customHeight="1">
      <c r="A103" s="73" t="s">
        <v>2251</v>
      </c>
      <c r="B103" s="57" t="str">
        <f t="shared" si="2"/>
        <v>giftcodesbanner/RO仙境傳說：放推冒險團-bar.jpg</v>
      </c>
      <c r="C103" s="57"/>
      <c r="D103" s="57" t="str">
        <f t="shared" si="3"/>
        <v>https://www.ssbuy.tw/detail_giftcode/dist/giftcodes/RO仙境傳說：放推冒險團.html</v>
      </c>
      <c r="E103" s="97" t="s">
        <v>2252</v>
      </c>
      <c r="F103" s="110" t="s">
        <v>1710</v>
      </c>
      <c r="G103" s="58" t="s">
        <v>1711</v>
      </c>
      <c r="H103" s="58" t="s">
        <v>1840</v>
      </c>
      <c r="I103" s="57"/>
      <c r="J103" s="97"/>
      <c r="K103" s="98"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8.5" customHeight="1">
      <c r="A104" s="73" t="s">
        <v>1233</v>
      </c>
      <c r="B104" s="57" t="str">
        <f t="shared" si="2"/>
        <v>giftcodesbanner/英雄刷刷刷-bar.jpg</v>
      </c>
      <c r="C104" s="57"/>
      <c r="D104" s="57" t="str">
        <f t="shared" si="3"/>
        <v>https://www.ssbuy.tw/detail_giftcode/dist/giftcodes/英雄刷刷刷.html</v>
      </c>
      <c r="E104" s="97" t="s">
        <v>2263</v>
      </c>
      <c r="F104" s="110" t="s">
        <v>1710</v>
      </c>
      <c r="G104" s="58" t="s">
        <v>1711</v>
      </c>
      <c r="H104" s="58" t="s">
        <v>1840</v>
      </c>
      <c r="I104" s="57"/>
      <c r="J104" s="97"/>
      <c r="K104" s="98"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8.5" customHeight="1">
      <c r="A105" s="75" t="s">
        <v>1245</v>
      </c>
      <c r="B105" s="57" t="str">
        <f t="shared" si="2"/>
        <v>giftcodesbanner/萬靈物語-bar.jpg</v>
      </c>
      <c r="C105" s="57"/>
      <c r="D105" s="57" t="str">
        <f t="shared" si="3"/>
        <v>https://www.ssbuy.tw/detail_giftcode/dist/giftcodes/萬靈物語.html</v>
      </c>
      <c r="E105" s="97" t="s">
        <v>3118</v>
      </c>
      <c r="F105" s="110" t="s">
        <v>1710</v>
      </c>
      <c r="G105" s="58" t="s">
        <v>1711</v>
      </c>
      <c r="H105" s="58" t="s">
        <v>1840</v>
      </c>
      <c r="I105" s="57"/>
      <c r="J105" s="97"/>
      <c r="K105" s="98"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8.5" customHeight="1">
      <c r="A106" s="75" t="s">
        <v>2300</v>
      </c>
      <c r="B106" s="57" t="str">
        <f t="shared" si="2"/>
        <v>giftcodesbanner/斗羅大陸：逆轉時空-bar.jpg</v>
      </c>
      <c r="C106" s="57"/>
      <c r="D106" s="57" t="str">
        <f t="shared" si="3"/>
        <v>https://www.ssbuy.tw/detail_giftcode/dist/giftcodes/斗羅大陸：逆轉時空.html</v>
      </c>
      <c r="E106" s="97" t="s">
        <v>3119</v>
      </c>
      <c r="F106" s="110" t="s">
        <v>1710</v>
      </c>
      <c r="G106" s="58" t="s">
        <v>1711</v>
      </c>
      <c r="H106" s="58" t="s">
        <v>1840</v>
      </c>
      <c r="I106" s="57"/>
      <c r="J106" s="97"/>
      <c r="K106" s="98"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8.5" customHeight="1">
      <c r="A107" s="75" t="s">
        <v>2307</v>
      </c>
      <c r="B107" s="57" t="str">
        <f t="shared" si="2"/>
        <v>giftcodesbanner/魔靈召喚：保衛戰-bar.jpg</v>
      </c>
      <c r="C107" s="57"/>
      <c r="D107" s="57" t="str">
        <f t="shared" si="3"/>
        <v>https://www.ssbuy.tw/detail_giftcode/dist/giftcodes/魔靈召喚：保衛戰.html</v>
      </c>
      <c r="E107" s="97" t="s">
        <v>3125</v>
      </c>
      <c r="F107" s="110" t="s">
        <v>1710</v>
      </c>
      <c r="G107" s="58" t="s">
        <v>1711</v>
      </c>
      <c r="H107" s="58" t="s">
        <v>1840</v>
      </c>
      <c r="I107" s="57"/>
      <c r="J107" s="97"/>
      <c r="K107" s="98"/>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8.5" customHeight="1">
      <c r="A108" s="75" t="s">
        <v>1265</v>
      </c>
      <c r="B108" s="57" t="str">
        <f t="shared" si="2"/>
        <v>giftcodesbanner/潘多蘭島-bar.jpg</v>
      </c>
      <c r="C108" s="57"/>
      <c r="D108" s="57" t="str">
        <f t="shared" si="3"/>
        <v>https://www.ssbuy.tw/detail_giftcode/dist/giftcodes/潘多蘭島.html</v>
      </c>
      <c r="E108" s="97" t="s">
        <v>3126</v>
      </c>
      <c r="F108" s="110" t="s">
        <v>1710</v>
      </c>
      <c r="G108" s="58" t="s">
        <v>1711</v>
      </c>
      <c r="H108" s="58" t="s">
        <v>1840</v>
      </c>
      <c r="I108" s="57"/>
      <c r="J108" s="97"/>
      <c r="K108" s="98"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8.5" customHeight="1">
      <c r="A109" s="75" t="s">
        <v>1274</v>
      </c>
      <c r="B109" s="57" t="str">
        <f t="shared" si="2"/>
        <v>giftcodesbanner/電鋸果汁大亂鬥-bar.jpg</v>
      </c>
      <c r="C109" s="57"/>
      <c r="D109" s="57" t="str">
        <f t="shared" si="3"/>
        <v>https://www.ssbuy.tw/detail_giftcode/dist/giftcodes/電鋸果汁大亂鬥.html</v>
      </c>
      <c r="E109" s="97" t="s">
        <v>4591</v>
      </c>
      <c r="F109" s="110" t="s">
        <v>1710</v>
      </c>
      <c r="G109" s="58" t="s">
        <v>1711</v>
      </c>
      <c r="H109" s="58" t="s">
        <v>1840</v>
      </c>
      <c r="I109" s="57"/>
      <c r="J109" s="97"/>
      <c r="K109" s="98"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8.5" customHeight="1">
      <c r="A110" s="75" t="s">
        <v>1280</v>
      </c>
      <c r="B110" s="57" t="str">
        <f t="shared" si="2"/>
        <v>giftcodesbanner/風色幻想NeXus-bar.jpg</v>
      </c>
      <c r="C110" s="57"/>
      <c r="D110" s="57" t="str">
        <f t="shared" si="3"/>
        <v>https://www.ssbuy.tw/detail_giftcode/dist/giftcodes/風色幻想NeXus.html</v>
      </c>
      <c r="E110" s="97" t="s">
        <v>3127</v>
      </c>
      <c r="F110" s="110" t="s">
        <v>1710</v>
      </c>
      <c r="G110" s="58" t="s">
        <v>1711</v>
      </c>
      <c r="H110" s="58" t="s">
        <v>1840</v>
      </c>
      <c r="I110" s="57"/>
      <c r="J110" s="97"/>
      <c r="K110" s="98"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8.5" customHeight="1">
      <c r="A111" s="75" t="s">
        <v>1290</v>
      </c>
      <c r="B111" s="57" t="str">
        <f t="shared" si="2"/>
        <v>giftcodesbanner/星河訣愛-bar.jpg</v>
      </c>
      <c r="C111" s="57"/>
      <c r="D111" s="57" t="str">
        <f t="shared" si="3"/>
        <v>https://www.ssbuy.tw/detail_giftcode/dist/giftcodes/星河訣愛.html</v>
      </c>
      <c r="E111" s="97" t="s">
        <v>2314</v>
      </c>
      <c r="F111" s="110" t="s">
        <v>1710</v>
      </c>
      <c r="G111" s="58" t="s">
        <v>1711</v>
      </c>
      <c r="H111" s="58" t="s">
        <v>1840</v>
      </c>
      <c r="I111" s="57"/>
      <c r="J111" s="97"/>
      <c r="K111" s="98"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8.5" customHeight="1">
      <c r="A112" s="75" t="s">
        <v>3</v>
      </c>
      <c r="B112" s="57" t="str">
        <f t="shared" si="2"/>
        <v>giftcodesbanner/kingshot-bar.jpg</v>
      </c>
      <c r="C112" s="57"/>
      <c r="D112" s="57" t="str">
        <f t="shared" si="3"/>
        <v>https://www.ssbuy.tw/detail_giftcode/dist/giftcodes/kingshot.html</v>
      </c>
      <c r="E112" s="97" t="s">
        <v>2320</v>
      </c>
      <c r="F112" s="110" t="s">
        <v>1710</v>
      </c>
      <c r="G112" s="58" t="s">
        <v>1711</v>
      </c>
      <c r="H112" s="58" t="s">
        <v>1840</v>
      </c>
      <c r="I112" s="57"/>
      <c r="J112" s="97"/>
      <c r="K112" s="98"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8.5" customHeight="1">
      <c r="A113" s="75" t="s">
        <v>1297</v>
      </c>
      <c r="B113" s="57" t="str">
        <f t="shared" si="2"/>
        <v>giftcodesbanner/胡鬧地牢-bar.jpg</v>
      </c>
      <c r="C113" s="57"/>
      <c r="D113" s="57" t="str">
        <f t="shared" si="3"/>
        <v>https://www.ssbuy.tw/detail_giftcode/dist/giftcodes/胡鬧地牢.html</v>
      </c>
      <c r="E113" s="97" t="s">
        <v>3140</v>
      </c>
      <c r="F113" s="110" t="s">
        <v>1710</v>
      </c>
      <c r="G113" s="58" t="s">
        <v>1711</v>
      </c>
      <c r="H113" s="58" t="s">
        <v>1840</v>
      </c>
      <c r="I113" s="57"/>
      <c r="J113" s="97"/>
      <c r="K113" s="98"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8.5" customHeight="1">
      <c r="A114" s="75" t="s">
        <v>1303</v>
      </c>
      <c r="B114" s="57" t="str">
        <f t="shared" si="2"/>
        <v>giftcodesbanner/小小軍團-重生-bar.jpg</v>
      </c>
      <c r="C114" s="57"/>
      <c r="D114" s="57" t="str">
        <f t="shared" si="3"/>
        <v>https://www.ssbuy.tw/detail_giftcode/dist/giftcodes/小小軍團-重生.html</v>
      </c>
      <c r="E114" s="97" t="s">
        <v>3143</v>
      </c>
      <c r="F114" s="110" t="s">
        <v>1710</v>
      </c>
      <c r="G114" s="58" t="s">
        <v>1711</v>
      </c>
      <c r="H114" s="58" t="s">
        <v>1840</v>
      </c>
      <c r="I114" s="57"/>
      <c r="J114" s="97"/>
      <c r="K114" s="98"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8.5" customHeight="1">
      <c r="A115" s="75" t="s">
        <v>1314</v>
      </c>
      <c r="B115" s="57" t="str">
        <f t="shared" si="2"/>
        <v>giftcodesbanner/爪爪遠征-bar.jpg</v>
      </c>
      <c r="C115" s="57"/>
      <c r="D115" s="57" t="str">
        <f t="shared" si="3"/>
        <v>https://www.ssbuy.tw/detail_giftcode/dist/giftcodes/爪爪遠征.html</v>
      </c>
      <c r="E115" s="97" t="s">
        <v>2354</v>
      </c>
      <c r="F115" s="110" t="s">
        <v>1710</v>
      </c>
      <c r="G115" s="58" t="s">
        <v>1711</v>
      </c>
      <c r="H115" s="58" t="s">
        <v>1840</v>
      </c>
      <c r="I115" s="57"/>
      <c r="J115" s="97"/>
      <c r="K115" s="98"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8.5" customHeight="1">
      <c r="A116" s="75" t="s">
        <v>1324</v>
      </c>
      <c r="B116" s="57" t="str">
        <f t="shared" si="2"/>
        <v>giftcodesbanner/勇士團團轉-bar.jpg</v>
      </c>
      <c r="C116" s="57"/>
      <c r="D116" s="57" t="str">
        <f t="shared" si="3"/>
        <v>https://www.ssbuy.tw/detail_giftcode/dist/giftcodes/勇士團團轉.html</v>
      </c>
      <c r="E116" s="97" t="s">
        <v>2356</v>
      </c>
      <c r="F116" s="110" t="s">
        <v>1710</v>
      </c>
      <c r="G116" s="58" t="s">
        <v>1711</v>
      </c>
      <c r="H116" s="58" t="s">
        <v>1840</v>
      </c>
      <c r="I116" s="57"/>
      <c r="J116" s="97"/>
      <c r="K116" s="98"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8.5" customHeight="1">
      <c r="A117" s="75" t="s">
        <v>1331</v>
      </c>
      <c r="B117" s="57" t="str">
        <f t="shared" si="2"/>
        <v>giftcodesbanner/魁 三國志大戰-bar.jpg</v>
      </c>
      <c r="C117" s="57"/>
      <c r="D117" s="57" t="str">
        <f t="shared" si="3"/>
        <v>https://www.ssbuy.tw/detail_giftcode/dist/giftcodes/魁 三國志大戰.html</v>
      </c>
      <c r="E117" s="97" t="s">
        <v>3146</v>
      </c>
      <c r="F117" s="110" t="s">
        <v>1710</v>
      </c>
      <c r="G117" s="58" t="s">
        <v>1711</v>
      </c>
      <c r="H117" s="58" t="s">
        <v>1840</v>
      </c>
      <c r="I117" s="57"/>
      <c r="J117" s="97"/>
      <c r="K117" s="98"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8.5" customHeight="1">
      <c r="A118" s="75" t="s">
        <v>8</v>
      </c>
      <c r="B118" s="57" t="str">
        <f t="shared" si="2"/>
        <v>giftcodesbanner/tokyo beast-bar.jpg</v>
      </c>
      <c r="C118" s="57"/>
      <c r="D118" s="57" t="str">
        <f t="shared" si="3"/>
        <v>https://www.ssbuy.tw/detail_giftcode/dist/giftcodes/tokyo beast.html</v>
      </c>
      <c r="E118" s="97" t="s">
        <v>2360</v>
      </c>
      <c r="F118" s="110" t="s">
        <v>1710</v>
      </c>
      <c r="G118" s="58" t="s">
        <v>1711</v>
      </c>
      <c r="H118" s="58" t="s">
        <v>1840</v>
      </c>
      <c r="I118" s="57"/>
      <c r="J118" s="97"/>
      <c r="K118" s="98"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8.5" customHeight="1">
      <c r="A119" s="62" t="s">
        <v>1351</v>
      </c>
      <c r="B119" s="57" t="str">
        <f t="shared" si="2"/>
        <v>giftcodesbanner/切換英雄：放置型RPG-bar.jpg</v>
      </c>
      <c r="C119" s="57"/>
      <c r="D119" s="57" t="str">
        <f t="shared" si="3"/>
        <v>https://www.ssbuy.tw/detail_giftcode/dist/giftcodes/切換英雄：放置型RPG.html</v>
      </c>
      <c r="E119" s="112" t="s">
        <v>3148</v>
      </c>
      <c r="F119" s="110" t="s">
        <v>1710</v>
      </c>
      <c r="G119" s="58" t="s">
        <v>1711</v>
      </c>
      <c r="H119" s="58" t="s">
        <v>1840</v>
      </c>
      <c r="I119" s="57"/>
      <c r="J119" s="97"/>
      <c r="K119" s="98"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8.5" customHeight="1">
      <c r="A120" s="73" t="s">
        <v>1362</v>
      </c>
      <c r="B120" s="57" t="str">
        <f t="shared" si="2"/>
        <v>giftcodesbanner/小死神傳奇-bar.jpg</v>
      </c>
      <c r="C120" s="57"/>
      <c r="D120" s="57" t="str">
        <f t="shared" si="3"/>
        <v>https://www.ssbuy.tw/detail_giftcode/dist/giftcodes/小死神傳奇.html</v>
      </c>
      <c r="E120" s="97" t="s">
        <v>3151</v>
      </c>
      <c r="F120" s="110" t="s">
        <v>1710</v>
      </c>
      <c r="G120" s="58" t="s">
        <v>1711</v>
      </c>
      <c r="H120" s="58" t="s">
        <v>1840</v>
      </c>
      <c r="I120" s="57"/>
      <c r="J120" s="97"/>
      <c r="K120" s="98"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8.5" customHeight="1">
      <c r="A121" s="73" t="s">
        <v>3152</v>
      </c>
      <c r="B121" s="57" t="str">
        <f t="shared" si="2"/>
        <v>giftcodesbanner/闇影詩章：凌越世界-bar.jpg</v>
      </c>
      <c r="C121" s="57"/>
      <c r="D121" s="57" t="str">
        <f t="shared" si="3"/>
        <v>https://www.ssbuy.tw/detail_giftcode/dist/giftcodes/闇影詩章：凌越世界.html</v>
      </c>
      <c r="E121" s="112" t="s">
        <v>3153</v>
      </c>
      <c r="F121" s="110" t="s">
        <v>1710</v>
      </c>
      <c r="G121" s="58" t="s">
        <v>1711</v>
      </c>
      <c r="H121" s="58" t="s">
        <v>1840</v>
      </c>
      <c r="I121" s="57"/>
      <c r="J121" s="97"/>
      <c r="K121" s="98"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8.5" customHeight="1">
      <c r="A122" s="75" t="s">
        <v>1379</v>
      </c>
      <c r="B122" s="57" t="str">
        <f t="shared" si="2"/>
        <v>giftcodesbanner/雪月風花-bar.jpg</v>
      </c>
      <c r="C122" s="57"/>
      <c r="D122" s="57" t="str">
        <f t="shared" si="3"/>
        <v>https://www.ssbuy.tw/detail_giftcode/dist/giftcodes/雪月風花.html</v>
      </c>
      <c r="E122" s="97" t="s">
        <v>3155</v>
      </c>
      <c r="F122" s="110" t="s">
        <v>1710</v>
      </c>
      <c r="G122" s="58" t="s">
        <v>1711</v>
      </c>
      <c r="H122" s="58" t="s">
        <v>1840</v>
      </c>
      <c r="I122" s="57"/>
      <c r="J122" s="97"/>
      <c r="K122" s="100"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8.5" customHeight="1">
      <c r="A123" s="75" t="s">
        <v>1381</v>
      </c>
      <c r="B123" s="57" t="str">
        <f t="shared" si="2"/>
        <v>giftcodesbanner/文明帝國：同盟時代-bar.jpg</v>
      </c>
      <c r="C123" s="57"/>
      <c r="D123" s="57" t="str">
        <f t="shared" si="3"/>
        <v>https://www.ssbuy.tw/detail_giftcode/dist/giftcodes/文明帝國：同盟時代.html</v>
      </c>
      <c r="E123" s="97" t="s">
        <v>3156</v>
      </c>
      <c r="F123" s="110" t="s">
        <v>1710</v>
      </c>
      <c r="G123" s="58" t="s">
        <v>1711</v>
      </c>
      <c r="H123" s="58" t="s">
        <v>2518</v>
      </c>
      <c r="I123" s="57"/>
      <c r="J123" s="97"/>
      <c r="K123" s="101"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8.5" customHeight="1">
      <c r="A124" s="75" t="s">
        <v>1383</v>
      </c>
      <c r="B124" s="57" t="str">
        <f t="shared" si="2"/>
        <v>giftcodesbanner/魔法商店大亨-bar.jpg</v>
      </c>
      <c r="C124" s="57"/>
      <c r="D124" s="57" t="str">
        <f t="shared" si="3"/>
        <v>https://www.ssbuy.tw/detail_giftcode/dist/giftcodes/魔法商店大亨.html</v>
      </c>
      <c r="E124" s="97" t="s">
        <v>2397</v>
      </c>
      <c r="F124" s="110" t="s">
        <v>2368</v>
      </c>
      <c r="G124" s="58" t="s">
        <v>1711</v>
      </c>
      <c r="H124" s="58" t="s">
        <v>1840</v>
      </c>
      <c r="I124" s="57"/>
      <c r="J124" s="97"/>
      <c r="K124" s="98"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8.5" customHeight="1">
      <c r="A125" s="75" t="s">
        <v>1385</v>
      </c>
      <c r="B125" s="57" t="str">
        <f t="shared" si="2"/>
        <v>giftcodesbanner/新仙劍奇俠傳lite-bar.jpg</v>
      </c>
      <c r="C125" s="57"/>
      <c r="D125" s="57" t="str">
        <f t="shared" si="3"/>
        <v>https://www.ssbuy.tw/detail_giftcode/dist/giftcodes/新仙劍奇俠傳lite.html</v>
      </c>
      <c r="E125" s="97" t="s">
        <v>1386</v>
      </c>
      <c r="F125" s="110" t="s">
        <v>1710</v>
      </c>
      <c r="G125" s="58" t="s">
        <v>1711</v>
      </c>
      <c r="H125" s="58" t="s">
        <v>1840</v>
      </c>
      <c r="I125" s="57"/>
      <c r="J125" s="97"/>
      <c r="K125" s="98"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8.5" customHeight="1">
      <c r="A126" s="75" t="s">
        <v>1387</v>
      </c>
      <c r="B126" s="57" t="str">
        <f>"giftcodesbanner/" &amp; A126 &amp; "-bar.jpg"</f>
        <v>giftcodesbanner/神州M-bar.jpg</v>
      </c>
      <c r="C126" s="57"/>
      <c r="D126" s="57" t="str">
        <f t="shared" si="3"/>
        <v>https://www.ssbuy.tw/detail_giftcode/dist/giftcodes/神州M.html</v>
      </c>
      <c r="E126" s="97" t="s">
        <v>3164</v>
      </c>
      <c r="F126" s="110" t="s">
        <v>1710</v>
      </c>
      <c r="G126" s="58" t="s">
        <v>1711</v>
      </c>
      <c r="H126" s="58" t="s">
        <v>1840</v>
      </c>
      <c r="I126" s="57"/>
      <c r="J126" s="97"/>
      <c r="K126" s="98"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8.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7" t="s">
        <v>3166</v>
      </c>
      <c r="F127" s="110" t="s">
        <v>1740</v>
      </c>
      <c r="G127" s="58" t="s">
        <v>1711</v>
      </c>
      <c r="H127" s="58" t="s">
        <v>1840</v>
      </c>
      <c r="I127" s="57"/>
      <c r="J127" s="97"/>
      <c r="K127" s="98"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8.5" customHeight="1">
      <c r="A128" s="75" t="s">
        <v>57</v>
      </c>
      <c r="B128" s="57" t="str">
        <f t="shared" ref="B128:B134" si="4">"giftcodesbanner/" &amp; A128 &amp; "-bar.jpg"</f>
        <v>giftcodesbanner/胡來英雄-bar.jpg</v>
      </c>
      <c r="C128" s="57"/>
      <c r="D128" s="57" t="str">
        <f t="shared" si="3"/>
        <v>https://www.ssbuy.tw/detail_giftcode/dist/giftcodes/胡來英雄.html</v>
      </c>
      <c r="E128" s="112" t="s">
        <v>3177</v>
      </c>
      <c r="F128" s="110" t="s">
        <v>2437</v>
      </c>
      <c r="G128" s="58" t="s">
        <v>1711</v>
      </c>
      <c r="H128" s="58" t="s">
        <v>2518</v>
      </c>
      <c r="I128" s="57"/>
      <c r="J128" s="97"/>
      <c r="K128" s="98"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8.5" customHeight="1">
      <c r="A129" s="75" t="s">
        <v>58</v>
      </c>
      <c r="B129" s="57" t="str">
        <f t="shared" si="4"/>
        <v>giftcodesbanner/一天又一天的RPG-bar.jpg</v>
      </c>
      <c r="C129" s="57"/>
      <c r="D129" s="57" t="str">
        <f t="shared" si="3"/>
        <v>https://www.ssbuy.tw/detail_giftcode/dist/giftcodes/一天又一天的RPG.html</v>
      </c>
      <c r="E129" s="97" t="s">
        <v>3188</v>
      </c>
      <c r="F129" s="110" t="s">
        <v>2437</v>
      </c>
      <c r="G129" s="58" t="s">
        <v>1711</v>
      </c>
      <c r="H129" s="58" t="s">
        <v>1840</v>
      </c>
      <c r="I129" s="57"/>
      <c r="J129" s="97"/>
      <c r="K129" s="98"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8.5" customHeight="1">
      <c r="A130" s="75" t="s">
        <v>59</v>
      </c>
      <c r="B130" s="57" t="str">
        <f t="shared" si="4"/>
        <v>giftcodesbanner/銀與血-bar.jpg</v>
      </c>
      <c r="C130" s="57"/>
      <c r="D130" s="57" t="str">
        <f t="shared" si="3"/>
        <v>https://www.ssbuy.tw/detail_giftcode/dist/giftcodes/銀與血.html</v>
      </c>
      <c r="E130" s="97" t="s">
        <v>2428</v>
      </c>
      <c r="F130" s="110" t="s">
        <v>1710</v>
      </c>
      <c r="G130" s="58" t="s">
        <v>1711</v>
      </c>
      <c r="H130" s="58" t="s">
        <v>1840</v>
      </c>
      <c r="I130" s="57"/>
      <c r="J130" s="97"/>
      <c r="K130" s="98"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8.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7" t="s">
        <v>3198</v>
      </c>
      <c r="F131" s="110" t="s">
        <v>2507</v>
      </c>
      <c r="G131" s="58" t="s">
        <v>1711</v>
      </c>
      <c r="H131" s="58" t="s">
        <v>1840</v>
      </c>
      <c r="I131" s="57"/>
      <c r="J131" s="97"/>
      <c r="K131" s="98"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8.5" customHeight="1">
      <c r="A132" s="75" t="s">
        <v>2431</v>
      </c>
      <c r="B132" s="57" t="str">
        <f t="shared" si="4"/>
        <v>giftcodesbanner/滔湧少女-bar.jpg</v>
      </c>
      <c r="C132" s="57"/>
      <c r="D132" s="57" t="str">
        <f t="shared" si="5"/>
        <v>https://www.ssbuy.tw/detail_giftcode/dist/giftcodes/滔湧少女.html</v>
      </c>
      <c r="E132" s="97" t="s">
        <v>2432</v>
      </c>
      <c r="F132" s="110" t="s">
        <v>2437</v>
      </c>
      <c r="G132" s="58" t="s">
        <v>1711</v>
      </c>
      <c r="H132" s="58" t="s">
        <v>1840</v>
      </c>
      <c r="I132" s="57"/>
      <c r="J132" s="97"/>
      <c r="K132" s="98"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8.5" customHeight="1">
      <c r="A133" s="75" t="s">
        <v>99</v>
      </c>
      <c r="B133" s="57" t="str">
        <f t="shared" si="4"/>
        <v>giftcodesbanner/漫威祕法狂潮-bar.jpg</v>
      </c>
      <c r="C133" s="57"/>
      <c r="D133" s="57" t="str">
        <f t="shared" si="5"/>
        <v>https://www.ssbuy.tw/detail_giftcode/dist/giftcodes/漫威祕法狂潮.html</v>
      </c>
      <c r="E133" s="97" t="s">
        <v>3201</v>
      </c>
      <c r="F133" s="110" t="s">
        <v>2437</v>
      </c>
      <c r="G133" s="58" t="s">
        <v>1711</v>
      </c>
      <c r="H133" s="58" t="s">
        <v>1840</v>
      </c>
      <c r="I133" s="57"/>
      <c r="J133" s="97"/>
      <c r="K133" s="98"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8.5" customHeight="1">
      <c r="A134" s="75" t="s">
        <v>100</v>
      </c>
      <c r="B134" s="57" t="str">
        <f t="shared" si="4"/>
        <v>giftcodesbanner/魔教回歸：2D MMORPG-bar.jpg</v>
      </c>
      <c r="C134" s="57"/>
      <c r="D134" s="57" t="str">
        <f t="shared" si="5"/>
        <v>https://www.ssbuy.tw/detail_giftcode/dist/giftcodes/魔教回歸：2D MMORPG.html</v>
      </c>
      <c r="E134" s="112" t="s">
        <v>2436</v>
      </c>
      <c r="F134" s="110" t="s">
        <v>1710</v>
      </c>
      <c r="G134" s="58" t="s">
        <v>1711</v>
      </c>
      <c r="H134" s="58" t="s">
        <v>1840</v>
      </c>
      <c r="I134" s="57"/>
      <c r="J134" s="97"/>
      <c r="K134" s="98"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8.5" customHeight="1">
      <c r="A135" s="75" t="s">
        <v>122</v>
      </c>
      <c r="B135" s="57"/>
      <c r="C135" s="57" t="str">
        <f>"giftcodesbanner/" &amp; A135 &amp; "-禮包碼.jpg"</f>
        <v>giftcodesbanner/屍戰王朝-禮包碼.jpg</v>
      </c>
      <c r="D135" s="57" t="str">
        <f t="shared" si="5"/>
        <v>https://www.ssbuy.tw/detail_giftcode/dist/giftcodes/屍戰王朝.html</v>
      </c>
      <c r="E135" s="113" t="s">
        <v>3202</v>
      </c>
      <c r="F135" s="110" t="s">
        <v>1710</v>
      </c>
      <c r="G135" s="58" t="s">
        <v>1711</v>
      </c>
      <c r="H135" s="58" t="s">
        <v>1840</v>
      </c>
      <c r="I135" s="57"/>
      <c r="J135" s="97"/>
      <c r="K135" s="100"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8.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3" t="s">
        <v>3204</v>
      </c>
      <c r="F136" s="110" t="s">
        <v>3205</v>
      </c>
      <c r="G136" s="58" t="s">
        <v>1711</v>
      </c>
      <c r="H136" s="58" t="s">
        <v>1840</v>
      </c>
      <c r="I136" s="57"/>
      <c r="J136" s="97"/>
      <c r="K136" s="98" t="s">
        <v>6421</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8.5" customHeight="1">
      <c r="A137" s="75" t="s">
        <v>3210</v>
      </c>
      <c r="B137" s="57"/>
      <c r="C137" s="57" t="str">
        <f t="shared" si="6"/>
        <v>giftcodesbanner/狼少女蘭吉-禮包碼.jpg</v>
      </c>
      <c r="D137" s="57" t="str">
        <f t="shared" si="5"/>
        <v>https://www.ssbuy.tw/detail_giftcode/dist/giftcodes/狼少女蘭吉.html</v>
      </c>
      <c r="E137" s="113" t="s">
        <v>3211</v>
      </c>
      <c r="F137" s="110" t="s">
        <v>1710</v>
      </c>
      <c r="G137" s="58" t="s">
        <v>1711</v>
      </c>
      <c r="H137" s="58" t="s">
        <v>1840</v>
      </c>
      <c r="I137" s="57"/>
      <c r="J137" s="97"/>
      <c r="K137" s="98"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8.5" customHeight="1">
      <c r="A138" s="75" t="s">
        <v>3212</v>
      </c>
      <c r="B138" s="57"/>
      <c r="C138" s="57" t="str">
        <f t="shared" si="6"/>
        <v>giftcodesbanner/RO仙境傳說：曙光-禮包碼.jpg</v>
      </c>
      <c r="D138" s="57" t="str">
        <f t="shared" si="5"/>
        <v>https://www.ssbuy.tw/detail_giftcode/dist/giftcodes/RO仙境傳說：曙光.html</v>
      </c>
      <c r="E138" s="113" t="s">
        <v>3213</v>
      </c>
      <c r="F138" s="110" t="s">
        <v>1710</v>
      </c>
      <c r="G138" s="58" t="s">
        <v>1711</v>
      </c>
      <c r="H138" s="58" t="s">
        <v>2505</v>
      </c>
      <c r="I138" s="57"/>
      <c r="J138" s="97"/>
      <c r="K138" s="98"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8.5" customHeight="1">
      <c r="A139" s="75" t="s">
        <v>124</v>
      </c>
      <c r="B139" s="57"/>
      <c r="C139" s="57" t="str">
        <f t="shared" si="6"/>
        <v>giftcodesbanner/星曲Ultra-禮包碼.jpg</v>
      </c>
      <c r="D139" s="57" t="str">
        <f t="shared" si="5"/>
        <v>https://www.ssbuy.tw/detail_giftcode/dist/giftcodes/星曲Ultra.html</v>
      </c>
      <c r="E139" s="113" t="s">
        <v>3214</v>
      </c>
      <c r="F139" s="110" t="s">
        <v>1710</v>
      </c>
      <c r="G139" s="58" t="s">
        <v>1711</v>
      </c>
      <c r="H139" s="58" t="s">
        <v>1840</v>
      </c>
      <c r="I139" s="57"/>
      <c r="J139" s="97"/>
      <c r="K139" s="98"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8.5" customHeight="1">
      <c r="A140" s="75" t="s">
        <v>166</v>
      </c>
      <c r="B140" s="57"/>
      <c r="C140" s="57" t="str">
        <f t="shared" si="6"/>
        <v>giftcodesbanner/第七天災-禮包碼.jpg</v>
      </c>
      <c r="D140" s="57" t="str">
        <f t="shared" si="5"/>
        <v>https://www.ssbuy.tw/detail_giftcode/dist/giftcodes/第七天災.html</v>
      </c>
      <c r="E140" s="113" t="s">
        <v>3215</v>
      </c>
      <c r="F140" s="110" t="s">
        <v>1710</v>
      </c>
      <c r="G140" s="58" t="s">
        <v>1711</v>
      </c>
      <c r="H140" s="58" t="s">
        <v>1840</v>
      </c>
      <c r="I140" s="57"/>
      <c r="J140" s="97"/>
      <c r="K140" s="98"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8.5" customHeight="1">
      <c r="A141" s="75" t="s">
        <v>2487</v>
      </c>
      <c r="B141" s="57"/>
      <c r="C141" s="57" t="str">
        <f t="shared" si="6"/>
        <v>giftcodesbanner/百萬神界-禮包碼.jpg</v>
      </c>
      <c r="D141" s="57" t="str">
        <f t="shared" si="5"/>
        <v>https://www.ssbuy.tw/detail_giftcode/dist/giftcodes/百萬神界.html</v>
      </c>
      <c r="E141" s="113" t="s">
        <v>2488</v>
      </c>
      <c r="F141" s="110" t="s">
        <v>1710</v>
      </c>
      <c r="G141" s="58" t="s">
        <v>1711</v>
      </c>
      <c r="H141" s="58" t="s">
        <v>2505</v>
      </c>
      <c r="I141" s="57"/>
      <c r="J141" s="97"/>
      <c r="K141" s="99"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8.5" customHeight="1">
      <c r="A142" s="75" t="s">
        <v>167</v>
      </c>
      <c r="B142" s="57"/>
      <c r="C142" s="57" t="str">
        <f t="shared" si="6"/>
        <v>giftcodesbanner/Dark war-禮包碼.jpg</v>
      </c>
      <c r="D142" s="57" t="str">
        <f t="shared" si="5"/>
        <v>https://www.ssbuy.tw/detail_giftcode/dist/giftcodes/Dark war.html</v>
      </c>
      <c r="E142" s="113" t="s">
        <v>3225</v>
      </c>
      <c r="F142" s="110" t="s">
        <v>1710</v>
      </c>
      <c r="G142" s="58" t="s">
        <v>1711</v>
      </c>
      <c r="H142" s="58" t="s">
        <v>2505</v>
      </c>
      <c r="I142" s="57"/>
      <c r="J142" s="97"/>
      <c r="K142" s="98"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8.5" customHeight="1">
      <c r="A143" s="62" t="s">
        <v>2506</v>
      </c>
      <c r="B143" s="57"/>
      <c r="C143" s="57" t="str">
        <f t="shared" si="6"/>
        <v>giftcodesbanner/美男惡徒-禮包碼.jpg</v>
      </c>
      <c r="D143" s="57" t="str">
        <f t="shared" si="5"/>
        <v>https://www.ssbuy.tw/detail_giftcode/dist/giftcodes/美男惡徒.html</v>
      </c>
      <c r="E143" s="112" t="s">
        <v>3226</v>
      </c>
      <c r="F143" s="110" t="s">
        <v>1710</v>
      </c>
      <c r="G143" s="58" t="s">
        <v>1711</v>
      </c>
      <c r="H143" s="58" t="s">
        <v>1840</v>
      </c>
      <c r="I143" s="57"/>
      <c r="J143" s="97"/>
      <c r="K143" s="98"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8.5" customHeight="1">
      <c r="A144" s="73" t="s">
        <v>197</v>
      </c>
      <c r="B144" s="57"/>
      <c r="C144" s="57" t="str">
        <f t="shared" si="6"/>
        <v>giftcodesbanner/三國冰河時代-禮包碼.jpg</v>
      </c>
      <c r="D144" s="57" t="str">
        <f t="shared" si="5"/>
        <v>https://www.ssbuy.tw/detail_giftcode/dist/giftcodes/三國冰河時代.html</v>
      </c>
      <c r="E144" s="97" t="s">
        <v>3231</v>
      </c>
      <c r="F144" s="110" t="s">
        <v>1710</v>
      </c>
      <c r="G144" s="58" t="s">
        <v>1711</v>
      </c>
      <c r="H144" s="58" t="s">
        <v>1840</v>
      </c>
      <c r="I144" s="57"/>
      <c r="J144" s="97"/>
      <c r="K144" s="98"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8.5" customHeight="1">
      <c r="A145" s="75" t="s">
        <v>198</v>
      </c>
      <c r="B145" s="57"/>
      <c r="C145" s="57" t="str">
        <f t="shared" si="6"/>
        <v>giftcodesbanner/暗黑崛起-禮包碼.jpg</v>
      </c>
      <c r="D145" s="57" t="str">
        <f t="shared" si="5"/>
        <v>https://www.ssbuy.tw/detail_giftcode/dist/giftcodes/暗黑崛起.html</v>
      </c>
      <c r="E145" s="112" t="s">
        <v>2517</v>
      </c>
      <c r="F145" s="110" t="s">
        <v>2437</v>
      </c>
      <c r="G145" s="58" t="s">
        <v>1711</v>
      </c>
      <c r="H145" s="58" t="s">
        <v>1840</v>
      </c>
      <c r="I145" s="57"/>
      <c r="J145" s="97"/>
      <c r="K145" s="98"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8.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2" t="s">
        <v>3236</v>
      </c>
      <c r="F146" s="110" t="s">
        <v>1710</v>
      </c>
      <c r="G146" s="58" t="s">
        <v>1711</v>
      </c>
      <c r="H146" s="58" t="s">
        <v>2505</v>
      </c>
      <c r="I146" s="57"/>
      <c r="J146" s="97"/>
      <c r="K146" s="98"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8.5" customHeight="1">
      <c r="A147" s="73" t="s">
        <v>3238</v>
      </c>
      <c r="B147" s="57"/>
      <c r="C147" s="57" t="str">
        <f t="shared" si="6"/>
        <v>giftcodesbanner/極速漂移：3V3-禮包碼.jpg</v>
      </c>
      <c r="D147" s="57" t="str">
        <f t="shared" si="5"/>
        <v>https://www.ssbuy.tw/detail_giftcode/dist/giftcodes/極速漂移：3V3.html</v>
      </c>
      <c r="E147" s="97" t="s">
        <v>3239</v>
      </c>
      <c r="F147" s="110" t="s">
        <v>1710</v>
      </c>
      <c r="G147" s="58" t="s">
        <v>1711</v>
      </c>
      <c r="H147" s="58" t="s">
        <v>1840</v>
      </c>
      <c r="I147" s="57"/>
      <c r="J147" s="97"/>
      <c r="K147" s="98"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8.5" customHeight="1">
      <c r="A148" s="75" t="s">
        <v>228</v>
      </c>
      <c r="B148" s="57"/>
      <c r="C148" s="57" t="str">
        <f t="shared" si="6"/>
        <v>giftcodesbanner/斗羅大陸：獵魂世界-禮包碼.jpg</v>
      </c>
      <c r="D148" s="57" t="str">
        <f t="shared" si="5"/>
        <v>https://www.ssbuy.tw/detail_giftcode/dist/giftcodes/斗羅大陸：獵魂世界.html</v>
      </c>
      <c r="E148" s="112" t="s">
        <v>3240</v>
      </c>
      <c r="F148" s="110" t="s">
        <v>3205</v>
      </c>
      <c r="G148" s="58" t="s">
        <v>1711</v>
      </c>
      <c r="H148" s="58" t="s">
        <v>1840</v>
      </c>
      <c r="I148" s="57"/>
      <c r="J148" s="97"/>
      <c r="K148" s="98"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8.5" customHeight="1">
      <c r="A149" s="75" t="s">
        <v>229</v>
      </c>
      <c r="B149" s="57"/>
      <c r="C149" s="57" t="str">
        <f t="shared" si="6"/>
        <v>giftcodesbanner/指點兵兵-禮包碼.jpg</v>
      </c>
      <c r="D149" s="57" t="str">
        <f t="shared" si="5"/>
        <v>https://www.ssbuy.tw/detail_giftcode/dist/giftcodes/指點兵兵.html</v>
      </c>
      <c r="E149" s="112" t="s">
        <v>3250</v>
      </c>
      <c r="F149" s="110" t="s">
        <v>2437</v>
      </c>
      <c r="G149" s="58" t="s">
        <v>1711</v>
      </c>
      <c r="H149" s="58" t="s">
        <v>1840</v>
      </c>
      <c r="I149" s="57"/>
      <c r="J149" s="97"/>
      <c r="K149" s="98"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8.5" customHeight="1">
      <c r="A150" s="75" t="s">
        <v>241</v>
      </c>
      <c r="B150" s="57"/>
      <c r="C150" s="57" t="str">
        <f t="shared" si="6"/>
        <v>giftcodesbanner/變身傳奇-禮包碼.jpg</v>
      </c>
      <c r="D150" s="57" t="str">
        <f t="shared" si="5"/>
        <v>https://www.ssbuy.tw/detail_giftcode/dist/giftcodes/變身傳奇.html</v>
      </c>
      <c r="E150" s="97" t="s">
        <v>2522</v>
      </c>
      <c r="F150" s="110" t="s">
        <v>1710</v>
      </c>
      <c r="G150" s="58" t="s">
        <v>1711</v>
      </c>
      <c r="H150" s="58" t="s">
        <v>1840</v>
      </c>
      <c r="I150" s="57"/>
      <c r="J150" s="97"/>
      <c r="K150" s="98"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8.5" customHeight="1">
      <c r="A151" s="75" t="s">
        <v>242</v>
      </c>
      <c r="B151" s="57"/>
      <c r="C151" s="57" t="str">
        <f t="shared" si="6"/>
        <v>giftcodesbanner/Blue eyes：公會大師-禮包碼.jpg</v>
      </c>
      <c r="D151" s="57" t="str">
        <f t="shared" si="5"/>
        <v>https://www.ssbuy.tw/detail_giftcode/dist/giftcodes/Blue eyes：公會大師.html</v>
      </c>
      <c r="E151" s="112" t="s">
        <v>3253</v>
      </c>
      <c r="F151" s="110" t="s">
        <v>3254</v>
      </c>
      <c r="G151" s="58" t="s">
        <v>3255</v>
      </c>
      <c r="H151" s="58" t="s">
        <v>3256</v>
      </c>
      <c r="I151" s="57" t="s">
        <v>2525</v>
      </c>
      <c r="J151" s="97" t="s">
        <v>2526</v>
      </c>
      <c r="K151" s="99"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8.5" customHeight="1">
      <c r="A152" s="73" t="s">
        <v>2527</v>
      </c>
      <c r="B152" s="57"/>
      <c r="C152" s="57" t="str">
        <f t="shared" si="6"/>
        <v>giftcodesbanner/杖劍傳說：坎斯汀之約-禮包碼.jpg</v>
      </c>
      <c r="D152" s="57" t="str">
        <f t="shared" si="5"/>
        <v>https://www.ssbuy.tw/detail_giftcode/dist/giftcodes/杖劍傳說：坎斯汀之約.html</v>
      </c>
      <c r="E152" s="112" t="s">
        <v>3259</v>
      </c>
      <c r="F152" s="114" t="s">
        <v>2528</v>
      </c>
      <c r="G152" s="57" t="s">
        <v>2529</v>
      </c>
      <c r="H152" s="57" t="s">
        <v>3260</v>
      </c>
      <c r="I152" s="57" t="s">
        <v>3261</v>
      </c>
      <c r="J152" s="97"/>
      <c r="K152" s="98"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8.5" customHeight="1">
      <c r="A153" s="73" t="s">
        <v>3277</v>
      </c>
      <c r="B153" s="57"/>
      <c r="C153" s="57" t="str">
        <f t="shared" si="6"/>
        <v>giftcodesbanner/超級海戰：紀元崛起-禮包碼.jpg</v>
      </c>
      <c r="D153" s="57" t="str">
        <f t="shared" si="5"/>
        <v>https://www.ssbuy.tw/detail_giftcode/dist/giftcodes/超級海戰：紀元崛起.html</v>
      </c>
      <c r="E153" s="112" t="s">
        <v>3278</v>
      </c>
      <c r="F153" s="114" t="s">
        <v>2534</v>
      </c>
      <c r="G153" s="57" t="s">
        <v>2535</v>
      </c>
      <c r="H153" s="57" t="s">
        <v>3279</v>
      </c>
      <c r="I153" s="57"/>
      <c r="J153" s="97"/>
      <c r="K153" s="98"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8.5" customHeight="1">
      <c r="A154" s="73" t="s">
        <v>2537</v>
      </c>
      <c r="B154" s="57"/>
      <c r="C154" s="57" t="str">
        <f t="shared" si="6"/>
        <v>giftcodesbanner/進擊的惡魔團-禮包碼.jpg</v>
      </c>
      <c r="D154" s="57" t="str">
        <f t="shared" si="5"/>
        <v>https://www.ssbuy.tw/detail_giftcode/dist/giftcodes/進擊的惡魔團.html</v>
      </c>
      <c r="E154" s="112" t="s">
        <v>3286</v>
      </c>
      <c r="F154" s="114" t="s">
        <v>3287</v>
      </c>
      <c r="G154" s="57" t="s">
        <v>3288</v>
      </c>
      <c r="H154" s="57" t="s">
        <v>3289</v>
      </c>
      <c r="I154" s="57" t="s">
        <v>3290</v>
      </c>
      <c r="J154" s="97"/>
      <c r="K154" s="98"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8.5" customHeight="1">
      <c r="A155" s="75" t="s">
        <v>3298</v>
      </c>
      <c r="B155" s="57"/>
      <c r="C155" s="57" t="str">
        <f t="shared" si="6"/>
        <v>giftcodesbanner/蝕影：緋之契-禮包碼.jpg</v>
      </c>
      <c r="D155" s="57" t="str">
        <f t="shared" si="5"/>
        <v>https://www.ssbuy.tw/detail_giftcode/dist/giftcodes/蝕影：緋之契.html</v>
      </c>
      <c r="E155" s="97" t="s">
        <v>3299</v>
      </c>
      <c r="F155" s="114" t="s">
        <v>3300</v>
      </c>
      <c r="G155" s="57" t="s">
        <v>2541</v>
      </c>
      <c r="H155" s="57" t="s">
        <v>3301</v>
      </c>
      <c r="I155" s="57"/>
      <c r="J155" s="97"/>
      <c r="K155" s="99"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8.5" customHeight="1">
      <c r="A156" s="75" t="s">
        <v>305</v>
      </c>
      <c r="B156" s="57"/>
      <c r="C156" s="57" t="str">
        <f t="shared" si="6"/>
        <v>giftcodesbanner/RO：Crush-禮包碼.jpg</v>
      </c>
      <c r="D156" s="57" t="str">
        <f t="shared" si="5"/>
        <v>https://www.ssbuy.tw/detail_giftcode/dist/giftcodes/RO：Crush.html</v>
      </c>
      <c r="E156" s="97" t="s">
        <v>3302</v>
      </c>
      <c r="F156" s="114" t="s">
        <v>3303</v>
      </c>
      <c r="G156" s="57" t="s">
        <v>3304</v>
      </c>
      <c r="H156" s="57" t="s">
        <v>3305</v>
      </c>
      <c r="I156" s="57"/>
      <c r="J156" s="97"/>
      <c r="K156" s="98"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8.5" customHeight="1">
      <c r="A157" s="75" t="s">
        <v>323</v>
      </c>
      <c r="B157" s="57"/>
      <c r="C157" s="57" t="str">
        <f t="shared" si="6"/>
        <v>giftcodesbanner/溯回青空-禮包碼.jpg</v>
      </c>
      <c r="D157" s="57" t="str">
        <f t="shared" si="5"/>
        <v>https://www.ssbuy.tw/detail_giftcode/dist/giftcodes/溯回青空.html</v>
      </c>
      <c r="E157" s="115" t="s">
        <v>2547</v>
      </c>
      <c r="F157" s="114" t="s">
        <v>2548</v>
      </c>
      <c r="G157" s="77" t="s">
        <v>2549</v>
      </c>
      <c r="H157" s="57"/>
      <c r="I157" s="57"/>
      <c r="J157" s="97"/>
      <c r="K157" s="98"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8.5" customHeight="1">
      <c r="A158" s="75" t="s">
        <v>324</v>
      </c>
      <c r="B158" s="57"/>
      <c r="C158" s="57" t="str">
        <f t="shared" si="6"/>
        <v>giftcodesbanner/蒼之啟示錄-禮包碼.jpg</v>
      </c>
      <c r="D158" s="57" t="str">
        <f t="shared" si="5"/>
        <v>https://www.ssbuy.tw/detail_giftcode/dist/giftcodes/蒼之啟示錄.html</v>
      </c>
      <c r="E158" s="115" t="s">
        <v>3314</v>
      </c>
      <c r="F158" s="114" t="s">
        <v>2459</v>
      </c>
      <c r="G158" s="57" t="s">
        <v>2459</v>
      </c>
      <c r="H158" s="57" t="s">
        <v>2459</v>
      </c>
      <c r="I158" s="57"/>
      <c r="J158" s="97"/>
      <c r="K158" s="98"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8.5" customHeight="1">
      <c r="A159" s="75" t="s">
        <v>325</v>
      </c>
      <c r="B159" s="57"/>
      <c r="C159" s="57" t="str">
        <f t="shared" si="6"/>
        <v>giftcodesbanner/第六絕區-禮包碼.jpg</v>
      </c>
      <c r="D159" s="57" t="str">
        <f t="shared" si="5"/>
        <v>https://www.ssbuy.tw/detail_giftcode/dist/giftcodes/第六絕區.html</v>
      </c>
      <c r="E159" s="115" t="s">
        <v>3315</v>
      </c>
      <c r="F159" s="114" t="s">
        <v>3316</v>
      </c>
      <c r="G159" s="57" t="s">
        <v>3317</v>
      </c>
      <c r="H159" s="57" t="s">
        <v>2550</v>
      </c>
      <c r="I159" s="57" t="s">
        <v>3318</v>
      </c>
      <c r="J159" s="97"/>
      <c r="K159" s="98"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8.5" customHeight="1">
      <c r="A160" s="75" t="s">
        <v>3323</v>
      </c>
      <c r="B160" s="57"/>
      <c r="C160" s="57" t="str">
        <f t="shared" si="6"/>
        <v>giftcodesbanner/MO.CO-禮包碼.jpg</v>
      </c>
      <c r="D160" s="57" t="str">
        <f t="shared" si="5"/>
        <v>https://www.ssbuy.tw/detail_giftcode/dist/giftcodes/MO.CO.html</v>
      </c>
      <c r="E160" s="115" t="s">
        <v>3324</v>
      </c>
      <c r="F160" s="114" t="s">
        <v>2459</v>
      </c>
      <c r="G160" s="57" t="s">
        <v>2459</v>
      </c>
      <c r="H160" s="57" t="s">
        <v>2459</v>
      </c>
      <c r="I160" s="57"/>
      <c r="J160" s="97"/>
      <c r="K160" s="98"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8.5" customHeight="1">
      <c r="A161" s="75" t="s">
        <v>326</v>
      </c>
      <c r="B161" s="57"/>
      <c r="C161" s="57" t="str">
        <f t="shared" si="6"/>
        <v>giftcodesbanner/幻世三國：一騎當千-禮包碼.jpg</v>
      </c>
      <c r="D161" s="57" t="str">
        <f t="shared" si="5"/>
        <v>https://www.ssbuy.tw/detail_giftcode/dist/giftcodes/幻世三國：一騎當千.html</v>
      </c>
      <c r="E161" s="115" t="s">
        <v>2551</v>
      </c>
      <c r="F161" s="114" t="s">
        <v>2459</v>
      </c>
      <c r="G161" s="57" t="s">
        <v>2459</v>
      </c>
      <c r="H161" s="57" t="s">
        <v>2459</v>
      </c>
      <c r="I161" s="57"/>
      <c r="J161" s="97"/>
      <c r="K161" s="98"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8.5" customHeight="1">
      <c r="A162" s="75" t="s">
        <v>1448</v>
      </c>
      <c r="B162" s="57"/>
      <c r="C162" s="57" t="str">
        <f t="shared" si="6"/>
        <v>giftcodesbanner/小兵立大功-禮包碼.jpg</v>
      </c>
      <c r="D162" s="57" t="str">
        <f t="shared" si="5"/>
        <v>https://www.ssbuy.tw/detail_giftcode/dist/giftcodes/小兵立大功.html</v>
      </c>
      <c r="E162" s="115" t="s">
        <v>3325</v>
      </c>
      <c r="F162" s="114" t="s">
        <v>2471</v>
      </c>
      <c r="G162" s="57" t="s">
        <v>2459</v>
      </c>
      <c r="H162" s="57" t="s">
        <v>2459</v>
      </c>
      <c r="I162" s="57" t="s">
        <v>2459</v>
      </c>
      <c r="J162" s="97"/>
      <c r="K162" s="98"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8.5" customHeight="1">
      <c r="A163" s="75" t="s">
        <v>1449</v>
      </c>
      <c r="B163" s="57"/>
      <c r="C163" s="57" t="str">
        <f t="shared" si="6"/>
        <v>giftcodesbanner/像素全明星-禮包碼.jpg</v>
      </c>
      <c r="D163" s="57" t="str">
        <f t="shared" si="5"/>
        <v>https://www.ssbuy.tw/detail_giftcode/dist/giftcodes/像素全明星.html</v>
      </c>
      <c r="E163" s="115" t="s">
        <v>2552</v>
      </c>
      <c r="F163" s="114" t="s">
        <v>2459</v>
      </c>
      <c r="G163" s="57" t="s">
        <v>2471</v>
      </c>
      <c r="H163" s="57" t="s">
        <v>2459</v>
      </c>
      <c r="I163" s="57" t="s">
        <v>2471</v>
      </c>
      <c r="J163" s="97"/>
      <c r="K163" s="98"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8.5" customHeight="1">
      <c r="A164" s="75" t="s">
        <v>1464</v>
      </c>
      <c r="B164" s="57"/>
      <c r="C164" s="57" t="str">
        <f t="shared" si="6"/>
        <v>giftcodesbanner/浣熊傳說-禮包碼.jpg</v>
      </c>
      <c r="D164" s="57" t="str">
        <f t="shared" si="5"/>
        <v>https://www.ssbuy.tw/detail_giftcode/dist/giftcodes/浣熊傳說.html</v>
      </c>
      <c r="E164" s="112" t="s">
        <v>2553</v>
      </c>
      <c r="F164" s="114" t="s">
        <v>3326</v>
      </c>
      <c r="G164" s="57" t="s">
        <v>3327</v>
      </c>
      <c r="H164" s="57" t="s">
        <v>3328</v>
      </c>
      <c r="I164" s="57"/>
      <c r="J164" s="97"/>
      <c r="K164" s="98"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8.5" customHeight="1">
      <c r="A165" s="75" t="s">
        <v>1465</v>
      </c>
      <c r="B165" s="57"/>
      <c r="C165" s="57" t="str">
        <f t="shared" si="6"/>
        <v>giftcodesbanner/勇者格鬥城-禮包碼.jpg</v>
      </c>
      <c r="D165" s="57" t="str">
        <f t="shared" si="5"/>
        <v>https://www.ssbuy.tw/detail_giftcode/dist/giftcodes/勇者格鬥城.html</v>
      </c>
      <c r="E165" s="112" t="s">
        <v>3334</v>
      </c>
      <c r="F165" s="114" t="s">
        <v>2459</v>
      </c>
      <c r="G165" s="57" t="s">
        <v>3237</v>
      </c>
      <c r="H165" s="57" t="s">
        <v>2459</v>
      </c>
      <c r="I165" s="57" t="s">
        <v>2459</v>
      </c>
      <c r="J165" s="97"/>
      <c r="K165" s="98"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8.5" customHeight="1">
      <c r="A166" s="75" t="s">
        <v>3335</v>
      </c>
      <c r="B166" s="57"/>
      <c r="C166" s="57" t="str">
        <f t="shared" si="6"/>
        <v>giftcodesbanner/龐寶：背包英雄們-禮包碼.jpg</v>
      </c>
      <c r="D166" s="57" t="str">
        <f t="shared" si="5"/>
        <v>https://www.ssbuy.tw/detail_giftcode/dist/giftcodes/龐寶：背包英雄們.html</v>
      </c>
      <c r="E166" s="112" t="s">
        <v>2556</v>
      </c>
      <c r="F166" s="114" t="s">
        <v>2459</v>
      </c>
      <c r="G166" s="57" t="s">
        <v>2471</v>
      </c>
      <c r="H166" s="57" t="s">
        <v>2459</v>
      </c>
      <c r="I166" s="57" t="s">
        <v>2459</v>
      </c>
      <c r="J166" s="97"/>
      <c r="K166" s="98"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8.5" customHeight="1">
      <c r="A167" s="75" t="s">
        <v>1473</v>
      </c>
      <c r="B167" s="57"/>
      <c r="C167" s="57" t="str">
        <f t="shared" si="6"/>
        <v>giftcodesbanner/星耀球會-禮包碼.jpg</v>
      </c>
      <c r="D167" s="57" t="str">
        <f t="shared" si="5"/>
        <v>https://www.ssbuy.tw/detail_giftcode/dist/giftcodes/星耀球會.html</v>
      </c>
      <c r="E167" s="112" t="s">
        <v>2557</v>
      </c>
      <c r="F167" s="114" t="s">
        <v>2558</v>
      </c>
      <c r="G167" s="57" t="s">
        <v>3336</v>
      </c>
      <c r="H167" s="57" t="s">
        <v>2559</v>
      </c>
      <c r="I167" s="57"/>
      <c r="J167" s="97"/>
      <c r="K167" s="98"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8.5" customHeight="1">
      <c r="A168" s="73" t="s">
        <v>1485</v>
      </c>
      <c r="B168" s="57"/>
      <c r="C168" s="57" t="str">
        <f t="shared" si="6"/>
        <v>giftcodesbanner/東方幻想ECLIPSE-禮包碼.jpg</v>
      </c>
      <c r="D168" s="57" t="str">
        <f t="shared" si="5"/>
        <v>https://www.ssbuy.tw/detail_giftcode/dist/giftcodes/東方幻想ECLIPSE.html</v>
      </c>
      <c r="E168" s="97" t="s">
        <v>3344</v>
      </c>
      <c r="F168" s="114" t="s">
        <v>3345</v>
      </c>
      <c r="G168" s="57" t="s">
        <v>2561</v>
      </c>
      <c r="H168" s="57" t="s">
        <v>3346</v>
      </c>
      <c r="I168" s="57"/>
      <c r="J168" s="97"/>
      <c r="K168" s="98"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8.5" customHeight="1">
      <c r="A169" s="75" t="s">
        <v>1495</v>
      </c>
      <c r="B169" s="57"/>
      <c r="C169" s="57" t="str">
        <f t="shared" si="6"/>
        <v>giftcodesbanner/世紀帝國M-禮包碼.jpg</v>
      </c>
      <c r="D169" s="57" t="str">
        <f t="shared" si="5"/>
        <v>https://www.ssbuy.tw/detail_giftcode/dist/giftcodes/世紀帝國M.html</v>
      </c>
      <c r="E169" s="97" t="s">
        <v>2564</v>
      </c>
      <c r="F169" s="114" t="s">
        <v>3349</v>
      </c>
      <c r="G169" s="57" t="s">
        <v>3350</v>
      </c>
      <c r="H169" s="57" t="s">
        <v>2565</v>
      </c>
      <c r="I169" s="57"/>
      <c r="J169" s="97"/>
      <c r="K169" s="98"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8.5" customHeight="1">
      <c r="A170" s="75" t="s">
        <v>1496</v>
      </c>
      <c r="B170" s="57"/>
      <c r="C170" s="57" t="str">
        <f t="shared" si="6"/>
        <v>giftcodesbanner/歐啦!守得豬-禮包碼.jpg</v>
      </c>
      <c r="D170" s="57" t="str">
        <f t="shared" si="5"/>
        <v>https://www.ssbuy.tw/detail_giftcode/dist/giftcodes/歐啦!守得豬.html</v>
      </c>
      <c r="E170" s="97" t="s">
        <v>3366</v>
      </c>
      <c r="F170" s="114" t="s">
        <v>3367</v>
      </c>
      <c r="G170" s="57" t="s">
        <v>2574</v>
      </c>
      <c r="H170" s="57" t="s">
        <v>2575</v>
      </c>
      <c r="I170" s="57"/>
      <c r="J170" s="97"/>
      <c r="K170" s="98"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8.5" customHeight="1">
      <c r="A171" s="75" t="s">
        <v>3372</v>
      </c>
      <c r="B171" s="57"/>
      <c r="C171" s="57" t="str">
        <f t="shared" si="6"/>
        <v>giftcodesbanner/18櫻花幕府-禮包碼.jpg</v>
      </c>
      <c r="D171" s="57" t="str">
        <f t="shared" si="5"/>
        <v>https://www.ssbuy.tw/detail_giftcode/dist/giftcodes/game-18櫻花幕府.html</v>
      </c>
      <c r="E171" s="112" t="s">
        <v>2581</v>
      </c>
      <c r="F171" s="114" t="s">
        <v>2582</v>
      </c>
      <c r="G171" s="57" t="s">
        <v>3373</v>
      </c>
      <c r="H171" s="57" t="s">
        <v>2599</v>
      </c>
      <c r="I171" s="57"/>
      <c r="J171" s="97"/>
      <c r="K171" s="98"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8.5" customHeight="1">
      <c r="A172" s="75" t="s">
        <v>2583</v>
      </c>
      <c r="B172" s="57"/>
      <c r="C172" s="57" t="str">
        <f t="shared" si="6"/>
        <v>giftcodesbanner/大武道-禮包碼.jpg</v>
      </c>
      <c r="D172" s="57" t="str">
        <f t="shared" si="5"/>
        <v>https://www.ssbuy.tw/detail_giftcode/dist/giftcodes/大武道.html</v>
      </c>
      <c r="E172" s="112" t="s">
        <v>1526</v>
      </c>
      <c r="F172" s="114" t="s">
        <v>2582</v>
      </c>
      <c r="G172" s="57" t="s">
        <v>3378</v>
      </c>
      <c r="H172" s="57" t="s">
        <v>3379</v>
      </c>
      <c r="I172" s="57"/>
      <c r="J172" s="97"/>
      <c r="K172" s="99"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8.5" customHeight="1">
      <c r="A173" s="78" t="s">
        <v>4587</v>
      </c>
      <c r="B173" s="57"/>
      <c r="C173" s="57" t="str">
        <f t="shared" si="6"/>
        <v>giftcodesbanner/奇蹟MU：暴走之翼-禮包碼.jpg</v>
      </c>
      <c r="D173" s="57" t="str">
        <f t="shared" si="5"/>
        <v>https://www.ssbuy.tw/detail_giftcode/dist/giftcodes/奇蹟MU：暴走之翼.html</v>
      </c>
      <c r="E173" s="115" t="s">
        <v>4588</v>
      </c>
      <c r="F173" s="114" t="s">
        <v>2598</v>
      </c>
      <c r="G173" s="57" t="s">
        <v>3383</v>
      </c>
      <c r="H173" s="57" t="s">
        <v>2599</v>
      </c>
      <c r="I173" s="57" t="s">
        <v>2600</v>
      </c>
      <c r="J173" s="97"/>
      <c r="K173" s="98"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8.5" customHeight="1">
      <c r="A174" s="79" t="s">
        <v>2604</v>
      </c>
      <c r="B174" s="57"/>
      <c r="C174" s="57" t="str">
        <f t="shared" si="6"/>
        <v>giftcodesbanner/劍太傳說：新的開始-禮包碼.jpg</v>
      </c>
      <c r="D174" s="57" t="str">
        <f t="shared" si="5"/>
        <v>https://www.ssbuy.tw/detail_giftcode/dist/giftcodes/劍太傳說：新的開始.html</v>
      </c>
      <c r="E174" s="97" t="s">
        <v>2605</v>
      </c>
      <c r="F174" s="114" t="s">
        <v>3396</v>
      </c>
      <c r="G174" s="57" t="s">
        <v>3397</v>
      </c>
      <c r="H174" s="57" t="s">
        <v>3398</v>
      </c>
      <c r="I174" s="57" t="s">
        <v>3399</v>
      </c>
      <c r="J174" s="97"/>
      <c r="K174" s="98"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8.5" customHeight="1">
      <c r="A175" s="79" t="s">
        <v>3404</v>
      </c>
      <c r="B175" s="57"/>
      <c r="C175" s="57" t="str">
        <f t="shared" si="6"/>
        <v>giftcodesbanner/三國。群英燎原-禮包碼.jpg</v>
      </c>
      <c r="D175" s="57" t="str">
        <f t="shared" si="5"/>
        <v>https://www.ssbuy.tw/detail_giftcode/dist/giftcodes/三國。群英燎原.html</v>
      </c>
      <c r="E175" s="97" t="s">
        <v>3405</v>
      </c>
      <c r="F175" s="114" t="s">
        <v>3406</v>
      </c>
      <c r="G175" s="57" t="s">
        <v>3407</v>
      </c>
      <c r="H175" s="57" t="s">
        <v>3408</v>
      </c>
      <c r="I175" s="57" t="s">
        <v>2608</v>
      </c>
      <c r="J175" s="97"/>
      <c r="K175" s="98"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8.5" customHeight="1">
      <c r="A176" s="79" t="s">
        <v>1532</v>
      </c>
      <c r="B176" s="57"/>
      <c r="C176" s="57" t="str">
        <f t="shared" si="6"/>
        <v>giftcodesbanner/Final War：寒霜前線-禮包碼.jpg</v>
      </c>
      <c r="D176" s="57" t="str">
        <f t="shared" si="5"/>
        <v>https://www.ssbuy.tw/detail_giftcode/dist/giftcodes/Final War：寒霜前線.html</v>
      </c>
      <c r="E176" s="97" t="s">
        <v>2611</v>
      </c>
      <c r="F176" s="114" t="s">
        <v>2459</v>
      </c>
      <c r="G176" s="57" t="s">
        <v>2459</v>
      </c>
      <c r="H176" s="57"/>
      <c r="I176" s="57"/>
      <c r="J176" s="97"/>
      <c r="K176" s="98"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8.5" customHeight="1">
      <c r="A177" s="79" t="s">
        <v>2612</v>
      </c>
      <c r="B177" s="57"/>
      <c r="C177" s="57" t="str">
        <f t="shared" si="6"/>
        <v>giftcodesbanner/黑夜獵人-禮包碼.jpg</v>
      </c>
      <c r="D177" s="57" t="str">
        <f t="shared" si="5"/>
        <v>https://www.ssbuy.tw/detail_giftcode/dist/giftcodes/黑夜獵人.html</v>
      </c>
      <c r="E177" s="97" t="s">
        <v>3415</v>
      </c>
      <c r="F177" s="114" t="s">
        <v>2613</v>
      </c>
      <c r="G177" s="57" t="s">
        <v>3416</v>
      </c>
      <c r="H177" s="57" t="s">
        <v>3417</v>
      </c>
      <c r="I177" s="57" t="s">
        <v>2614</v>
      </c>
      <c r="J177" s="97"/>
      <c r="K177" s="98"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8.5" customHeight="1">
      <c r="A178" s="56" t="s">
        <v>3418</v>
      </c>
      <c r="B178" s="57"/>
      <c r="C178" s="57" t="str">
        <f t="shared" si="6"/>
        <v>giftcodesbanner/魔法黯道-禮包碼.jpg</v>
      </c>
      <c r="D178" s="57" t="str">
        <f t="shared" si="5"/>
        <v>https://www.ssbuy.tw/detail_giftcode/dist/giftcodes/魔法黯道.html</v>
      </c>
      <c r="E178" s="102" t="s">
        <v>4001</v>
      </c>
      <c r="F178" s="114" t="s">
        <v>2615</v>
      </c>
      <c r="G178" s="57" t="s">
        <v>3419</v>
      </c>
      <c r="H178" s="57" t="s">
        <v>3420</v>
      </c>
      <c r="I178" s="57"/>
      <c r="J178" s="97"/>
      <c r="K178" s="98"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8.5" customHeight="1">
      <c r="A179" s="73" t="s">
        <v>3428</v>
      </c>
      <c r="B179" s="57"/>
      <c r="C179" s="57" t="str">
        <f t="shared" si="6"/>
        <v>giftcodesbanner/神代紀事-禮包碼.jpg</v>
      </c>
      <c r="D179" s="57" t="str">
        <f t="shared" si="5"/>
        <v>https://www.ssbuy.tw/detail_giftcode/dist/giftcodes/神代紀事.html</v>
      </c>
      <c r="E179" s="97" t="s">
        <v>3429</v>
      </c>
      <c r="F179" s="114" t="s">
        <v>2459</v>
      </c>
      <c r="G179" s="57" t="s">
        <v>2471</v>
      </c>
      <c r="H179" s="57" t="s">
        <v>2471</v>
      </c>
      <c r="I179" s="57" t="s">
        <v>2459</v>
      </c>
      <c r="J179" s="97"/>
      <c r="K179" s="98"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8.5" customHeight="1">
      <c r="A180" s="56" t="s">
        <v>3430</v>
      </c>
      <c r="B180" s="57"/>
      <c r="C180" s="57" t="str">
        <f t="shared" si="6"/>
        <v>giftcodesbanner/天命國度-禮包碼.jpg</v>
      </c>
      <c r="D180" s="57" t="str">
        <f t="shared" si="5"/>
        <v>https://www.ssbuy.tw/detail_giftcode/dist/giftcodes/天命國度.html</v>
      </c>
      <c r="E180" s="97" t="s">
        <v>3431</v>
      </c>
      <c r="F180" s="114" t="s">
        <v>3432</v>
      </c>
      <c r="G180" s="57" t="s">
        <v>3433</v>
      </c>
      <c r="H180" s="57" t="s">
        <v>3434</v>
      </c>
      <c r="I180" s="57" t="s">
        <v>2618</v>
      </c>
      <c r="J180" s="97"/>
      <c r="K180" s="98"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8.5" customHeight="1">
      <c r="A181" s="78" t="s">
        <v>1592</v>
      </c>
      <c r="B181" s="57"/>
      <c r="C181" s="57" t="str">
        <f t="shared" si="6"/>
        <v>giftcodesbanner/戰國武士道-禮包碼.jpg</v>
      </c>
      <c r="D181" s="57" t="str">
        <f t="shared" si="5"/>
        <v>https://www.ssbuy.tw/detail_giftcode/dist/giftcodes/戰國武士道.html</v>
      </c>
      <c r="E181" s="115" t="s">
        <v>3437</v>
      </c>
      <c r="F181" s="114" t="s">
        <v>2459</v>
      </c>
      <c r="G181" s="57" t="s">
        <v>2459</v>
      </c>
      <c r="H181" s="57"/>
      <c r="I181" s="57"/>
      <c r="J181" s="97"/>
      <c r="K181" s="98"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8.5" customHeight="1">
      <c r="A182" s="78" t="s">
        <v>1597</v>
      </c>
      <c r="B182" s="57"/>
      <c r="C182" s="57" t="str">
        <f t="shared" si="6"/>
        <v>giftcodesbanner/超蝦大作戰-禮包碼.jpg</v>
      </c>
      <c r="D182" s="57" t="str">
        <f t="shared" si="5"/>
        <v>https://www.ssbuy.tw/detail_giftcode/dist/giftcodes/超蝦大作戰.html</v>
      </c>
      <c r="E182" s="102" t="s">
        <v>4589</v>
      </c>
      <c r="F182" s="114" t="s">
        <v>3439</v>
      </c>
      <c r="G182" s="57" t="s">
        <v>3440</v>
      </c>
      <c r="H182" s="57" t="s">
        <v>2620</v>
      </c>
      <c r="I182" s="57"/>
      <c r="J182" s="97"/>
      <c r="K182" s="98"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8.5" customHeight="1">
      <c r="A183" s="78" t="s">
        <v>1622</v>
      </c>
      <c r="B183" s="57"/>
      <c r="C183" s="57" t="str">
        <f t="shared" si="6"/>
        <v>giftcodesbanner/真妖獸!廢柴要修仙-禮包碼.jpg</v>
      </c>
      <c r="D183" s="57" t="str">
        <f t="shared" si="5"/>
        <v>https://www.ssbuy.tw/detail_giftcode/dist/giftcodes/真妖獸!廢柴要修仙.html</v>
      </c>
      <c r="E183" s="97" t="s">
        <v>3448</v>
      </c>
      <c r="F183" s="114" t="s">
        <v>2624</v>
      </c>
      <c r="G183" s="57" t="s">
        <v>3449</v>
      </c>
      <c r="H183" s="57" t="s">
        <v>2625</v>
      </c>
      <c r="I183" s="57" t="s">
        <v>3450</v>
      </c>
      <c r="J183" s="97" t="s">
        <v>3451</v>
      </c>
      <c r="K183" s="98"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8.5" customHeight="1">
      <c r="A184" s="73" t="s">
        <v>2627</v>
      </c>
      <c r="B184" s="57"/>
      <c r="C184" s="57" t="str">
        <f t="shared" si="6"/>
        <v>giftcodesbanner/三國志Thrones-禮包碼.jpg</v>
      </c>
      <c r="D184" s="57" t="str">
        <f t="shared" si="5"/>
        <v>https://www.ssbuy.tw/detail_giftcode/dist/giftcodes/三國志Thrones.html</v>
      </c>
      <c r="E184" s="102" t="s">
        <v>4590</v>
      </c>
      <c r="F184" s="114" t="s">
        <v>2624</v>
      </c>
      <c r="G184" s="57" t="s">
        <v>3460</v>
      </c>
      <c r="H184" s="57" t="s">
        <v>3461</v>
      </c>
      <c r="I184" s="57" t="s">
        <v>2628</v>
      </c>
      <c r="J184" s="97"/>
      <c r="K184" s="98"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8.5" customHeight="1">
      <c r="A185" s="73" t="s">
        <v>3463</v>
      </c>
      <c r="B185" s="57"/>
      <c r="C185" s="57" t="str">
        <f t="shared" si="6"/>
        <v>giftcodesbanner/英勇之地-禮包碼.jpg</v>
      </c>
      <c r="D185" s="57" t="str">
        <f t="shared" si="5"/>
        <v>https://www.ssbuy.tw/detail_giftcode/dist/giftcodes/英勇之地.html</v>
      </c>
      <c r="E185" s="112" t="s">
        <v>3464</v>
      </c>
      <c r="F185" s="114" t="s">
        <v>3465</v>
      </c>
      <c r="G185" s="57" t="s">
        <v>3466</v>
      </c>
      <c r="H185" s="57" t="s">
        <v>3467</v>
      </c>
      <c r="I185" s="57" t="s">
        <v>2625</v>
      </c>
      <c r="J185" s="97" t="s">
        <v>3468</v>
      </c>
      <c r="K185" s="98"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8.5" customHeight="1">
      <c r="A186" s="79" t="s">
        <v>2633</v>
      </c>
      <c r="B186" s="57"/>
      <c r="C186" s="57" t="str">
        <f t="shared" si="6"/>
        <v>giftcodesbanner/未鑑定勇者團-禮包碼.jpg</v>
      </c>
      <c r="D186" s="57" t="str">
        <f t="shared" si="5"/>
        <v>https://www.ssbuy.tw/detail_giftcode/dist/giftcodes/未鑑定勇者團.html</v>
      </c>
      <c r="E186" s="102" t="s">
        <v>4004</v>
      </c>
      <c r="F186" s="114" t="s">
        <v>3470</v>
      </c>
      <c r="G186" s="57" t="s">
        <v>3471</v>
      </c>
      <c r="H186" s="57" t="s">
        <v>2634</v>
      </c>
      <c r="I186" s="57" t="s">
        <v>3472</v>
      </c>
      <c r="J186" s="97"/>
      <c r="K186" s="98"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8.5" customHeight="1">
      <c r="A187" s="79" t="s">
        <v>2636</v>
      </c>
      <c r="B187" s="57"/>
      <c r="C187" s="57" t="str">
        <f t="shared" si="6"/>
        <v>giftcodesbanner/戰靈異聞社-禮包碼.jpg</v>
      </c>
      <c r="D187" s="57" t="str">
        <f t="shared" si="5"/>
        <v>https://www.ssbuy.tw/detail_giftcode/dist/giftcodes/戰靈異聞社.html</v>
      </c>
      <c r="E187" s="102" t="s">
        <v>4005</v>
      </c>
      <c r="F187" s="114" t="s">
        <v>3476</v>
      </c>
      <c r="G187" s="57" t="s">
        <v>3477</v>
      </c>
      <c r="H187" s="57" t="s">
        <v>3478</v>
      </c>
      <c r="I187" s="57"/>
      <c r="J187" s="97"/>
      <c r="K187" s="98"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8.5" customHeight="1">
      <c r="A188" s="73" t="s">
        <v>3487</v>
      </c>
      <c r="B188" s="57"/>
      <c r="C188" s="57" t="str">
        <f t="shared" si="6"/>
        <v>giftcodesbanner/見習骷髏王-禮包碼.jpg</v>
      </c>
      <c r="D188" s="57" t="str">
        <f t="shared" si="5"/>
        <v>https://www.ssbuy.tw/detail_giftcode/dist/giftcodes/見習骷髏王.html</v>
      </c>
      <c r="E188" s="102" t="s">
        <v>2639</v>
      </c>
      <c r="F188" s="114" t="s">
        <v>3488</v>
      </c>
      <c r="G188" s="57" t="s">
        <v>2640</v>
      </c>
      <c r="H188" s="57"/>
      <c r="I188" s="57"/>
      <c r="J188" s="97"/>
      <c r="K188" s="98"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8.5" customHeight="1">
      <c r="A189" s="73" t="s">
        <v>2641</v>
      </c>
      <c r="B189" s="57"/>
      <c r="C189" s="57" t="str">
        <f t="shared" si="6"/>
        <v>giftcodesbanner/全明星無雙-禮包碼.jpg</v>
      </c>
      <c r="D189" s="57" t="str">
        <f t="shared" si="5"/>
        <v>https://www.ssbuy.tw/detail_giftcode/dist/giftcodes/全明星無雙.html</v>
      </c>
      <c r="E189" s="97" t="s">
        <v>3490</v>
      </c>
      <c r="F189" s="114" t="s">
        <v>3491</v>
      </c>
      <c r="G189" s="57" t="s">
        <v>3506</v>
      </c>
      <c r="H189" s="57" t="s">
        <v>2625</v>
      </c>
      <c r="I189" s="57" t="s">
        <v>2642</v>
      </c>
      <c r="J189" s="97"/>
      <c r="K189" s="98"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8.5" customHeight="1">
      <c r="A190" s="73" t="str">
        <f>games!A190</f>
        <v>伊瑟</v>
      </c>
      <c r="B190" s="57"/>
      <c r="C190" s="57" t="str">
        <f>IF(A190="","", "giftcodesbanner/" &amp; A190 &amp; "-禮包碼.jpg")</f>
        <v>giftcodesbanner/伊瑟-禮包碼.jpg</v>
      </c>
      <c r="D190" s="57" t="str">
        <f t="shared" si="5"/>
        <v>https://www.ssbuy.tw/detail_giftcode/dist/giftcodes/伊瑟.html</v>
      </c>
      <c r="E190" s="97"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7" t="s">
        <v>3502</v>
      </c>
      <c r="H190" s="57"/>
      <c r="I190" s="57"/>
      <c r="J190" s="97"/>
      <c r="K190" s="98"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8.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7"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7" t="s">
        <v>3507</v>
      </c>
      <c r="H191" s="57" t="s">
        <v>2625</v>
      </c>
      <c r="I191" s="57"/>
      <c r="J191" s="97"/>
      <c r="K191" s="98"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8.5" customHeight="1">
      <c r="A192" s="73" t="str">
        <f>IF(games!A192="", "", games!A192)</f>
        <v>荒野亂鬥</v>
      </c>
      <c r="B192" s="57"/>
      <c r="C192" s="57" t="str">
        <f t="shared" si="7"/>
        <v>giftcodesbanner/荒野亂鬥-禮包碼.jpg</v>
      </c>
      <c r="D192" s="57" t="str">
        <f t="shared" si="5"/>
        <v>https://www.ssbuy.tw/detail_giftcode/dist/giftcodes/荒野亂鬥.html</v>
      </c>
      <c r="E192" s="97"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8" t="s">
        <v>3489</v>
      </c>
      <c r="G192" s="57" t="s">
        <v>2640</v>
      </c>
      <c r="H192" s="59" t="s">
        <v>2640</v>
      </c>
      <c r="I192" s="57" t="s">
        <v>2640</v>
      </c>
      <c r="J192" s="97"/>
      <c r="K192" s="98"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8.5" customHeight="1">
      <c r="A193" s="73" t="str">
        <f>IF(games!A193="", "", games!A193)</f>
        <v>遺忘之劍</v>
      </c>
      <c r="B193" s="57"/>
      <c r="C193" s="57" t="str">
        <f t="shared" si="7"/>
        <v>giftcodesbanner/遺忘之劍-禮包碼.jpg</v>
      </c>
      <c r="D193" s="57" t="str">
        <f t="shared" si="5"/>
        <v>https://www.ssbuy.tw/detail_giftcode/dist/giftcodes/遺忘之劍.html</v>
      </c>
      <c r="E193" s="97"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7" t="s">
        <v>3542</v>
      </c>
      <c r="H193" s="57" t="s">
        <v>3543</v>
      </c>
      <c r="I193" s="57" t="s">
        <v>2625</v>
      </c>
      <c r="J193" s="97"/>
      <c r="K193" s="98"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8.5" customHeight="1">
      <c r="A194" s="73" t="str">
        <f>IF(games!A194="", "", games!A194)</f>
        <v>破壞突擊隊</v>
      </c>
      <c r="B194" s="57"/>
      <c r="C194" s="57" t="str">
        <f t="shared" si="7"/>
        <v>giftcodesbanner/破壞突擊隊-禮包碼.jpg</v>
      </c>
      <c r="D194" s="57" t="str">
        <f t="shared" si="5"/>
        <v>https://www.ssbuy.tw/detail_giftcode/dist/giftcodes/破壞突擊隊.html</v>
      </c>
      <c r="E194" s="97"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8" t="s">
        <v>3489</v>
      </c>
      <c r="G194" s="57" t="s">
        <v>2640</v>
      </c>
      <c r="H194" s="59" t="s">
        <v>2640</v>
      </c>
      <c r="I194" s="57" t="s">
        <v>2640</v>
      </c>
      <c r="J194" s="97"/>
      <c r="K194" s="98"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8.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7"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8" t="s">
        <v>3489</v>
      </c>
      <c r="G195" s="57" t="s">
        <v>2640</v>
      </c>
      <c r="H195" s="59" t="s">
        <v>2640</v>
      </c>
      <c r="I195" s="57" t="s">
        <v>2640</v>
      </c>
      <c r="J195" s="97"/>
      <c r="K195" s="98"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8.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7"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7" t="s">
        <v>3588</v>
      </c>
      <c r="H196" s="57" t="s">
        <v>2625</v>
      </c>
      <c r="I196" s="57" t="s">
        <v>3589</v>
      </c>
      <c r="J196" s="97"/>
      <c r="K196" s="98"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8.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7"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7" t="s">
        <v>3616</v>
      </c>
      <c r="H197" s="57" t="s">
        <v>2625</v>
      </c>
      <c r="I197" s="57" t="s">
        <v>3617</v>
      </c>
      <c r="J197" s="97"/>
      <c r="K197" s="98"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8.5" customHeight="1">
      <c r="A198" s="73" t="str">
        <f>IF(games!A198="", "", games!A198)</f>
        <v>Gear Fight!</v>
      </c>
      <c r="B198" s="57"/>
      <c r="C198" s="57" t="str">
        <f t="shared" si="7"/>
        <v>giftcodesbanner/Gear Fight!-禮包碼.jpg</v>
      </c>
      <c r="D198" s="57" t="str">
        <f t="shared" si="8"/>
        <v>https://www.ssbuy.tw/detail_giftcode/dist/giftcodes/Gear Fight!.html</v>
      </c>
      <c r="E198" s="97"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8" t="s">
        <v>2640</v>
      </c>
      <c r="G198" s="57" t="s">
        <v>2640</v>
      </c>
      <c r="H198" s="59" t="s">
        <v>2640</v>
      </c>
      <c r="I198" s="57" t="s">
        <v>2640</v>
      </c>
      <c r="J198" s="97"/>
      <c r="K198" s="98"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8.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7"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7" t="s">
        <v>3641</v>
      </c>
      <c r="H199" s="57" t="s">
        <v>2625</v>
      </c>
      <c r="I199" s="57" t="s">
        <v>3642</v>
      </c>
      <c r="J199" s="97"/>
      <c r="K199" s="98"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8.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7"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7" t="s">
        <v>3737</v>
      </c>
      <c r="H200" s="57" t="s">
        <v>3738</v>
      </c>
      <c r="I200" s="57" t="s">
        <v>2625</v>
      </c>
      <c r="J200" s="97" t="s">
        <v>3739</v>
      </c>
      <c r="K200" s="98"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8.5" customHeight="1">
      <c r="A201" s="73" t="str">
        <f>IF(games!A201="", "", games!A201)</f>
        <v>野龍小隊</v>
      </c>
      <c r="B201" s="57"/>
      <c r="C201" s="57" t="str">
        <f t="shared" si="7"/>
        <v>giftcodesbanner/野龍小隊-禮包碼.jpg</v>
      </c>
      <c r="D201" s="57" t="str">
        <f t="shared" si="8"/>
        <v>https://www.ssbuy.tw/detail_giftcode/dist/giftcodes/野龍小隊.html</v>
      </c>
      <c r="E201" s="97"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8" t="s">
        <v>2640</v>
      </c>
      <c r="G201" s="57" t="s">
        <v>2640</v>
      </c>
      <c r="H201" s="59" t="s">
        <v>2640</v>
      </c>
      <c r="I201" s="57" t="s">
        <v>2640</v>
      </c>
      <c r="J201" s="97"/>
      <c r="K201" s="98"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8.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7"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8" t="s">
        <v>2640</v>
      </c>
      <c r="G202" s="57" t="s">
        <v>2640</v>
      </c>
      <c r="H202" s="59" t="s">
        <v>2640</v>
      </c>
      <c r="I202" s="57" t="s">
        <v>2640</v>
      </c>
      <c r="J202" s="97"/>
      <c r="K202" s="98"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8.5" customHeight="1">
      <c r="A203" s="73" t="str">
        <f>IF(games!A203="", "", games!A203)</f>
        <v>主公超會閃</v>
      </c>
      <c r="B203" s="57"/>
      <c r="C203" s="57" t="str">
        <f t="shared" si="7"/>
        <v>giftcodesbanner/主公超會閃-禮包碼.jpg</v>
      </c>
      <c r="D203" s="57" t="str">
        <f t="shared" si="8"/>
        <v>https://www.ssbuy.tw/detail_giftcode/dist/giftcodes/主公超會閃.html</v>
      </c>
      <c r="E203" s="97"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7" t="s">
        <v>3755</v>
      </c>
      <c r="H203" s="57" t="s">
        <v>2625</v>
      </c>
      <c r="I203" s="57" t="s">
        <v>3756</v>
      </c>
      <c r="J203" s="97"/>
      <c r="K203" s="98"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8.5" customHeight="1">
      <c r="A204" s="73" t="str">
        <f>IF(games!A204="", "", games!A204)</f>
        <v>小兵來支援</v>
      </c>
      <c r="B204" s="57"/>
      <c r="C204" s="57" t="str">
        <f t="shared" si="7"/>
        <v>giftcodesbanner/小兵來支援-禮包碼.jpg</v>
      </c>
      <c r="D204" s="57" t="str">
        <f t="shared" si="8"/>
        <v>https://www.ssbuy.tw/detail_giftcode/dist/giftcodes/小兵來支援.html</v>
      </c>
      <c r="E204" s="97"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7"/>
      <c r="H204" s="57"/>
      <c r="I204" s="57"/>
      <c r="J204" s="97"/>
      <c r="K204" s="98"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8.5" customHeight="1">
      <c r="A205" s="73" t="str">
        <f>IF(games!A205="", "", games!A205)</f>
        <v>姆姆鬥惡龍</v>
      </c>
      <c r="B205" s="57"/>
      <c r="C205" s="57" t="str">
        <f t="shared" si="7"/>
        <v>giftcodesbanner/姆姆鬥惡龍-禮包碼.jpg</v>
      </c>
      <c r="D205" s="57" t="str">
        <f t="shared" si="8"/>
        <v>https://www.ssbuy.tw/detail_giftcode/dist/giftcodes/姆姆鬥惡龍.html</v>
      </c>
      <c r="E205" s="97"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8" t="s">
        <v>2640</v>
      </c>
      <c r="G205" s="57" t="s">
        <v>2640</v>
      </c>
      <c r="H205" s="59" t="s">
        <v>2640</v>
      </c>
      <c r="I205" s="57" t="s">
        <v>2640</v>
      </c>
      <c r="J205" s="97"/>
      <c r="K205" s="98"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8.5" customHeight="1">
      <c r="A206" s="73" t="str">
        <f>IF(games!A206="", "", games!A206)</f>
        <v>發條特攻隊</v>
      </c>
      <c r="B206" s="57"/>
      <c r="C206" s="57" t="str">
        <f t="shared" si="7"/>
        <v>giftcodesbanner/發條特攻隊-禮包碼.jpg</v>
      </c>
      <c r="D206" s="57" t="str">
        <f t="shared" si="8"/>
        <v>https://www.ssbuy.tw/detail_giftcode/dist/giftcodes/發條特攻隊.html</v>
      </c>
      <c r="E206" s="97"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7" t="s">
        <v>3798</v>
      </c>
      <c r="H206" s="57" t="s">
        <v>2625</v>
      </c>
      <c r="I206" s="57" t="s">
        <v>3756</v>
      </c>
      <c r="J206" s="97"/>
      <c r="K206" s="98"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8.5" customHeight="1">
      <c r="A207" s="73" t="str">
        <f>IF(games!A207="", "", games!A207)</f>
        <v>天命：群星</v>
      </c>
      <c r="B207" s="57"/>
      <c r="C207" s="57" t="str">
        <f t="shared" si="7"/>
        <v>giftcodesbanner/天命：群星-禮包碼.jpg</v>
      </c>
      <c r="D207" s="57" t="str">
        <f t="shared" si="8"/>
        <v>https://www.ssbuy.tw/detail_giftcode/dist/giftcodes/天命：群星.html</v>
      </c>
      <c r="E207" s="97"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7" t="s">
        <v>3755</v>
      </c>
      <c r="H207" s="57" t="s">
        <v>2625</v>
      </c>
      <c r="I207" s="57" t="s">
        <v>3756</v>
      </c>
      <c r="J207" s="97"/>
      <c r="K207" s="98"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8.5" customHeight="1">
      <c r="A208" s="73" t="str">
        <f>IF(games!A208="", "", games!A208)</f>
        <v>血影雙生</v>
      </c>
      <c r="B208" s="57"/>
      <c r="C208" s="57" t="str">
        <f t="shared" si="7"/>
        <v>giftcodesbanner/血影雙生-禮包碼.jpg</v>
      </c>
      <c r="D208" s="57" t="str">
        <f t="shared" si="8"/>
        <v>https://www.ssbuy.tw/detail_giftcode/dist/giftcodes/血影雙生.html</v>
      </c>
      <c r="E208" s="97"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8" t="s">
        <v>3822</v>
      </c>
      <c r="G208" s="57" t="s">
        <v>3823</v>
      </c>
      <c r="H208" s="59" t="s">
        <v>3824</v>
      </c>
      <c r="I208" s="57" t="s">
        <v>2625</v>
      </c>
      <c r="J208" s="97" t="s">
        <v>3825</v>
      </c>
      <c r="K208" s="98"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8.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7"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7" t="s">
        <v>3755</v>
      </c>
      <c r="H209" s="57" t="s">
        <v>2625</v>
      </c>
      <c r="I209" s="57" t="s">
        <v>3756</v>
      </c>
      <c r="J209" s="97"/>
      <c r="K209" s="98"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8.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7"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8" t="s">
        <v>3817</v>
      </c>
      <c r="G210" s="57" t="s">
        <v>3818</v>
      </c>
      <c r="H210" s="59" t="s">
        <v>3819</v>
      </c>
      <c r="I210" s="57" t="s">
        <v>3820</v>
      </c>
      <c r="J210" s="97" t="s">
        <v>3821</v>
      </c>
      <c r="K210" s="98"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8.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7"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8" t="s">
        <v>2640</v>
      </c>
      <c r="G211" s="57" t="s">
        <v>2640</v>
      </c>
      <c r="H211" s="57"/>
      <c r="I211" s="57"/>
      <c r="J211" s="97"/>
      <c r="K211" s="98"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8.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7"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8" t="s">
        <v>2640</v>
      </c>
      <c r="G212" s="57" t="s">
        <v>2640</v>
      </c>
      <c r="H212" s="57"/>
      <c r="I212" s="57"/>
      <c r="J212" s="97"/>
      <c r="K212" s="98"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8.5" customHeight="1">
      <c r="A213" s="73" t="str">
        <f>IF(games!A213="", "", games!A213)</f>
        <v>新月同行</v>
      </c>
      <c r="B213" s="57"/>
      <c r="C213" s="57" t="str">
        <f t="shared" si="7"/>
        <v>giftcodesbanner/新月同行-禮包碼.jpg</v>
      </c>
      <c r="D213" s="57" t="str">
        <f t="shared" si="8"/>
        <v>https://www.ssbuy.tw/detail_giftcode/dist/giftcodes/新月同行.html</v>
      </c>
      <c r="E213" s="97"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8" t="s">
        <v>2640</v>
      </c>
      <c r="G213" s="57" t="s">
        <v>2640</v>
      </c>
      <c r="H213" s="57"/>
      <c r="I213" s="57"/>
      <c r="J213" s="97"/>
      <c r="K213" s="98"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8.5" customHeight="1">
      <c r="A214" s="73" t="str">
        <f>IF(games!A214="", "", games!A214)</f>
        <v>超商勇者</v>
      </c>
      <c r="B214" s="57"/>
      <c r="C214" s="57" t="str">
        <f t="shared" si="7"/>
        <v>giftcodesbanner/超商勇者-禮包碼.jpg</v>
      </c>
      <c r="D214" s="57" t="str">
        <f t="shared" si="8"/>
        <v>https://www.ssbuy.tw/detail_giftcode/dist/giftcodes/超商勇者.html</v>
      </c>
      <c r="E214" s="97"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8" t="s">
        <v>2640</v>
      </c>
      <c r="G214" s="57" t="s">
        <v>2640</v>
      </c>
      <c r="H214" s="57"/>
      <c r="I214" s="57"/>
      <c r="J214" s="97"/>
      <c r="K214" s="98"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8.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7"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8" t="s">
        <v>2640</v>
      </c>
      <c r="G215" s="57" t="s">
        <v>2640</v>
      </c>
      <c r="H215" s="57"/>
      <c r="I215" s="57"/>
      <c r="J215" s="97"/>
      <c r="K215" s="98"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8.5" customHeight="1">
      <c r="A216" s="73" t="str">
        <f>IF(games!A216="", "", games!A216)</f>
        <v>貓旅館物語</v>
      </c>
      <c r="B216" s="57"/>
      <c r="C216" s="57" t="str">
        <f t="shared" si="7"/>
        <v>giftcodesbanner/貓旅館物語-禮包碼.jpg</v>
      </c>
      <c r="D216" s="57" t="str">
        <f t="shared" si="8"/>
        <v>https://www.ssbuy.tw/detail_giftcode/dist/giftcodes/貓旅館物語.html</v>
      </c>
      <c r="E216" s="97"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8" t="s">
        <v>3925</v>
      </c>
      <c r="G216" s="57" t="s">
        <v>2625</v>
      </c>
      <c r="H216" s="57" t="s">
        <v>3926</v>
      </c>
      <c r="I216" s="57"/>
      <c r="J216" s="97"/>
      <c r="K216" s="98"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8.5" customHeight="1">
      <c r="A217" s="73" t="str">
        <f>IF(games!A217="", "", games!A217)</f>
        <v>龍石戰爭</v>
      </c>
      <c r="B217" s="57"/>
      <c r="C217" s="57" t="str">
        <f t="shared" si="7"/>
        <v>giftcodesbanner/龍石戰爭-禮包碼.jpg</v>
      </c>
      <c r="D217" s="57" t="str">
        <f t="shared" si="8"/>
        <v>https://www.ssbuy.tw/detail_giftcode/dist/giftcodes/龍石戰爭.html</v>
      </c>
      <c r="E217" s="97"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8" t="s">
        <v>3930</v>
      </c>
      <c r="G217" s="57" t="s">
        <v>4036</v>
      </c>
      <c r="H217" s="57" t="s">
        <v>4037</v>
      </c>
      <c r="I217" s="57" t="s">
        <v>2625</v>
      </c>
      <c r="J217" s="97"/>
      <c r="K217" s="98"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8.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7"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7" t="s">
        <v>3755</v>
      </c>
      <c r="H218" s="57" t="s">
        <v>2625</v>
      </c>
      <c r="I218" s="57" t="s">
        <v>3756</v>
      </c>
      <c r="J218" s="97"/>
      <c r="K218" s="98"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8.5" customHeight="1">
      <c r="A219" s="73" t="str">
        <f>IF(games!A219="", "", games!A219)</f>
        <v>邪門鬼道</v>
      </c>
      <c r="B219" s="57"/>
      <c r="C219" s="57" t="str">
        <f t="shared" si="7"/>
        <v>giftcodesbanner/邪門鬼道-禮包碼.jpg</v>
      </c>
      <c r="D219" s="57" t="str">
        <f t="shared" si="8"/>
        <v>https://www.ssbuy.tw/detail_giftcode/dist/giftcodes/邪門鬼道.html</v>
      </c>
      <c r="E219" s="97"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7" t="s">
        <v>3755</v>
      </c>
      <c r="H219" s="57" t="s">
        <v>2625</v>
      </c>
      <c r="I219" s="57" t="s">
        <v>3756</v>
      </c>
      <c r="J219" s="97"/>
      <c r="K219" s="98"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8.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7"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8" t="s">
        <v>4290</v>
      </c>
      <c r="G220" s="57" t="s">
        <v>4291</v>
      </c>
      <c r="H220" s="57"/>
      <c r="I220" s="57"/>
      <c r="J220" s="97"/>
      <c r="K220" s="98"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8.5" customHeight="1">
      <c r="A221" s="73" t="str">
        <f>IF(games!A221="", "", games!A221)</f>
        <v>野蠻生存錄</v>
      </c>
      <c r="B221" s="57"/>
      <c r="C221" s="57" t="str">
        <f t="shared" si="7"/>
        <v>giftcodesbanner/野蠻生存錄-禮包碼.jpg</v>
      </c>
      <c r="D221" s="57" t="str">
        <f t="shared" si="8"/>
        <v>https://www.ssbuy.tw/detail_giftcode/dist/giftcodes/野蠻生存錄.html</v>
      </c>
      <c r="E221" s="97"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8" t="s">
        <v>2640</v>
      </c>
      <c r="G221" s="57" t="s">
        <v>2640</v>
      </c>
      <c r="H221" s="57"/>
      <c r="I221" s="57"/>
      <c r="J221" s="97"/>
      <c r="K221" s="98"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8.5" customHeight="1">
      <c r="A222" s="73" t="str">
        <f>IF(games!A222="", "", games!A222)</f>
        <v>萬獸崛起</v>
      </c>
      <c r="B222" s="57"/>
      <c r="C222" s="57" t="str">
        <f t="shared" si="7"/>
        <v>giftcodesbanner/萬獸崛起-禮包碼.jpg</v>
      </c>
      <c r="D222" s="57" t="str">
        <f t="shared" si="8"/>
        <v>https://www.ssbuy.tw/detail_giftcode/dist/giftcodes/萬獸崛起.html</v>
      </c>
      <c r="E222" s="97"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7" t="s">
        <v>4049</v>
      </c>
      <c r="H222" s="57" t="s">
        <v>2625</v>
      </c>
      <c r="I222" s="57" t="s">
        <v>3756</v>
      </c>
      <c r="J222" s="97"/>
      <c r="K222" s="98"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8.5" customHeight="1">
      <c r="A223" s="73" t="str">
        <f>IF(games!A223="", "", games!A223)</f>
        <v>劍靈神域</v>
      </c>
      <c r="B223" s="57"/>
      <c r="C223" s="57" t="str">
        <f t="shared" si="7"/>
        <v>giftcodesbanner/劍靈神域-禮包碼.jpg</v>
      </c>
      <c r="D223" s="57" t="str">
        <f t="shared" si="8"/>
        <v>https://www.ssbuy.tw/detail_giftcode/dist/giftcodes/劍靈神域.html</v>
      </c>
      <c r="E223" s="97"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7" t="s">
        <v>2625</v>
      </c>
      <c r="H223" s="57" t="s">
        <v>3756</v>
      </c>
      <c r="I223" s="57"/>
      <c r="J223" s="97"/>
      <c r="K223" s="98"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8.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7"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7" t="s">
        <v>4091</v>
      </c>
      <c r="H224" s="57" t="s">
        <v>4092</v>
      </c>
      <c r="I224" s="57" t="s">
        <v>2625</v>
      </c>
      <c r="J224" s="97" t="s">
        <v>3756</v>
      </c>
      <c r="K224" s="98"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8.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7"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80" t="s">
        <v>4382</v>
      </c>
      <c r="H225" s="80" t="s">
        <v>4383</v>
      </c>
      <c r="I225" s="80" t="s">
        <v>4384</v>
      </c>
      <c r="J225" s="102" t="s">
        <v>4385</v>
      </c>
      <c r="K225" s="103"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8.5" customHeight="1">
      <c r="A226" s="73" t="str">
        <f>IF(games!A226="", "", games!A226)</f>
        <v>Draft showdown</v>
      </c>
      <c r="B226" s="57"/>
      <c r="C226" s="57" t="str">
        <f t="shared" si="7"/>
        <v>giftcodesbanner/Draft showdown-禮包碼.jpg</v>
      </c>
      <c r="D226" s="57" t="str">
        <f t="shared" si="8"/>
        <v>https://www.ssbuy.tw/detail_giftcode/dist/giftcodes/Draft showdown.html</v>
      </c>
      <c r="E226" s="97"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8" t="s">
        <v>2640</v>
      </c>
      <c r="G226" s="57" t="s">
        <v>2640</v>
      </c>
      <c r="H226" s="57"/>
      <c r="I226" s="57"/>
      <c r="J226" s="97"/>
      <c r="K226" s="98"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8.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7"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7" t="s">
        <v>3755</v>
      </c>
      <c r="H227" s="57" t="s">
        <v>2625</v>
      </c>
      <c r="I227" s="57" t="s">
        <v>3756</v>
      </c>
      <c r="J227" s="97"/>
      <c r="K227" s="98"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8.5" customHeight="1">
      <c r="A228" s="73" t="str">
        <f>IF(games!A228="", "", games!A228)</f>
        <v>量子機動隊</v>
      </c>
      <c r="B228" s="57"/>
      <c r="C228" s="57" t="str">
        <f t="shared" si="7"/>
        <v>giftcodesbanner/量子機動隊-禮包碼.jpg</v>
      </c>
      <c r="D228" s="57" t="str">
        <f t="shared" si="8"/>
        <v>https://www.ssbuy.tw/detail_giftcode/dist/giftcodes/量子機動隊.html</v>
      </c>
      <c r="E228" s="97"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7" t="s">
        <v>4514</v>
      </c>
      <c r="H228" s="57" t="s">
        <v>2625</v>
      </c>
      <c r="I228" s="57" t="s">
        <v>3756</v>
      </c>
      <c r="J228" s="97"/>
      <c r="K228" s="103"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8.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7"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8" t="s">
        <v>4288</v>
      </c>
      <c r="G229" s="57" t="s">
        <v>4289</v>
      </c>
      <c r="H229" s="57" t="s">
        <v>2625</v>
      </c>
      <c r="I229" s="57" t="s">
        <v>3756</v>
      </c>
      <c r="J229" s="97"/>
      <c r="K229" s="98"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8.5" customHeight="1">
      <c r="A230" s="73" t="str">
        <f>IF(games!A230="", "", games!A230)</f>
        <v>XXL猛漢町</v>
      </c>
      <c r="B230" s="57"/>
      <c r="C230" s="57" t="str">
        <f t="shared" si="7"/>
        <v>giftcodesbanner/XXL猛漢町-禮包碼.jpg</v>
      </c>
      <c r="D230" s="57" t="str">
        <f t="shared" si="8"/>
        <v>https://www.ssbuy.tw/detail_giftcode/dist/giftcodes/XXL猛漢町.html</v>
      </c>
      <c r="E230" s="97"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7" t="s">
        <v>4211</v>
      </c>
      <c r="H230" s="57" t="s">
        <v>2625</v>
      </c>
      <c r="I230" s="57" t="s">
        <v>4212</v>
      </c>
      <c r="J230" s="97"/>
      <c r="K230" s="98"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8.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7"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8" t="s">
        <v>2640</v>
      </c>
      <c r="G231" s="57" t="s">
        <v>2640</v>
      </c>
      <c r="H231" s="57"/>
      <c r="I231" s="57"/>
      <c r="J231" s="97"/>
      <c r="K231" s="98"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8.5" customHeight="1">
      <c r="A232" s="73" t="str">
        <f>IF(games!A232="", "", games!A232)</f>
        <v>無限子彈</v>
      </c>
      <c r="B232" s="57"/>
      <c r="C232" s="57" t="str">
        <f t="shared" si="7"/>
        <v>giftcodesbanner/無限子彈-禮包碼.jpg</v>
      </c>
      <c r="D232" s="57" t="str">
        <f t="shared" si="8"/>
        <v>https://www.ssbuy.tw/detail_giftcode/dist/giftcodes/無限子彈.html</v>
      </c>
      <c r="E232" s="97"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8" t="s">
        <v>2640</v>
      </c>
      <c r="G232" s="57" t="s">
        <v>2640</v>
      </c>
      <c r="H232" s="57"/>
      <c r="I232" s="57"/>
      <c r="J232" s="97"/>
      <c r="K232" s="98"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8.5" customHeight="1">
      <c r="A233" s="73" t="str">
        <f>IF(games!A233="", "", games!A233)</f>
        <v>Dunkadillo</v>
      </c>
      <c r="B233" s="57"/>
      <c r="C233" s="57" t="str">
        <f t="shared" si="7"/>
        <v>giftcodesbanner/Dunkadillo-禮包碼.jpg</v>
      </c>
      <c r="D233" s="57" t="str">
        <f t="shared" si="8"/>
        <v>https://www.ssbuy.tw/detail_giftcode/dist/giftcodes/Dunkadillo.html</v>
      </c>
      <c r="E233" s="97"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8" t="s">
        <v>2640</v>
      </c>
      <c r="G233" s="57" t="s">
        <v>2640</v>
      </c>
      <c r="H233" s="57"/>
      <c r="I233" s="57"/>
      <c r="J233" s="97"/>
      <c r="K233" s="98"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8.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7"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7" t="s">
        <v>4365</v>
      </c>
      <c r="H234" s="57" t="s">
        <v>2625</v>
      </c>
      <c r="I234" s="57" t="s">
        <v>4366</v>
      </c>
      <c r="J234" s="97"/>
      <c r="K234" s="103"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8.5" customHeight="1">
      <c r="A235" s="73" t="str">
        <f>IF(games!A235="", "", games!A235)</f>
        <v>三國將將好</v>
      </c>
      <c r="B235" s="57"/>
      <c r="C235" s="57" t="str">
        <f t="shared" si="7"/>
        <v>giftcodesbanner/三國將將好-禮包碼.jpg</v>
      </c>
      <c r="D235" s="57" t="str">
        <f t="shared" si="8"/>
        <v>https://www.ssbuy.tw/detail_giftcode/dist/giftcodes/三國將將好.html</v>
      </c>
      <c r="E235" s="97"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7" t="s">
        <v>4359</v>
      </c>
      <c r="H235" s="57" t="s">
        <v>2625</v>
      </c>
      <c r="I235" s="57" t="s">
        <v>4360</v>
      </c>
      <c r="J235" s="97"/>
      <c r="K235" s="98"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8.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7"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7" t="s">
        <v>4451</v>
      </c>
      <c r="H236" s="57"/>
      <c r="I236" s="57"/>
      <c r="J236" s="97"/>
      <c r="K236" s="103"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8.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7"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7" t="s">
        <v>4359</v>
      </c>
      <c r="H237" s="57" t="s">
        <v>2625</v>
      </c>
      <c r="I237" s="57" t="s">
        <v>4360</v>
      </c>
      <c r="J237" s="97"/>
      <c r="K237" s="98"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8.5" customHeight="1">
      <c r="A238" s="73" t="str">
        <f>IF(games!A238="", "", games!A238)</f>
        <v>魔法師之徒</v>
      </c>
      <c r="B238" s="57"/>
      <c r="C238" s="57" t="str">
        <f t="shared" si="7"/>
        <v>giftcodesbanner/魔法師之徒-禮包碼.jpg</v>
      </c>
      <c r="D238" s="57" t="str">
        <f t="shared" si="8"/>
        <v>https://www.ssbuy.tw/detail_giftcode/dist/giftcodes/魔法師之徒.html</v>
      </c>
      <c r="E238" s="97"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7" t="s">
        <v>4359</v>
      </c>
      <c r="H238" s="57" t="s">
        <v>2625</v>
      </c>
      <c r="I238" s="57" t="s">
        <v>4360</v>
      </c>
      <c r="J238" s="97"/>
      <c r="K238" s="104"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8.5" customHeight="1">
      <c r="A239" s="73" t="str">
        <f>IF(games!A239="", "", games!A239)</f>
        <v>三國魂將傳</v>
      </c>
      <c r="B239" s="57"/>
      <c r="C239" s="57" t="str">
        <f t="shared" si="7"/>
        <v>giftcodesbanner/三國魂將傳-禮包碼.jpg</v>
      </c>
      <c r="D239" s="57" t="str">
        <f t="shared" si="8"/>
        <v>https://www.ssbuy.tw/detail_giftcode/dist/giftcodes/三國魂將傳.html</v>
      </c>
      <c r="E239" s="97"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8" t="s">
        <v>4533</v>
      </c>
      <c r="G239" s="57" t="s">
        <v>4534</v>
      </c>
      <c r="H239" s="57" t="s">
        <v>2625</v>
      </c>
      <c r="I239" s="57" t="s">
        <v>4360</v>
      </c>
      <c r="J239" s="97"/>
      <c r="K239" s="103"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8.5" customHeight="1">
      <c r="A240" s="73" t="str">
        <f>IF(games!A240="", "", games!A240)</f>
        <v>龍息：神寂</v>
      </c>
      <c r="B240" s="57"/>
      <c r="C240" s="57" t="str">
        <f t="shared" si="7"/>
        <v>giftcodesbanner/龍息：神寂-禮包碼.jpg</v>
      </c>
      <c r="D240" s="57" t="str">
        <f t="shared" si="8"/>
        <v>https://www.ssbuy.tw/detail_giftcode/dist/giftcodes/龍息：神寂.html</v>
      </c>
      <c r="E240" s="97"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7" t="s">
        <v>4401</v>
      </c>
      <c r="H240" s="57" t="s">
        <v>2625</v>
      </c>
      <c r="I240" s="57" t="s">
        <v>4360</v>
      </c>
      <c r="J240" s="97"/>
      <c r="K240" s="98"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8.5" customHeight="1">
      <c r="A241" s="73" t="str">
        <f>IF(games!A241="", "", games!A241)</f>
        <v>玩具對決</v>
      </c>
      <c r="B241" s="57"/>
      <c r="C241" s="57" t="str">
        <f t="shared" si="7"/>
        <v>giftcodesbanner/玩具對決-禮包碼.jpg</v>
      </c>
      <c r="D241" s="57" t="str">
        <f t="shared" si="8"/>
        <v>https://www.ssbuy.tw/detail_giftcode/dist/giftcodes/玩具對決.html</v>
      </c>
      <c r="E241" s="97"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8" t="s">
        <v>2640</v>
      </c>
      <c r="G241" s="57" t="s">
        <v>2640</v>
      </c>
      <c r="H241" s="57"/>
      <c r="I241" s="57"/>
      <c r="J241" s="97"/>
      <c r="K241" s="98"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8.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7"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8" t="s">
        <v>2640</v>
      </c>
      <c r="G242" s="57" t="s">
        <v>2640</v>
      </c>
      <c r="H242" s="57"/>
      <c r="I242" s="57"/>
      <c r="J242" s="97"/>
      <c r="K242" s="98"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8.5" customHeight="1">
      <c r="A243" s="73" t="str">
        <f>IF(games!A243="", "", games!A243)</f>
        <v>黑道傳奇</v>
      </c>
      <c r="B243" s="57"/>
      <c r="C243" s="57" t="str">
        <f t="shared" si="7"/>
        <v>giftcodesbanner/黑道傳奇-禮包碼.jpg</v>
      </c>
      <c r="D243" s="57" t="str">
        <f t="shared" si="8"/>
        <v>https://www.ssbuy.tw/detail_giftcode/dist/giftcodes/黑道傳奇.html</v>
      </c>
      <c r="E243" s="97"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8" t="s">
        <v>2640</v>
      </c>
      <c r="G243" s="57" t="s">
        <v>2640</v>
      </c>
      <c r="H243" s="57"/>
      <c r="I243" s="57"/>
      <c r="J243" s="97"/>
      <c r="K243" s="98"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8.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7"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8" t="s">
        <v>2640</v>
      </c>
      <c r="G244" s="57" t="s">
        <v>2640</v>
      </c>
      <c r="H244" s="57"/>
      <c r="I244" s="57"/>
      <c r="J244" s="97"/>
      <c r="K244" s="98"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8.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7"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7" t="s">
        <v>4515</v>
      </c>
      <c r="H245" s="57"/>
      <c r="I245" s="57"/>
      <c r="J245" s="97"/>
      <c r="K245" s="98"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8.5" customHeight="1">
      <c r="A246" s="73" t="str">
        <f>IF(games!A246="", "", games!A246)</f>
        <v>Grave Strikers</v>
      </c>
      <c r="B246" s="57"/>
      <c r="C246" s="57" t="str">
        <f t="shared" si="7"/>
        <v>giftcodesbanner/Grave Strikers-禮包碼.jpg</v>
      </c>
      <c r="D246" s="57" t="str">
        <f t="shared" si="8"/>
        <v>https://www.ssbuy.tw/detail_giftcode/dist/giftcodes/Grave Strikers.html</v>
      </c>
      <c r="E246" s="97"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8" t="s">
        <v>4516</v>
      </c>
      <c r="G246" s="57" t="s">
        <v>4506</v>
      </c>
      <c r="H246" s="57"/>
      <c r="I246" s="57"/>
      <c r="J246" s="97"/>
      <c r="K246" s="98"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8.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7"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7" t="s">
        <v>4508</v>
      </c>
      <c r="H247" s="57" t="s">
        <v>2625</v>
      </c>
      <c r="I247" s="57" t="s">
        <v>4360</v>
      </c>
      <c r="J247" s="97"/>
      <c r="K247" s="98"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8.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7"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7" t="s">
        <v>4401</v>
      </c>
      <c r="H248" s="57" t="s">
        <v>2625</v>
      </c>
      <c r="I248" s="57" t="s">
        <v>4360</v>
      </c>
      <c r="J248" s="97"/>
      <c r="K248" s="98"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8.5" customHeight="1">
      <c r="A249" s="73" t="str">
        <f>IF(games!A249="", "", games!A249)</f>
        <v>女神秘令</v>
      </c>
      <c r="B249" s="57"/>
      <c r="C249" s="57" t="str">
        <f t="shared" si="7"/>
        <v>giftcodesbanner/女神秘令-禮包碼.jpg</v>
      </c>
      <c r="D249" s="57" t="str">
        <f t="shared" si="8"/>
        <v>https://www.ssbuy.tw/detail_giftcode/dist/giftcodes/女神秘令.html</v>
      </c>
      <c r="E249" s="97"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3" t="s">
        <v>4608</v>
      </c>
      <c r="G249" s="57" t="s">
        <v>4609</v>
      </c>
      <c r="H249" s="57"/>
      <c r="I249" s="57"/>
      <c r="J249" s="97"/>
      <c r="K249" s="103"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8.5" customHeight="1">
      <c r="A250" s="73" t="str">
        <f>IF(games!A250="", "", games!A250)</f>
        <v>Torerowa</v>
      </c>
      <c r="B250" s="57"/>
      <c r="C250" s="57" t="str">
        <f t="shared" si="7"/>
        <v>giftcodesbanner/Torerowa-禮包碼.jpg</v>
      </c>
      <c r="D250" s="57" t="str">
        <f t="shared" si="8"/>
        <v>https://www.ssbuy.tw/detail_giftcode/dist/giftcodes/Torerowa.html</v>
      </c>
      <c r="E250" s="97"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7" t="s">
        <v>4611</v>
      </c>
      <c r="H250" s="57" t="s">
        <v>4612</v>
      </c>
      <c r="I250" s="57"/>
      <c r="J250" s="97"/>
      <c r="K250" s="98"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8.5" customHeight="1">
      <c r="A251" s="73" t="str">
        <f>IF(games!A251="", "", games!A251)</f>
        <v>Ricochet Squad</v>
      </c>
      <c r="B251" s="57"/>
      <c r="C251" s="57" t="str">
        <f t="shared" si="7"/>
        <v>giftcodesbanner/Ricochet Squad-禮包碼.jpg</v>
      </c>
      <c r="D251" s="57" t="str">
        <f t="shared" si="8"/>
        <v>https://www.ssbuy.tw/detail_giftcode/dist/giftcodes/Ricochet Squad.html</v>
      </c>
      <c r="E251" s="97"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7" t="s">
        <v>4564</v>
      </c>
      <c r="H251" s="57" t="s">
        <v>2625</v>
      </c>
      <c r="I251" s="57" t="s">
        <v>4360</v>
      </c>
      <c r="J251" s="97"/>
      <c r="K251" s="98"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8.5" customHeight="1">
      <c r="A252" s="73" t="str">
        <f>IF(games!A252="", "", games!A252)</f>
        <v>魔法村物語</v>
      </c>
      <c r="B252" s="57"/>
      <c r="C252" s="57" t="str">
        <f t="shared" si="7"/>
        <v>giftcodesbanner/魔法村物語-禮包碼.jpg</v>
      </c>
      <c r="D252" s="57" t="str">
        <f t="shared" si="8"/>
        <v>https://www.ssbuy.tw/detail_giftcode/dist/giftcodes/魔法村物語.html</v>
      </c>
      <c r="E252" s="97"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7" t="s">
        <v>4579</v>
      </c>
      <c r="H252" s="57" t="s">
        <v>2625</v>
      </c>
      <c r="I252" s="57" t="s">
        <v>4360</v>
      </c>
      <c r="J252" s="97"/>
      <c r="K252" s="98"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8.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7"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7" t="s">
        <v>4644</v>
      </c>
      <c r="H253" s="57" t="s">
        <v>2625</v>
      </c>
      <c r="I253" s="57" t="s">
        <v>4360</v>
      </c>
      <c r="J253" s="97"/>
      <c r="K253" s="98"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8.5" customHeight="1">
      <c r="A254" s="73" t="str">
        <f>IF(games!A254="", "", games!A254)</f>
        <v>AUR3：影月幻域</v>
      </c>
      <c r="B254" s="57"/>
      <c r="C254" s="57" t="str">
        <f t="shared" si="9"/>
        <v>giftcodesbanner/AUR3：影月幻域-禮包碼.jpg</v>
      </c>
      <c r="D254" s="57" t="str">
        <f t="shared" si="8"/>
        <v>https://www.ssbuy.tw/detail_giftcode/dist/giftcodes/AUR3：影月幻域.html</v>
      </c>
      <c r="E254" s="97"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7" t="s">
        <v>4642</v>
      </c>
      <c r="H254" s="57" t="s">
        <v>2625</v>
      </c>
      <c r="I254" s="57" t="s">
        <v>4360</v>
      </c>
      <c r="J254" s="97"/>
      <c r="K254" s="98"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8.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7"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8" t="s">
        <v>4689</v>
      </c>
      <c r="G255" s="57" t="s">
        <v>4690</v>
      </c>
      <c r="H255" s="57"/>
      <c r="I255" s="57"/>
      <c r="J255" s="97"/>
      <c r="K255" s="98"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8.5" customHeight="1">
      <c r="A256" s="73" t="str">
        <f>IF(games!A256="", "", games!A256)</f>
        <v>Next Agers</v>
      </c>
      <c r="B256" s="57"/>
      <c r="C256" s="57" t="str">
        <f t="shared" si="9"/>
        <v>giftcodesbanner/Next Agers-禮包碼.jpg</v>
      </c>
      <c r="D256" s="57" t="str">
        <f t="shared" si="8"/>
        <v>https://www.ssbuy.tw/detail_giftcode/dist/giftcodes/Next Agers.html</v>
      </c>
      <c r="E256" s="97"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8" t="s">
        <v>2640</v>
      </c>
      <c r="G256" s="57" t="s">
        <v>2640</v>
      </c>
      <c r="H256" s="57"/>
      <c r="I256" s="57"/>
      <c r="J256" s="97"/>
      <c r="K256" s="98"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8.5" customHeight="1">
      <c r="A257" s="73" t="str">
        <f>IF(games!A257="", "", games!A257)</f>
        <v>屍不可擋</v>
      </c>
      <c r="B257" s="57"/>
      <c r="C257" s="57" t="str">
        <f t="shared" si="9"/>
        <v>giftcodesbanner/屍不可擋-禮包碼.jpg</v>
      </c>
      <c r="D257" s="57" t="str">
        <f t="shared" si="8"/>
        <v>https://www.ssbuy.tw/detail_giftcode/dist/giftcodes/屍不可擋.html</v>
      </c>
      <c r="E257" s="97"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7" t="s">
        <v>2625</v>
      </c>
      <c r="H257" s="57" t="s">
        <v>4360</v>
      </c>
      <c r="I257" s="57"/>
      <c r="J257" s="97"/>
      <c r="K257" s="98"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8.5" customHeight="1">
      <c r="A258" s="73" t="str">
        <f>IF(games!A258="", "", games!A258)</f>
        <v>RF ONLINE NEXT</v>
      </c>
      <c r="B258" s="57"/>
      <c r="C258" s="57" t="str">
        <f t="shared" si="9"/>
        <v>giftcodesbanner/RF ONLINE NEXT-禮包碼.jpg</v>
      </c>
      <c r="D258" s="57" t="str">
        <f t="shared" si="8"/>
        <v>https://www.ssbuy.tw/detail_giftcode/dist/giftcodes/RF ONLINE NEXT.html</v>
      </c>
      <c r="E258" s="97"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8" t="s">
        <v>4516</v>
      </c>
      <c r="G258" s="57" t="s">
        <v>4506</v>
      </c>
      <c r="H258" s="57"/>
      <c r="I258" s="57"/>
      <c r="J258" s="97"/>
      <c r="K258" s="98"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8.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7"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7" t="s">
        <v>3641</v>
      </c>
      <c r="H259" s="57" t="s">
        <v>2625</v>
      </c>
      <c r="I259" s="57" t="s">
        <v>4360</v>
      </c>
      <c r="J259" s="97"/>
      <c r="K259" s="105"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8.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7"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8" t="s">
        <v>4516</v>
      </c>
      <c r="G260" s="57" t="s">
        <v>4506</v>
      </c>
      <c r="H260" s="57"/>
      <c r="I260" s="57"/>
      <c r="J260" s="97"/>
      <c r="K260" s="98"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8.5" customHeight="1">
      <c r="A261" s="73" t="str">
        <f>IF(games!A261="", "", games!A261)</f>
        <v>Oniro ARPG</v>
      </c>
      <c r="B261" s="57"/>
      <c r="C261" s="57" t="str">
        <f t="shared" si="9"/>
        <v>giftcodesbanner/Oniro ARPG-禮包碼.jpg</v>
      </c>
      <c r="D261" s="57" t="str">
        <f t="shared" si="10"/>
        <v>https://www.ssbuy.tw/detail_giftcode/dist/giftcodes/Oniro ARPG.html</v>
      </c>
      <c r="E261" s="97"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8" t="s">
        <v>4516</v>
      </c>
      <c r="G261" s="57" t="s">
        <v>4506</v>
      </c>
      <c r="H261" s="57"/>
      <c r="I261" s="57"/>
      <c r="J261" s="97"/>
      <c r="K261" s="98"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8.5" customHeight="1">
      <c r="A262" s="73" t="str">
        <f>IF(games!A262="", "", games!A262)</f>
        <v>Legend of YMIR</v>
      </c>
      <c r="B262" s="57"/>
      <c r="C262" s="57" t="str">
        <f t="shared" si="9"/>
        <v>giftcodesbanner/Legend of YMIR-禮包碼.jpg</v>
      </c>
      <c r="D262" s="57" t="str">
        <f t="shared" si="10"/>
        <v>https://www.ssbuy.tw/detail_giftcode/dist/giftcodes/Legend of YMIR.html</v>
      </c>
      <c r="E262" s="97"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8" t="s">
        <v>4516</v>
      </c>
      <c r="G262" s="57" t="s">
        <v>4506</v>
      </c>
      <c r="H262" s="57"/>
      <c r="I262" s="57"/>
      <c r="J262" s="97"/>
      <c r="K262" s="98"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8.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7"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8" t="s">
        <v>4516</v>
      </c>
      <c r="G263" s="57" t="s">
        <v>4506</v>
      </c>
      <c r="H263" s="57"/>
      <c r="I263" s="57"/>
      <c r="J263" s="97"/>
      <c r="K263" s="98"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8.5" customHeight="1">
      <c r="A264" s="73" t="str">
        <f>IF(games!A264="", "", games!A264)</f>
        <v>合併貓鎮</v>
      </c>
      <c r="B264" s="57"/>
      <c r="C264" s="57" t="str">
        <f t="shared" si="9"/>
        <v>giftcodesbanner/合併貓鎮-禮包碼.jpg</v>
      </c>
      <c r="D264" s="57" t="str">
        <f t="shared" si="10"/>
        <v>https://www.ssbuy.tw/detail_giftcode/dist/giftcodes/合併貓鎮.html</v>
      </c>
      <c r="E264" s="97"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8" t="s">
        <v>4810</v>
      </c>
      <c r="G264" s="57" t="s">
        <v>4809</v>
      </c>
      <c r="H264" s="57"/>
      <c r="I264" s="57"/>
      <c r="J264" s="97"/>
      <c r="K264" s="98"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8.5" customHeight="1">
      <c r="A265" s="73" t="str">
        <f>IF(games!A265="", "", games!A265)</f>
        <v>幻牌交鋒</v>
      </c>
      <c r="B265" s="57"/>
      <c r="C265" s="57" t="str">
        <f t="shared" si="9"/>
        <v>giftcodesbanner/幻牌交鋒-禮包碼.jpg</v>
      </c>
      <c r="D265" s="57" t="str">
        <f t="shared" si="10"/>
        <v>https://www.ssbuy.tw/detail_giftcode/dist/giftcodes/幻牌交鋒.html</v>
      </c>
      <c r="E265" s="97"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6" t="s">
        <v>4871</v>
      </c>
      <c r="G265" s="57" t="s">
        <v>4872</v>
      </c>
      <c r="H265" s="57" t="s">
        <v>4873</v>
      </c>
      <c r="I265" s="57" t="s">
        <v>4874</v>
      </c>
      <c r="J265" s="97"/>
      <c r="K265" s="98"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8.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7"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8" t="s">
        <v>4810</v>
      </c>
      <c r="G266" s="57" t="s">
        <v>4809</v>
      </c>
      <c r="H266" s="57"/>
      <c r="I266" s="57"/>
      <c r="J266" s="97"/>
      <c r="K266" s="98"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8.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7"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8" t="s">
        <v>4904</v>
      </c>
      <c r="G267" s="57" t="s">
        <v>4905</v>
      </c>
      <c r="H267" s="57" t="s">
        <v>4906</v>
      </c>
      <c r="I267" s="57" t="s">
        <v>4907</v>
      </c>
      <c r="J267" s="97" t="s">
        <v>4908</v>
      </c>
      <c r="K267" s="98"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8.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7"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8" t="s">
        <v>5038</v>
      </c>
      <c r="G268" s="57" t="s">
        <v>5039</v>
      </c>
      <c r="H268" s="57" t="s">
        <v>2625</v>
      </c>
      <c r="I268" s="57" t="s">
        <v>4360</v>
      </c>
      <c r="J268" s="97"/>
      <c r="K268" s="98"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8.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7"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8" t="s">
        <v>5189</v>
      </c>
      <c r="G269" s="57" t="s">
        <v>5190</v>
      </c>
      <c r="H269" s="57" t="s">
        <v>2625</v>
      </c>
      <c r="I269" s="57" t="s">
        <v>4360</v>
      </c>
      <c r="J269" s="97"/>
      <c r="K269" s="98"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8.5" customHeight="1">
      <c r="A270" s="73" t="str">
        <f>IF(games!A270="", "", games!A270)</f>
        <v>Astellia</v>
      </c>
      <c r="B270" s="57"/>
      <c r="C270" s="57" t="str">
        <f t="shared" si="12"/>
        <v>giftcodesbanner/Astellia-禮包碼.jpg</v>
      </c>
      <c r="D270" s="57" t="str">
        <f t="shared" si="13"/>
        <v>https://www.ssbuy.tw/gift-codes.html?game=Astellia</v>
      </c>
      <c r="E270" s="97"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8" t="s">
        <v>4810</v>
      </c>
      <c r="G270" s="57" t="s">
        <v>4809</v>
      </c>
      <c r="H270" s="57"/>
      <c r="I270" s="57"/>
      <c r="J270" s="97"/>
      <c r="K270" s="98"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8.5" customHeight="1">
      <c r="A271" s="73" t="str">
        <f>IF(games!A271="", "", games!A271)</f>
        <v>華夏千秋</v>
      </c>
      <c r="B271" s="57"/>
      <c r="C271" s="57" t="str">
        <f t="shared" si="12"/>
        <v>giftcodesbanner/華夏千秋-禮包碼.jpg</v>
      </c>
      <c r="D271" s="57" t="str">
        <f t="shared" si="13"/>
        <v>https://www.ssbuy.tw/gift-codes.html?game=華夏千秋</v>
      </c>
      <c r="E271" s="97"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8" t="s">
        <v>4810</v>
      </c>
      <c r="G271" s="57" t="s">
        <v>4809</v>
      </c>
      <c r="H271" s="57"/>
      <c r="I271" s="57"/>
      <c r="J271" s="97"/>
      <c r="K271" s="98"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8.5" customHeight="1">
      <c r="A272" s="73" t="str">
        <f>IF(games!A272="", "", games!A272)</f>
        <v>萌塔娘</v>
      </c>
      <c r="B272" s="57"/>
      <c r="C272" s="57" t="str">
        <f t="shared" si="12"/>
        <v>giftcodesbanner/萌塔娘-禮包碼.jpg</v>
      </c>
      <c r="D272" s="57" t="str">
        <f t="shared" si="13"/>
        <v>https://www.ssbuy.tw/gift-codes.html?game=萌塔娘</v>
      </c>
      <c r="E272" s="97"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8" t="s">
        <v>5048</v>
      </c>
      <c r="G272" s="57" t="s">
        <v>5065</v>
      </c>
      <c r="H272" s="57" t="s">
        <v>2625</v>
      </c>
      <c r="I272" s="57" t="s">
        <v>4360</v>
      </c>
      <c r="J272" s="97"/>
      <c r="K272" s="98"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8.5" customHeight="1">
      <c r="A273" s="73" t="str">
        <f>IF(games!A273="", "", games!A273)</f>
        <v>盜夢英雄2：幻野</v>
      </c>
      <c r="B273" s="57"/>
      <c r="C273" s="57" t="str">
        <f t="shared" si="12"/>
        <v>giftcodesbanner/盜夢英雄2：幻野-禮包碼.jpg</v>
      </c>
      <c r="D273" s="57" t="str">
        <f t="shared" si="13"/>
        <v>https://www.ssbuy.tw/gift-codes.html?game=盜夢英雄2：幻野</v>
      </c>
      <c r="E273" s="97"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7" t="s">
        <v>2625</v>
      </c>
      <c r="H273" s="57" t="s">
        <v>4360</v>
      </c>
      <c r="I273" s="57"/>
      <c r="J273" s="97"/>
      <c r="K273" s="98"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8.5" customHeight="1">
      <c r="A274" s="73" t="str">
        <f>IF(games!A274="", "", games!A274)</f>
        <v>貪婪洞窟：重生</v>
      </c>
      <c r="B274" s="57"/>
      <c r="C274" s="57" t="str">
        <f t="shared" si="12"/>
        <v>giftcodesbanner/貪婪洞窟：重生-禮包碼.jpg</v>
      </c>
      <c r="D274" s="57" t="str">
        <f t="shared" si="13"/>
        <v>https://www.ssbuy.tw/gift-codes.html?game=貪婪洞窟：重生</v>
      </c>
      <c r="E274" s="97"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7" t="s">
        <v>4993</v>
      </c>
      <c r="H274" s="57" t="s">
        <v>2625</v>
      </c>
      <c r="I274" s="57" t="s">
        <v>4360</v>
      </c>
      <c r="J274" s="97"/>
      <c r="K274" s="98"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8.5" customHeight="1">
      <c r="A275" s="73" t="str">
        <f>IF(games!A275="", "", games!A275)</f>
        <v>小兵特攻隊</v>
      </c>
      <c r="B275" s="57"/>
      <c r="C275" s="57" t="str">
        <f t="shared" si="12"/>
        <v>giftcodesbanner/小兵特攻隊-禮包碼.jpg</v>
      </c>
      <c r="D275" s="57" t="str">
        <f t="shared" si="13"/>
        <v>https://www.ssbuy.tw/gift-codes.html?game=小兵特攻隊</v>
      </c>
      <c r="E275" s="97"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7" t="s">
        <v>5035</v>
      </c>
      <c r="H275" s="57" t="s">
        <v>5036</v>
      </c>
      <c r="I275" s="57" t="s">
        <v>2625</v>
      </c>
      <c r="J275" s="97" t="s">
        <v>5037</v>
      </c>
      <c r="K275" s="98"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8.5" customHeight="1">
      <c r="A276" s="73" t="str">
        <f>IF(games!A276="", "", games!A276)</f>
        <v>星塔旅人</v>
      </c>
      <c r="B276" s="57"/>
      <c r="C276" s="57" t="str">
        <f t="shared" si="12"/>
        <v>giftcodesbanner/星塔旅人-禮包碼.jpg</v>
      </c>
      <c r="D276" s="57" t="str">
        <f t="shared" si="13"/>
        <v>https://www.ssbuy.tw/gift-codes.html?game=星塔旅人</v>
      </c>
      <c r="E276" s="97"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6" t="s">
        <v>5111</v>
      </c>
      <c r="G276" s="57" t="s">
        <v>5112</v>
      </c>
      <c r="H276" s="57" t="s">
        <v>5113</v>
      </c>
      <c r="I276" s="57" t="s">
        <v>5114</v>
      </c>
      <c r="J276" s="97"/>
      <c r="K276" s="106" t="s">
        <v>5457</v>
      </c>
      <c r="L276" s="57" t="s">
        <v>5451</v>
      </c>
      <c r="M276" s="59" t="s">
        <v>6453</v>
      </c>
      <c r="N276" s="60" t="s">
        <v>6454</v>
      </c>
      <c r="O276" s="98" t="s">
        <v>6455</v>
      </c>
      <c r="P276" s="57" t="s">
        <v>6456</v>
      </c>
      <c r="Q276" s="98"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8.5" customHeight="1">
      <c r="A277" s="73" t="str">
        <f>IF(games!A277="", "", games!A277)</f>
        <v>卡厄斯夢境</v>
      </c>
      <c r="B277" s="57"/>
      <c r="C277" s="57" t="str">
        <f t="shared" si="12"/>
        <v>giftcodesbanner/卡厄斯夢境-禮包碼.jpg</v>
      </c>
      <c r="D277" s="57" t="str">
        <f t="shared" si="13"/>
        <v>https://www.ssbuy.tw/gift-codes.html?game=卡厄斯夢境</v>
      </c>
      <c r="E277" s="97"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8" t="s">
        <v>5089</v>
      </c>
      <c r="G277" s="57" t="s">
        <v>5090</v>
      </c>
      <c r="H277" s="57" t="s">
        <v>2625</v>
      </c>
      <c r="I277" s="57" t="s">
        <v>4360</v>
      </c>
      <c r="J277" s="97"/>
      <c r="K277" s="106"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8.5" customHeight="1">
      <c r="A278" s="73" t="str">
        <f>IF(games!A278="", "", games!A278)</f>
        <v>星痕共鳴</v>
      </c>
      <c r="B278" s="57"/>
      <c r="C278" s="57" t="str">
        <f t="shared" si="12"/>
        <v>giftcodesbanner/星痕共鳴-禮包碼.jpg</v>
      </c>
      <c r="D278" s="57" t="str">
        <f t="shared" si="13"/>
        <v>https://www.ssbuy.tw/gift-codes.html?game=星痕共鳴</v>
      </c>
      <c r="E278" s="97"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8" t="s">
        <v>5241</v>
      </c>
      <c r="G278" s="57" t="s">
        <v>5242</v>
      </c>
      <c r="H278" s="57" t="s">
        <v>5243</v>
      </c>
      <c r="I278" s="57"/>
      <c r="J278" s="97"/>
      <c r="K278" s="98"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8.5" customHeight="1">
      <c r="A279" s="73" t="str">
        <f>IF(games!A279="", "", games!A279)</f>
        <v>二重螺旋</v>
      </c>
      <c r="B279" s="57"/>
      <c r="C279" s="57" t="str">
        <f t="shared" si="12"/>
        <v>giftcodesbanner/二重螺旋-禮包碼.jpg</v>
      </c>
      <c r="D279" s="57" t="str">
        <f t="shared" si="13"/>
        <v>https://www.ssbuy.tw/gift-codes.html?game=二重螺旋</v>
      </c>
      <c r="E279" s="97"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8" t="s">
        <v>5315</v>
      </c>
      <c r="G279" s="57" t="s">
        <v>5316</v>
      </c>
      <c r="H279" s="57" t="s">
        <v>5317</v>
      </c>
      <c r="I279" s="57" t="s">
        <v>2625</v>
      </c>
      <c r="J279" s="97" t="s">
        <v>4360</v>
      </c>
      <c r="K279" s="98"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8.5" customHeight="1">
      <c r="A280" s="73" t="str">
        <f>IF(games!A280="", "", games!A280)</f>
        <v>電馭跑酷</v>
      </c>
      <c r="B280" s="57"/>
      <c r="C280" s="57" t="str">
        <f t="shared" si="12"/>
        <v>giftcodesbanner/電馭跑酷-禮包碼.jpg</v>
      </c>
      <c r="D280" s="57" t="str">
        <f t="shared" si="13"/>
        <v>https://www.ssbuy.tw/gift-codes.html?game=電馭跑酷</v>
      </c>
      <c r="E280" s="97"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8" t="s">
        <v>5236</v>
      </c>
      <c r="G280" s="57"/>
      <c r="H280" s="57"/>
      <c r="I280" s="57"/>
      <c r="J280" s="97"/>
      <c r="K280" s="106"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8.5" customHeight="1">
      <c r="A281" s="73" t="str">
        <f>IF(games!A281="", "", games!A281)</f>
        <v>火焰紋章Shadows</v>
      </c>
      <c r="B281" s="57"/>
      <c r="C281" s="57" t="str">
        <f t="shared" si="12"/>
        <v>giftcodesbanner/火焰紋章Shadows-禮包碼.jpg</v>
      </c>
      <c r="D281" s="57" t="str">
        <f t="shared" si="13"/>
        <v>https://www.ssbuy.tw/gift-codes.html?game=火焰紋章Shadows</v>
      </c>
      <c r="E281" s="97"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8" t="s">
        <v>5236</v>
      </c>
      <c r="G281" s="57"/>
      <c r="H281" s="57"/>
      <c r="I281" s="57"/>
      <c r="J281" s="97"/>
      <c r="K281" s="106"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8.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7"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8" t="s">
        <v>5236</v>
      </c>
      <c r="G282" s="57"/>
      <c r="H282" s="57"/>
      <c r="I282" s="57"/>
      <c r="J282" s="97"/>
      <c r="K282" s="106"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8.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7"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8" t="s">
        <v>5306</v>
      </c>
      <c r="G283" s="57" t="s">
        <v>5307</v>
      </c>
      <c r="H283" s="57" t="s">
        <v>2625</v>
      </c>
      <c r="I283" s="57" t="s">
        <v>4360</v>
      </c>
      <c r="J283" s="97"/>
      <c r="K283" s="98"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8.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7"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8" t="s">
        <v>5191</v>
      </c>
      <c r="G284" s="57" t="s">
        <v>5192</v>
      </c>
      <c r="H284" s="57" t="s">
        <v>5193</v>
      </c>
      <c r="I284" s="57"/>
      <c r="J284" s="97"/>
      <c r="K284" s="98"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8.5" customHeight="1">
      <c r="A285" s="73" t="str">
        <f>IF(games!A285="", "", games!A285)</f>
        <v>弓箭英雄：塔防</v>
      </c>
      <c r="B285" s="57"/>
      <c r="C285" s="57" t="str">
        <f t="shared" si="12"/>
        <v>giftcodesbanner/弓箭英雄：塔防-禮包碼.jpg</v>
      </c>
      <c r="D285" s="57" t="str">
        <f t="shared" si="13"/>
        <v>https://www.ssbuy.tw/gift-codes.html?game=弓箭英雄：塔防</v>
      </c>
      <c r="E285" s="97"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8" t="s">
        <v>5236</v>
      </c>
      <c r="G285" s="57"/>
      <c r="H285" s="57"/>
      <c r="I285" s="57"/>
      <c r="J285" s="97"/>
      <c r="K285" s="106"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8.5" customHeight="1">
      <c r="A286" s="73" t="str">
        <f>IF(games!A286="", "", games!A286)</f>
        <v>十二之天M</v>
      </c>
      <c r="B286" s="57"/>
      <c r="C286" s="57" t="str">
        <f t="shared" si="12"/>
        <v>giftcodesbanner/十二之天M-禮包碼.jpg</v>
      </c>
      <c r="D286" s="57" t="str">
        <f t="shared" si="13"/>
        <v>https://www.ssbuy.tw/gift-codes.html?game=十二之天M</v>
      </c>
      <c r="E286" s="97"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8" t="s">
        <v>5236</v>
      </c>
      <c r="G286" s="57"/>
      <c r="H286" s="57"/>
      <c r="I286" s="57"/>
      <c r="J286" s="97"/>
      <c r="K286" s="106"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8.5" customHeight="1">
      <c r="A287" s="73" t="str">
        <f>IF(games!A287="", "", games!A287)</f>
        <v>NBA巔峰對決</v>
      </c>
      <c r="B287" s="57"/>
      <c r="C287" s="57" t="str">
        <f t="shared" si="12"/>
        <v>giftcodesbanner/NBA巔峰對決-禮包碼.jpg</v>
      </c>
      <c r="D287" s="57" t="str">
        <f t="shared" si="13"/>
        <v>https://www.ssbuy.tw/gift-codes.html?game=NBA巔峰對決</v>
      </c>
      <c r="E287" s="97"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8" t="s">
        <v>5371</v>
      </c>
      <c r="G287" s="57" t="s">
        <v>5372</v>
      </c>
      <c r="H287" s="57" t="s">
        <v>2625</v>
      </c>
      <c r="I287" s="57" t="s">
        <v>4360</v>
      </c>
      <c r="J287" s="97"/>
      <c r="K287" s="98"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8.5" customHeight="1">
      <c r="A288" s="73" t="str">
        <f>IF(games!A288="", "", games!A288)</f>
        <v>三國志：王戰</v>
      </c>
      <c r="B288" s="57"/>
      <c r="C288" s="57" t="str">
        <f t="shared" si="12"/>
        <v>giftcodesbanner/三國志：王戰-禮包碼.jpg</v>
      </c>
      <c r="D288" s="57" t="str">
        <f t="shared" si="13"/>
        <v>https://www.ssbuy.tw/gift-codes.html?game=三國志：王戰</v>
      </c>
      <c r="E288" s="97"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8" t="s">
        <v>5236</v>
      </c>
      <c r="G288" s="57"/>
      <c r="H288" s="57"/>
      <c r="I288" s="57"/>
      <c r="J288" s="97"/>
      <c r="K288" s="106"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8.5" customHeight="1">
      <c r="A289" s="73" t="str">
        <f>IF(games!A289="", "", games!A289)</f>
        <v>信長 霸道</v>
      </c>
      <c r="B289" s="57"/>
      <c r="C289" s="57" t="str">
        <f t="shared" si="12"/>
        <v>giftcodesbanner/信長 霸道-禮包碼.jpg</v>
      </c>
      <c r="D289" s="57" t="str">
        <f t="shared" si="13"/>
        <v>https://www.ssbuy.tw/gift-codes.html?game=信長 霸道</v>
      </c>
      <c r="E289" s="97"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8" t="s">
        <v>5236</v>
      </c>
      <c r="G289" s="57"/>
      <c r="H289" s="57"/>
      <c r="I289" s="57"/>
      <c r="J289" s="97"/>
      <c r="K289" s="106"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8.5" customHeight="1">
      <c r="A290" s="73" t="str">
        <f>IF(games!A290="", "", games!A290)</f>
        <v>勇者前線Versus</v>
      </c>
      <c r="B290" s="57"/>
      <c r="C290" s="57" t="str">
        <f t="shared" si="12"/>
        <v>giftcodesbanner/勇者前線Versus-禮包碼.jpg</v>
      </c>
      <c r="D290" s="57" t="str">
        <f t="shared" si="13"/>
        <v>https://www.ssbuy.tw/gift-codes.html?game=勇者前線Versus</v>
      </c>
      <c r="E290" s="97"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8" t="s">
        <v>5236</v>
      </c>
      <c r="G290" s="57"/>
      <c r="H290" s="57"/>
      <c r="I290" s="57"/>
      <c r="J290" s="97"/>
      <c r="K290" s="106"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8.5" customHeight="1">
      <c r="A291" s="73" t="str">
        <f>IF(games!A291="", "", games!A291)</f>
        <v>幻域方舟</v>
      </c>
      <c r="B291" s="57"/>
      <c r="C291" s="57" t="str">
        <f t="shared" si="12"/>
        <v>giftcodesbanner/幻域方舟-禮包碼.jpg</v>
      </c>
      <c r="D291" s="57" t="str">
        <f t="shared" si="13"/>
        <v>https://www.ssbuy.tw/gift-codes.html?game=幻域方舟</v>
      </c>
      <c r="E291" s="97"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8" t="s">
        <v>5455</v>
      </c>
      <c r="G291" s="57" t="s">
        <v>5454</v>
      </c>
      <c r="H291" s="57" t="s">
        <v>5456</v>
      </c>
      <c r="I291" s="57"/>
      <c r="J291" s="97"/>
      <c r="K291" s="106"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8.5" customHeight="1">
      <c r="A292" s="73" t="str">
        <f>IF(games!A292="", "", games!A292)</f>
        <v>開天</v>
      </c>
      <c r="B292" s="57"/>
      <c r="C292" s="57" t="str">
        <f t="shared" si="12"/>
        <v>giftcodesbanner/開天-禮包碼.jpg</v>
      </c>
      <c r="D292" s="57" t="str">
        <f t="shared" si="13"/>
        <v>https://www.ssbuy.tw/gift-codes.html?game=開天</v>
      </c>
      <c r="E292" s="97"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8" t="s">
        <v>5468</v>
      </c>
      <c r="G292" s="57" t="s">
        <v>5469</v>
      </c>
      <c r="H292" s="57" t="s">
        <v>2625</v>
      </c>
      <c r="I292" s="57"/>
      <c r="J292" s="97"/>
      <c r="K292" s="106"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8.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7"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8" t="s">
        <v>5468</v>
      </c>
      <c r="G293" s="57" t="s">
        <v>5469</v>
      </c>
      <c r="H293" s="57" t="s">
        <v>2625</v>
      </c>
      <c r="I293" s="57"/>
      <c r="J293" s="97"/>
      <c r="K293" s="106"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8.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7"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8" t="s">
        <v>5668</v>
      </c>
      <c r="G294" s="57" t="s">
        <v>5669</v>
      </c>
      <c r="H294" s="57" t="s">
        <v>5670</v>
      </c>
      <c r="I294" s="57" t="s">
        <v>2625</v>
      </c>
      <c r="J294" s="97"/>
      <c r="K294" s="106" t="s">
        <v>5506</v>
      </c>
      <c r="L294" s="57" t="s">
        <v>5507</v>
      </c>
      <c r="M294" s="59" t="s">
        <v>5671</v>
      </c>
      <c r="N294" s="60" t="s">
        <v>5672</v>
      </c>
      <c r="O294" s="59" t="s">
        <v>6498</v>
      </c>
      <c r="P294" s="60"/>
      <c r="Q294" s="59" t="s">
        <v>6499</v>
      </c>
      <c r="R294" s="60"/>
      <c r="S294" s="59" t="s">
        <v>6500</v>
      </c>
      <c r="T294" s="60"/>
      <c r="U294" s="59" t="s">
        <v>6501</v>
      </c>
      <c r="V294" s="60"/>
      <c r="W294" s="59" t="s">
        <v>6502</v>
      </c>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8.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7"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8" t="s">
        <v>5236</v>
      </c>
      <c r="G295" s="57"/>
      <c r="H295" s="57"/>
      <c r="I295" s="57"/>
      <c r="J295" s="97"/>
      <c r="K295" s="106"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8.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7"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8" t="s">
        <v>5503</v>
      </c>
      <c r="G296" s="57" t="s">
        <v>5504</v>
      </c>
      <c r="H296" s="57" t="s">
        <v>2625</v>
      </c>
      <c r="I296" s="57"/>
      <c r="J296" s="97"/>
      <c r="K296" s="107">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8.5" customHeight="1">
      <c r="A297" s="73" t="str">
        <f>IF(games!A297="", "", games!A297)</f>
        <v>熱血主公Go</v>
      </c>
      <c r="B297" s="57"/>
      <c r="C297" s="57" t="str">
        <f t="shared" si="12"/>
        <v>giftcodesbanner/熱血主公Go-禮包碼.jpg</v>
      </c>
      <c r="D297" s="57" t="str">
        <f t="shared" si="13"/>
        <v>https://www.ssbuy.tw/gift-codes.html?game=熱血主公Go</v>
      </c>
      <c r="E297" s="97"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7" t="s">
        <v>5494</v>
      </c>
      <c r="H297" s="57" t="s">
        <v>2625</v>
      </c>
      <c r="I297" s="57"/>
      <c r="J297" s="97"/>
      <c r="K297" s="98"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8.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7"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7" t="s">
        <v>5604</v>
      </c>
      <c r="H298" s="57" t="s">
        <v>2625</v>
      </c>
      <c r="I298" s="57"/>
      <c r="J298" s="97"/>
      <c r="K298" s="106"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8.5" customHeight="1">
      <c r="A299" s="73" t="str">
        <f>IF(games!A299="", "", games!A299)</f>
        <v>Cryowar</v>
      </c>
      <c r="B299" s="57"/>
      <c r="C299" s="57" t="str">
        <f t="shared" si="12"/>
        <v>giftcodesbanner/Cryowar-禮包碼.jpg</v>
      </c>
      <c r="D299" s="57" t="str">
        <f t="shared" si="13"/>
        <v>https://www.ssbuy.tw/gift-codes.html?game=Cryowar</v>
      </c>
      <c r="E299" s="97"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8" t="s">
        <v>5236</v>
      </c>
      <c r="G299" s="57"/>
      <c r="H299" s="57"/>
      <c r="I299" s="57"/>
      <c r="J299" s="97"/>
      <c r="K299" s="106"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8.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7"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8" t="s">
        <v>5236</v>
      </c>
      <c r="G300" s="57"/>
      <c r="H300" s="57"/>
      <c r="I300" s="57"/>
      <c r="J300" s="97"/>
      <c r="K300" s="106"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8.5" customHeight="1">
      <c r="A301" s="73" t="str">
        <f>IF(games!A301="", "", games!A301)</f>
        <v>熱血排球少女</v>
      </c>
      <c r="B301" s="57"/>
      <c r="C301" s="57" t="str">
        <f t="shared" si="12"/>
        <v>giftcodesbanner/熱血排球少女-禮包碼.jpg</v>
      </c>
      <c r="D301" s="57" t="str">
        <f t="shared" si="13"/>
        <v>https://www.ssbuy.tw/gift-codes.html?game=熱血排球少女</v>
      </c>
      <c r="E301" s="97"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8" t="s">
        <v>5236</v>
      </c>
      <c r="G301" s="57"/>
      <c r="H301" s="57"/>
      <c r="I301" s="57"/>
      <c r="J301" s="97"/>
      <c r="K301" s="106"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8.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7"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8" t="s">
        <v>5236</v>
      </c>
      <c r="G302" s="57"/>
      <c r="H302" s="57"/>
      <c r="I302" s="57"/>
      <c r="J302" s="97"/>
      <c r="K302" s="106"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8.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7"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8" t="s">
        <v>5615</v>
      </c>
      <c r="G303" s="57" t="s">
        <v>5616</v>
      </c>
      <c r="H303" s="57" t="s">
        <v>2625</v>
      </c>
      <c r="I303" s="57"/>
      <c r="J303" s="97"/>
      <c r="K303" s="106"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8.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7"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8" t="s">
        <v>5665</v>
      </c>
      <c r="G304" s="57" t="s">
        <v>5666</v>
      </c>
      <c r="H304" s="57" t="s">
        <v>2625</v>
      </c>
      <c r="I304" s="57"/>
      <c r="J304" s="97"/>
      <c r="K304" s="106"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8.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7"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8" t="s">
        <v>5236</v>
      </c>
      <c r="G305" s="57"/>
      <c r="H305" s="57"/>
      <c r="I305" s="57"/>
      <c r="J305" s="97"/>
      <c r="K305" s="106"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8.5" customHeight="1">
      <c r="A306" s="73" t="str">
        <f>IF(games!A306="", "", games!A306)</f>
        <v>G9：特功聯盟</v>
      </c>
      <c r="B306" s="57"/>
      <c r="C306" s="57" t="str">
        <f t="shared" si="12"/>
        <v>giftcodesbanner/G9：特功聯盟-禮包碼.jpg</v>
      </c>
      <c r="D306" s="57" t="str">
        <f t="shared" si="13"/>
        <v>https://www.ssbuy.tw/gift-codes.html?game=G9：特功聯盟</v>
      </c>
      <c r="E306" s="97"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8" t="s">
        <v>5611</v>
      </c>
      <c r="G306" s="57" t="s">
        <v>5612</v>
      </c>
      <c r="H306" s="57" t="s">
        <v>2625</v>
      </c>
      <c r="I306" s="57"/>
      <c r="J306" s="97"/>
      <c r="K306" s="106"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8.5" customHeight="1">
      <c r="A307" s="73" t="str">
        <f>IF(games!A307="", "", games!A307)</f>
        <v>AION2</v>
      </c>
      <c r="B307" s="57"/>
      <c r="C307" s="57" t="str">
        <f t="shared" si="12"/>
        <v>giftcodesbanner/AION2-禮包碼.jpg</v>
      </c>
      <c r="D307" s="57" t="str">
        <f t="shared" si="13"/>
        <v>https://www.ssbuy.tw/gift-codes.html?game=AION2</v>
      </c>
      <c r="E307" s="97"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8" t="s">
        <v>5236</v>
      </c>
      <c r="G307" s="57"/>
      <c r="H307" s="57"/>
      <c r="I307" s="57"/>
      <c r="J307" s="97"/>
      <c r="K307" s="106"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8.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7"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8" t="s">
        <v>5236</v>
      </c>
      <c r="G308" s="57"/>
      <c r="H308" s="57"/>
      <c r="I308" s="57"/>
      <c r="J308" s="97"/>
      <c r="K308" s="106" t="s">
        <v>5506</v>
      </c>
      <c r="L308" s="57" t="s">
        <v>5507</v>
      </c>
      <c r="M308" s="59" t="s">
        <v>6503</v>
      </c>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8.5" customHeight="1">
      <c r="A309" s="73" t="str">
        <f>IF(games!A309="", "", games!A309)</f>
        <v>BLEACH：刀鳴</v>
      </c>
      <c r="B309" s="57"/>
      <c r="C309" s="57" t="str">
        <f t="shared" si="12"/>
        <v>giftcodesbanner/BLEACH：刀鳴-禮包碼.jpg</v>
      </c>
      <c r="D309" s="57" t="str">
        <f t="shared" si="13"/>
        <v>https://www.ssbuy.tw/gift-codes.html?game=BLEACH：刀鳴</v>
      </c>
      <c r="E309" s="97"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8" t="s">
        <v>5752</v>
      </c>
      <c r="G309" s="57" t="s">
        <v>6202</v>
      </c>
      <c r="H309" s="57" t="s">
        <v>2625</v>
      </c>
      <c r="I309" s="57"/>
      <c r="J309" s="97"/>
      <c r="K309" s="106"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6175</v>
      </c>
      <c r="AN309" s="60"/>
      <c r="AO309" s="59" t="s">
        <v>6176</v>
      </c>
      <c r="AP309" s="60"/>
      <c r="AQ309" s="59" t="s">
        <v>6177</v>
      </c>
      <c r="AR309" s="60"/>
      <c r="AS309" s="59" t="s">
        <v>6178</v>
      </c>
      <c r="AT309" s="60"/>
      <c r="AU309" s="59" t="s">
        <v>6179</v>
      </c>
      <c r="AV309" s="60"/>
      <c r="AW309" s="59" t="s">
        <v>6180</v>
      </c>
      <c r="AX309" s="60"/>
      <c r="AY309" s="59" t="s">
        <v>6201</v>
      </c>
      <c r="AZ309" s="60"/>
      <c r="BA309" s="59"/>
      <c r="BB309" s="57"/>
      <c r="BC309" s="59"/>
      <c r="BD309" s="57"/>
      <c r="BE309" s="59"/>
      <c r="BF309" s="57"/>
      <c r="BG309" s="59"/>
      <c r="BH309" s="57"/>
      <c r="BI309" s="59"/>
      <c r="BJ309" s="57"/>
      <c r="BK309" s="59"/>
      <c r="BL309" s="57"/>
      <c r="BM309" s="59"/>
      <c r="BN309" s="57"/>
      <c r="BO309" s="59"/>
      <c r="BP309" s="57"/>
      <c r="BQ309" s="59"/>
      <c r="BR309" s="61"/>
    </row>
    <row r="310" spans="1:70" ht="28.5" customHeight="1">
      <c r="A310" s="73" t="str">
        <f>IF(games!A310="", "", games!A310)</f>
        <v>不朽龍裔</v>
      </c>
      <c r="B310" s="57"/>
      <c r="C310" s="57" t="str">
        <f t="shared" si="12"/>
        <v>giftcodesbanner/不朽龍裔-禮包碼.jpg</v>
      </c>
      <c r="D310" s="57" t="str">
        <f t="shared" si="13"/>
        <v>https://www.ssbuy.tw/gift-codes.html?game=不朽龍裔</v>
      </c>
      <c r="E310" s="97"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8" t="s">
        <v>5918</v>
      </c>
      <c r="G310" s="57" t="s">
        <v>5469</v>
      </c>
      <c r="H310" s="57" t="s">
        <v>2625</v>
      </c>
      <c r="I310" s="57"/>
      <c r="J310" s="97"/>
      <c r="K310" s="106"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8.5" customHeight="1">
      <c r="A311" s="73" t="str">
        <f>IF(games!A311="", "", games!A311)</f>
        <v>NBA籃球世界</v>
      </c>
      <c r="B311" s="57"/>
      <c r="C311" s="57" t="str">
        <f t="shared" si="12"/>
        <v>giftcodesbanner/NBA籃球世界-禮包碼.jpg</v>
      </c>
      <c r="D311" s="57" t="str">
        <f t="shared" si="13"/>
        <v>https://www.ssbuy.tw/gift-codes.html?game=NBA籃球世界</v>
      </c>
      <c r="E311" s="97"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8" t="s">
        <v>5236</v>
      </c>
      <c r="G311" s="57"/>
      <c r="H311" s="57"/>
      <c r="I311" s="57"/>
      <c r="J311" s="97"/>
      <c r="K311" s="106"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8.5" customHeight="1">
      <c r="A312" s="73" t="str">
        <f>IF(games!A312="", "", games!A312)</f>
        <v>英雄來搞鬼</v>
      </c>
      <c r="B312" s="57"/>
      <c r="C312" s="57" t="str">
        <f t="shared" ref="C312:C366" si="14">IF(A312="","", "giftcodesbanner/" &amp; A312 &amp; "-禮包碼.jpg")</f>
        <v>giftcodesbanner/英雄來搞鬼-禮包碼.jpg</v>
      </c>
      <c r="D312" s="57" t="str">
        <f t="shared" ref="D312:D366" si="15">IF(A312="","", "https://www.ssbuy.tw/gift-codes.html?game="&amp;A312)</f>
        <v>https://www.ssbuy.tw/gift-codes.html?game=英雄來搞鬼</v>
      </c>
      <c r="E312" s="97"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7" t="s">
        <v>5723</v>
      </c>
      <c r="H312" s="57" t="s">
        <v>2625</v>
      </c>
      <c r="I312" s="57"/>
      <c r="J312" s="97"/>
      <c r="K312" s="106"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8.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7"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8" t="s">
        <v>5468</v>
      </c>
      <c r="G313" s="57" t="s">
        <v>5469</v>
      </c>
      <c r="H313" s="57" t="s">
        <v>2625</v>
      </c>
      <c r="I313" s="57"/>
      <c r="J313" s="97"/>
      <c r="K313" s="106"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8.5" customHeight="1">
      <c r="A314" s="73" t="str">
        <f>IF(games!A314="", "", games!A314)</f>
        <v>星落</v>
      </c>
      <c r="B314" s="57"/>
      <c r="C314" s="57" t="str">
        <f t="shared" si="14"/>
        <v>giftcodesbanner/星落-禮包碼.jpg</v>
      </c>
      <c r="D314" s="57" t="str">
        <f t="shared" si="15"/>
        <v>https://www.ssbuy.tw/gift-codes.html?game=星落</v>
      </c>
      <c r="E314" s="97"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8" t="s">
        <v>5881</v>
      </c>
      <c r="G314" s="57" t="s">
        <v>5882</v>
      </c>
      <c r="H314" s="57" t="s">
        <v>5848</v>
      </c>
      <c r="I314" s="57"/>
      <c r="J314" s="97"/>
      <c r="K314" s="106"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8.5" customHeight="1">
      <c r="A315" s="73" t="str">
        <f>IF(games!A315="", "", games!A315)</f>
        <v>超自然行動組</v>
      </c>
      <c r="B315" s="57"/>
      <c r="C315" s="57" t="str">
        <f t="shared" si="14"/>
        <v>giftcodesbanner/超自然行動組-禮包碼.jpg</v>
      </c>
      <c r="D315" s="57" t="str">
        <f t="shared" si="15"/>
        <v>https://www.ssbuy.tw/gift-codes.html?game=超自然行動組</v>
      </c>
      <c r="E315" s="97"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8" t="s">
        <v>5236</v>
      </c>
      <c r="G315" s="57"/>
      <c r="H315" s="57"/>
      <c r="I315" s="57"/>
      <c r="J315" s="97"/>
      <c r="K315" s="106"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8.5" customHeight="1">
      <c r="A316" s="73" t="str">
        <f>IF(games!A316="", "", games!A316)</f>
        <v>問劍長生</v>
      </c>
      <c r="B316" s="57"/>
      <c r="C316" s="57" t="str">
        <f t="shared" si="14"/>
        <v>giftcodesbanner/問劍長生-禮包碼.jpg</v>
      </c>
      <c r="D316" s="57" t="str">
        <f t="shared" si="15"/>
        <v>https://www.ssbuy.tw/gift-codes.html?game=問劍長生</v>
      </c>
      <c r="E316" s="97"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8" t="s">
        <v>5769</v>
      </c>
      <c r="G316" s="57" t="s">
        <v>5770</v>
      </c>
      <c r="H316" s="57" t="s">
        <v>5856</v>
      </c>
      <c r="I316" s="57" t="s">
        <v>2625</v>
      </c>
      <c r="J316" s="97"/>
      <c r="K316" s="106"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8.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7"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7" t="s">
        <v>5847</v>
      </c>
      <c r="H317" s="57" t="s">
        <v>5849</v>
      </c>
      <c r="I317" s="57"/>
      <c r="J317" s="97"/>
      <c r="K317" s="106"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8.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7"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7" t="s">
        <v>5847</v>
      </c>
      <c r="H318" s="57" t="s">
        <v>5849</v>
      </c>
      <c r="I318" s="57"/>
      <c r="J318" s="97"/>
      <c r="K318" s="106"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8.5" customHeight="1">
      <c r="A319" s="73" t="str">
        <f>IF(games!A319="", "", games!A319)</f>
        <v>絕地鴨衛</v>
      </c>
      <c r="B319" s="57"/>
      <c r="C319" s="57" t="str">
        <f t="shared" si="14"/>
        <v>giftcodesbanner/絕地鴨衛-禮包碼.jpg</v>
      </c>
      <c r="D319" s="57" t="str">
        <f t="shared" si="15"/>
        <v>https://www.ssbuy.tw/gift-codes.html?game=絕地鴨衛</v>
      </c>
      <c r="E319" s="97"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8" t="s">
        <v>5236</v>
      </c>
      <c r="G319" s="57"/>
      <c r="H319" s="57"/>
      <c r="I319" s="57"/>
      <c r="J319" s="97"/>
      <c r="K319" s="106"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8.5" customHeight="1">
      <c r="A320" s="73" t="str">
        <f>IF(games!A320="", "", games!A320)</f>
        <v>NBA 2K26 Myteam</v>
      </c>
      <c r="B320" s="57"/>
      <c r="C320" s="57" t="str">
        <f t="shared" si="14"/>
        <v>giftcodesbanner/NBA 2K26 Myteam-禮包碼.jpg</v>
      </c>
      <c r="D320" s="57" t="str">
        <f t="shared" si="15"/>
        <v>https://www.ssbuy.tw/gift-codes.html?game=NBA 2K26 Myteam</v>
      </c>
      <c r="E320" s="97"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8" t="s">
        <v>5236</v>
      </c>
      <c r="G320" s="57"/>
      <c r="H320" s="57"/>
      <c r="I320" s="57"/>
      <c r="J320" s="97"/>
      <c r="K320" s="106"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8.5" customHeight="1">
      <c r="A321" s="73" t="str">
        <f>IF(games!A321="", "", games!A321)</f>
        <v>放置法陣</v>
      </c>
      <c r="B321" s="57"/>
      <c r="C321" s="57" t="str">
        <f t="shared" si="14"/>
        <v>giftcodesbanner/放置法陣-禮包碼.jpg</v>
      </c>
      <c r="D321" s="57" t="str">
        <f t="shared" si="15"/>
        <v>https://www.ssbuy.tw/gift-codes.html?game=放置法陣</v>
      </c>
      <c r="E321" s="97"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8" t="s">
        <v>5973</v>
      </c>
      <c r="G321" s="57" t="s">
        <v>5974</v>
      </c>
      <c r="H321" s="57" t="s">
        <v>5849</v>
      </c>
      <c r="I321" s="57"/>
      <c r="J321" s="97"/>
      <c r="K321" s="106" t="s">
        <v>5506</v>
      </c>
      <c r="L321" s="57" t="s">
        <v>5507</v>
      </c>
      <c r="M321" s="59" t="s">
        <v>5971</v>
      </c>
      <c r="N321" s="60" t="s">
        <v>5972</v>
      </c>
      <c r="O321" s="59" t="s">
        <v>6093</v>
      </c>
      <c r="P321" s="60" t="s">
        <v>6094</v>
      </c>
      <c r="Q321" s="59" t="s">
        <v>6864</v>
      </c>
      <c r="R321" s="60" t="s">
        <v>6868</v>
      </c>
      <c r="S321" s="59" t="s">
        <v>6865</v>
      </c>
      <c r="T321" s="60" t="s">
        <v>6869</v>
      </c>
      <c r="U321" s="59" t="s">
        <v>6866</v>
      </c>
      <c r="V321" s="60" t="s">
        <v>6870</v>
      </c>
      <c r="W321" s="59" t="s">
        <v>6867</v>
      </c>
      <c r="X321" s="60" t="s">
        <v>6868</v>
      </c>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8.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7"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8" t="s">
        <v>5236</v>
      </c>
      <c r="G322" s="57"/>
      <c r="H322" s="57"/>
      <c r="I322" s="57"/>
      <c r="J322" s="97"/>
      <c r="K322" s="106"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8.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7"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8" t="s">
        <v>6004</v>
      </c>
      <c r="G323" s="57" t="s">
        <v>6005</v>
      </c>
      <c r="H323" s="57" t="s">
        <v>6006</v>
      </c>
      <c r="I323" s="57" t="s">
        <v>5849</v>
      </c>
      <c r="J323" s="97"/>
      <c r="K323" s="106"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8.5" customHeight="1">
      <c r="A324" s="73" t="str">
        <f>IF(games!A324="", "", games!A324)</f>
        <v>依露希爾</v>
      </c>
      <c r="B324" s="57"/>
      <c r="C324" s="57" t="str">
        <f t="shared" si="14"/>
        <v>giftcodesbanner/依露希爾-禮包碼.jpg</v>
      </c>
      <c r="D324" s="57" t="str">
        <f t="shared" si="15"/>
        <v>https://www.ssbuy.tw/gift-codes.html?game=依露希爾</v>
      </c>
      <c r="E324" s="97"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8" t="s">
        <v>6000</v>
      </c>
      <c r="G324" s="57" t="s">
        <v>6001</v>
      </c>
      <c r="H324" s="57" t="s">
        <v>6002</v>
      </c>
      <c r="I324" s="57" t="s">
        <v>6003</v>
      </c>
      <c r="J324" s="97" t="s">
        <v>5849</v>
      </c>
      <c r="K324" s="106" t="s">
        <v>5506</v>
      </c>
      <c r="L324" s="57" t="s">
        <v>5507</v>
      </c>
      <c r="M324" s="59" t="s">
        <v>5946</v>
      </c>
      <c r="N324" s="60" t="s">
        <v>5999</v>
      </c>
      <c r="O324" s="59" t="s">
        <v>6222</v>
      </c>
      <c r="P324" s="60"/>
      <c r="Q324" s="59" t="s">
        <v>6262</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8.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7"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8" t="s">
        <v>5236</v>
      </c>
      <c r="G325" s="57"/>
      <c r="H325" s="57"/>
      <c r="I325" s="57"/>
      <c r="J325" s="97"/>
      <c r="K325" s="106"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8.5" customHeight="1">
      <c r="A326" s="73" t="str">
        <f>IF(games!A326="", "", games!A326)</f>
        <v>曹操不囉嗦</v>
      </c>
      <c r="B326" s="57"/>
      <c r="C326" s="57" t="str">
        <f t="shared" si="14"/>
        <v>giftcodesbanner/曹操不囉嗦-禮包碼.jpg</v>
      </c>
      <c r="D326" s="57" t="str">
        <f t="shared" si="15"/>
        <v>https://www.ssbuy.tw/gift-codes.html?game=曹操不囉嗦</v>
      </c>
      <c r="E326" s="97"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8" t="s">
        <v>6000</v>
      </c>
      <c r="G326" s="57" t="s">
        <v>7527</v>
      </c>
      <c r="H326" s="57" t="s">
        <v>7528</v>
      </c>
      <c r="I326" s="57" t="s">
        <v>6999</v>
      </c>
      <c r="J326" s="97"/>
      <c r="K326" s="106" t="s">
        <v>5506</v>
      </c>
      <c r="L326" s="57" t="s">
        <v>5507</v>
      </c>
      <c r="M326" s="59" t="s">
        <v>7521</v>
      </c>
      <c r="N326" s="60" t="s">
        <v>7524</v>
      </c>
      <c r="O326" s="59" t="s">
        <v>7522</v>
      </c>
      <c r="P326" s="60" t="s">
        <v>7525</v>
      </c>
      <c r="Q326" s="59" t="s">
        <v>7523</v>
      </c>
      <c r="R326" s="60" t="s">
        <v>7526</v>
      </c>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8.5" customHeight="1">
      <c r="A327" s="73" t="str">
        <f>IF(games!A327="", "", games!A327)</f>
        <v>江湖有詭</v>
      </c>
      <c r="B327" s="57"/>
      <c r="C327" s="57" t="str">
        <f t="shared" si="14"/>
        <v>giftcodesbanner/江湖有詭-禮包碼.jpg</v>
      </c>
      <c r="D327" s="57" t="str">
        <f t="shared" si="15"/>
        <v>https://www.ssbuy.tw/gift-codes.html?game=江湖有詭</v>
      </c>
      <c r="E327" s="97"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8" t="s">
        <v>6059</v>
      </c>
      <c r="G327" s="57" t="s">
        <v>6060</v>
      </c>
      <c r="H327" s="57" t="s">
        <v>5849</v>
      </c>
      <c r="I327" s="57"/>
      <c r="J327" s="97"/>
      <c r="K327" s="106"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8.5" customHeight="1">
      <c r="A328" s="73" t="str">
        <f>IF(games!A328="", "", games!A328)</f>
        <v>將軍請息怒</v>
      </c>
      <c r="B328" s="57"/>
      <c r="C328" s="57" t="str">
        <f t="shared" si="14"/>
        <v>giftcodesbanner/將軍請息怒-禮包碼.jpg</v>
      </c>
      <c r="D328" s="57" t="str">
        <f t="shared" si="15"/>
        <v>https://www.ssbuy.tw/gift-codes.html?game=將軍請息怒</v>
      </c>
      <c r="E328" s="97"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8" t="s">
        <v>6000</v>
      </c>
      <c r="G328" s="57" t="s">
        <v>6116</v>
      </c>
      <c r="H328" s="57" t="s">
        <v>6256</v>
      </c>
      <c r="I328" s="57"/>
      <c r="J328" s="97"/>
      <c r="K328" s="106" t="s">
        <v>5506</v>
      </c>
      <c r="L328" s="57" t="s">
        <v>5507</v>
      </c>
      <c r="M328" s="59" t="s">
        <v>6061</v>
      </c>
      <c r="N328" s="60"/>
      <c r="O328" s="59" t="s">
        <v>6062</v>
      </c>
      <c r="P328" s="60"/>
      <c r="Q328" s="59" t="s">
        <v>6063</v>
      </c>
      <c r="R328" s="60"/>
      <c r="S328" s="59" t="s">
        <v>6111</v>
      </c>
      <c r="T328" s="60"/>
      <c r="U328" s="59" t="s">
        <v>6064</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8.5" customHeight="1">
      <c r="A329" s="73" t="str">
        <f>IF(games!A329="", "", games!A329)</f>
        <v>RO：世界之旅</v>
      </c>
      <c r="B329" s="57"/>
      <c r="C329" s="57" t="str">
        <f t="shared" si="14"/>
        <v>giftcodesbanner/RO：世界之旅-禮包碼.jpg</v>
      </c>
      <c r="D329" s="57" t="str">
        <f t="shared" si="15"/>
        <v>https://www.ssbuy.tw/gift-codes.html?game=RO：世界之旅</v>
      </c>
      <c r="E329" s="97"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8" t="s">
        <v>6757</v>
      </c>
      <c r="G329" s="57" t="s">
        <v>6758</v>
      </c>
      <c r="H329" s="57" t="s">
        <v>6256</v>
      </c>
      <c r="I329" s="57"/>
      <c r="J329" s="97"/>
      <c r="K329" s="106" t="s">
        <v>5506</v>
      </c>
      <c r="L329" s="57" t="s">
        <v>5507</v>
      </c>
      <c r="M329" s="59" t="s">
        <v>6021</v>
      </c>
      <c r="N329" s="60" t="s">
        <v>6759</v>
      </c>
      <c r="O329" s="59" t="s">
        <v>6022</v>
      </c>
      <c r="P329" s="60" t="s">
        <v>6760</v>
      </c>
      <c r="Q329" s="59" t="s">
        <v>6023</v>
      </c>
      <c r="R329" s="60" t="s">
        <v>6761</v>
      </c>
      <c r="S329" s="59" t="s">
        <v>6024</v>
      </c>
      <c r="T329" s="60" t="s">
        <v>6762</v>
      </c>
      <c r="U329" s="59" t="s">
        <v>6285</v>
      </c>
      <c r="V329" s="60" t="s">
        <v>6762</v>
      </c>
      <c r="W329" s="59" t="s">
        <v>6025</v>
      </c>
      <c r="X329" s="60" t="s">
        <v>6763</v>
      </c>
      <c r="Y329" s="59" t="s">
        <v>6026</v>
      </c>
      <c r="Z329" s="60" t="s">
        <v>6764</v>
      </c>
      <c r="AA329" s="59" t="s">
        <v>6027</v>
      </c>
      <c r="AB329" s="60" t="s">
        <v>6765</v>
      </c>
      <c r="AC329" s="59" t="s">
        <v>6796</v>
      </c>
      <c r="AD329" s="60"/>
      <c r="AE329" s="59" t="s">
        <v>6797</v>
      </c>
      <c r="AF329" s="60"/>
      <c r="AG329" s="59" t="s">
        <v>6798</v>
      </c>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8.5" customHeight="1">
      <c r="A330" s="73" t="str">
        <f>IF(games!A330="", "", games!A330)</f>
        <v>燕雲十六聲</v>
      </c>
      <c r="B330" s="57"/>
      <c r="C330" s="57" t="str">
        <f t="shared" si="14"/>
        <v>giftcodesbanner/燕雲十六聲-禮包碼.jpg</v>
      </c>
      <c r="D330" s="57" t="str">
        <f t="shared" si="15"/>
        <v>https://www.ssbuy.tw/gift-codes.html?game=燕雲十六聲</v>
      </c>
      <c r="E330" s="97"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8" t="s">
        <v>6066</v>
      </c>
      <c r="G330" s="57" t="s">
        <v>6067</v>
      </c>
      <c r="H330" s="57" t="s">
        <v>6068</v>
      </c>
      <c r="I330" s="57"/>
      <c r="J330" s="97"/>
      <c r="K330" s="106" t="s">
        <v>5506</v>
      </c>
      <c r="L330" s="57" t="s">
        <v>5507</v>
      </c>
      <c r="M330" s="59" t="s">
        <v>6069</v>
      </c>
      <c r="N330" s="60" t="s">
        <v>6282</v>
      </c>
      <c r="O330" s="59" t="s">
        <v>6070</v>
      </c>
      <c r="P330" s="60" t="s">
        <v>6281</v>
      </c>
      <c r="Q330" s="59" t="s">
        <v>6071</v>
      </c>
      <c r="R330" s="60" t="s">
        <v>6283</v>
      </c>
      <c r="S330" s="59" t="s">
        <v>6072</v>
      </c>
      <c r="T330" s="60" t="s">
        <v>6073</v>
      </c>
      <c r="U330" s="59" t="s">
        <v>6074</v>
      </c>
      <c r="V330" s="60" t="s">
        <v>6284</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8.5" customHeight="1">
      <c r="A331" s="73" t="str">
        <f>IF(games!A331="", "", games!A331)</f>
        <v>99強化木棒</v>
      </c>
      <c r="B331" s="57"/>
      <c r="C331" s="57" t="str">
        <f t="shared" si="14"/>
        <v>giftcodesbanner/99強化木棒-禮包碼.jpg</v>
      </c>
      <c r="D331" s="57" t="str">
        <f t="shared" si="15"/>
        <v>https://www.ssbuy.tw/gift-codes.html?game=99強化木棒</v>
      </c>
      <c r="E331" s="97"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8" t="s">
        <v>6326</v>
      </c>
      <c r="G331" s="57" t="s">
        <v>6327</v>
      </c>
      <c r="H331" s="57"/>
      <c r="I331" s="57"/>
      <c r="J331" s="97"/>
      <c r="K331" s="106" t="s">
        <v>5506</v>
      </c>
      <c r="L331" s="57" t="s">
        <v>5507</v>
      </c>
      <c r="M331" s="59" t="s">
        <v>6328</v>
      </c>
      <c r="N331" s="60"/>
      <c r="O331" s="59" t="s">
        <v>6329</v>
      </c>
      <c r="P331" s="60"/>
      <c r="Q331" s="59" t="s">
        <v>6330</v>
      </c>
      <c r="R331" s="60"/>
      <c r="S331" s="59" t="s">
        <v>6331</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8.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7"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8" t="s">
        <v>6332</v>
      </c>
      <c r="G332" s="57" t="s">
        <v>6333</v>
      </c>
      <c r="H332" s="57" t="s">
        <v>6257</v>
      </c>
      <c r="I332" s="57"/>
      <c r="J332" s="97"/>
      <c r="K332" s="106" t="s">
        <v>5506</v>
      </c>
      <c r="L332" s="57" t="s">
        <v>5507</v>
      </c>
      <c r="M332" s="59" t="s">
        <v>6117</v>
      </c>
      <c r="N332" s="60" t="s">
        <v>6334</v>
      </c>
      <c r="O332" s="59" t="s">
        <v>6118</v>
      </c>
      <c r="P332" s="60" t="s">
        <v>6335</v>
      </c>
      <c r="Q332" s="59" t="s">
        <v>6119</v>
      </c>
      <c r="R332" s="60" t="s">
        <v>6336</v>
      </c>
      <c r="S332" s="59" t="s">
        <v>6120</v>
      </c>
      <c r="T332" s="60" t="s">
        <v>6337</v>
      </c>
      <c r="U332" s="59" t="s">
        <v>6121</v>
      </c>
      <c r="V332" s="60" t="s">
        <v>6338</v>
      </c>
      <c r="W332" s="59" t="s">
        <v>6122</v>
      </c>
      <c r="X332" s="60" t="s">
        <v>6339</v>
      </c>
      <c r="Y332" s="59" t="s">
        <v>6123</v>
      </c>
      <c r="Z332" s="60" t="s">
        <v>6340</v>
      </c>
      <c r="AA332" s="59" t="s">
        <v>6261</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8.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7"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8" t="s">
        <v>5236</v>
      </c>
      <c r="G333" s="88" t="s">
        <v>6136</v>
      </c>
      <c r="H333" s="57"/>
      <c r="I333" s="57"/>
      <c r="J333" s="97"/>
      <c r="K333" s="106" t="s">
        <v>5506</v>
      </c>
      <c r="L333" s="57" t="s">
        <v>5507</v>
      </c>
      <c r="M333" s="59" t="s">
        <v>6137</v>
      </c>
      <c r="N333" s="60" t="s">
        <v>6153</v>
      </c>
      <c r="O333" s="59" t="s">
        <v>6138</v>
      </c>
      <c r="P333" s="60" t="s">
        <v>6153</v>
      </c>
      <c r="Q333" s="59" t="s">
        <v>6139</v>
      </c>
      <c r="R333" s="60" t="s">
        <v>6153</v>
      </c>
      <c r="S333" s="59" t="s">
        <v>6140</v>
      </c>
      <c r="T333" s="60" t="s">
        <v>6153</v>
      </c>
      <c r="U333" s="59" t="s">
        <v>6141</v>
      </c>
      <c r="V333" s="60" t="s">
        <v>6153</v>
      </c>
      <c r="W333" s="59" t="s">
        <v>6142</v>
      </c>
      <c r="X333" s="60" t="s">
        <v>6154</v>
      </c>
      <c r="Y333" s="59" t="s">
        <v>6143</v>
      </c>
      <c r="Z333" s="60" t="s">
        <v>6155</v>
      </c>
      <c r="AA333" s="59" t="s">
        <v>6144</v>
      </c>
      <c r="AB333" s="60" t="s">
        <v>6155</v>
      </c>
      <c r="AC333" s="59" t="s">
        <v>6145</v>
      </c>
      <c r="AD333" s="60" t="s">
        <v>6155</v>
      </c>
      <c r="AE333" s="59" t="s">
        <v>6146</v>
      </c>
      <c r="AF333" s="60" t="s">
        <v>6160</v>
      </c>
      <c r="AG333" s="59" t="s">
        <v>6147</v>
      </c>
      <c r="AH333" s="60" t="s">
        <v>6156</v>
      </c>
      <c r="AI333" s="59" t="s">
        <v>6148</v>
      </c>
      <c r="AJ333" s="60" t="s">
        <v>6157</v>
      </c>
      <c r="AK333" s="59" t="s">
        <v>6149</v>
      </c>
      <c r="AL333" s="60" t="s">
        <v>6158</v>
      </c>
      <c r="AM333" s="59" t="s">
        <v>6150</v>
      </c>
      <c r="AN333" s="60" t="s">
        <v>6159</v>
      </c>
      <c r="AO333" s="59" t="s">
        <v>6151</v>
      </c>
      <c r="AP333" s="60"/>
      <c r="AQ333" s="59" t="s">
        <v>6152</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8.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7"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8" t="s">
        <v>5236</v>
      </c>
      <c r="G334" s="57"/>
      <c r="H334" s="57"/>
      <c r="I334" s="57"/>
      <c r="J334" s="97"/>
      <c r="K334" s="106"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8.5" customHeight="1">
      <c r="A335" s="73" t="str">
        <f>IF(games!A335="", "", games!A335)</f>
        <v>超次元三國</v>
      </c>
      <c r="B335" s="57"/>
      <c r="C335" s="57" t="str">
        <f t="shared" si="14"/>
        <v>giftcodesbanner/超次元三國-禮包碼.jpg</v>
      </c>
      <c r="D335" s="57" t="str">
        <f t="shared" si="15"/>
        <v>https://www.ssbuy.tw/gift-codes.html?game=超次元三國</v>
      </c>
      <c r="E335" s="97"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8" t="s">
        <v>6341</v>
      </c>
      <c r="G335" s="57" t="s">
        <v>6342</v>
      </c>
      <c r="H335" s="57" t="s">
        <v>6343</v>
      </c>
      <c r="I335" s="57" t="s">
        <v>6257</v>
      </c>
      <c r="J335" s="97"/>
      <c r="K335" s="106" t="s">
        <v>5506</v>
      </c>
      <c r="L335" s="57" t="s">
        <v>5507</v>
      </c>
      <c r="M335" s="59" t="s">
        <v>6295</v>
      </c>
      <c r="N335" s="60"/>
      <c r="O335" s="59" t="s">
        <v>6296</v>
      </c>
      <c r="P335" s="60"/>
      <c r="Q335" s="59" t="s">
        <v>6297</v>
      </c>
      <c r="R335" s="60"/>
      <c r="S335" s="59" t="s">
        <v>6298</v>
      </c>
      <c r="T335" s="60"/>
      <c r="U335" s="59" t="s">
        <v>6299</v>
      </c>
      <c r="V335" s="60"/>
      <c r="W335" s="59" t="s">
        <v>6300</v>
      </c>
      <c r="X335" s="60"/>
      <c r="Y335" s="59" t="s">
        <v>6301</v>
      </c>
      <c r="Z335" s="60"/>
      <c r="AA335" s="59" t="s">
        <v>6302</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8.5" customHeight="1">
      <c r="A336" s="73" t="str">
        <f>IF(games!A336="", "", games!A336)</f>
        <v>poker fate</v>
      </c>
      <c r="B336" s="57"/>
      <c r="C336" s="57" t="str">
        <f t="shared" si="14"/>
        <v>giftcodesbanner/poker fate-禮包碼.jpg</v>
      </c>
      <c r="D336" s="57" t="str">
        <f t="shared" si="15"/>
        <v>https://www.ssbuy.tw/gift-codes.html?game=poker fate</v>
      </c>
      <c r="E336" s="97"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8" t="s">
        <v>5236</v>
      </c>
      <c r="G336" s="57"/>
      <c r="H336" s="57"/>
      <c r="I336" s="57"/>
      <c r="J336" s="97"/>
      <c r="K336" s="106"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8.5" customHeight="1">
      <c r="A337" s="73" t="str">
        <f>IF(games!A337="", "", games!A337)</f>
        <v>時空心語</v>
      </c>
      <c r="B337" s="57"/>
      <c r="C337" s="57" t="str">
        <f t="shared" si="14"/>
        <v>giftcodesbanner/時空心語-禮包碼.jpg</v>
      </c>
      <c r="D337" s="57" t="str">
        <f t="shared" si="15"/>
        <v>https://www.ssbuy.tw/gift-codes.html?game=時空心語</v>
      </c>
      <c r="E337" s="97"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8" t="s">
        <v>6254</v>
      </c>
      <c r="G337" s="57" t="s">
        <v>6255</v>
      </c>
      <c r="H337" s="57" t="s">
        <v>6257</v>
      </c>
      <c r="I337" s="57"/>
      <c r="J337" s="97"/>
      <c r="K337" s="106" t="s">
        <v>5506</v>
      </c>
      <c r="L337" s="57" t="s">
        <v>5507</v>
      </c>
      <c r="M337" s="59" t="s">
        <v>6258</v>
      </c>
      <c r="N337" s="60"/>
      <c r="O337" s="59" t="s">
        <v>6259</v>
      </c>
      <c r="P337" s="60"/>
      <c r="Q337" s="59" t="s">
        <v>6260</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8.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7"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8" t="s">
        <v>5236</v>
      </c>
      <c r="G338" s="57"/>
      <c r="H338" s="57"/>
      <c r="I338" s="57"/>
      <c r="J338" s="97"/>
      <c r="K338" s="106"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8.5" customHeight="1">
      <c r="A339" s="73" t="str">
        <f>IF(games!A339="", "", games!A339)</f>
        <v>幻獸寶貝</v>
      </c>
      <c r="B339" s="57"/>
      <c r="C339" s="57" t="str">
        <f t="shared" si="14"/>
        <v>giftcodesbanner/幻獸寶貝-禮包碼.jpg</v>
      </c>
      <c r="D339" s="57" t="str">
        <f t="shared" si="15"/>
        <v>https://www.ssbuy.tw/gift-codes.html?game=幻獸寶貝</v>
      </c>
      <c r="E339" s="97"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6381</v>
      </c>
      <c r="G339" s="57" t="s">
        <v>6382</v>
      </c>
      <c r="H339" s="57" t="s">
        <v>6383</v>
      </c>
      <c r="I339" s="57" t="s">
        <v>6257</v>
      </c>
      <c r="J339" s="97"/>
      <c r="K339" s="106" t="s">
        <v>5506</v>
      </c>
      <c r="L339" s="57" t="s">
        <v>5507</v>
      </c>
      <c r="M339" s="59" t="s">
        <v>6267</v>
      </c>
      <c r="N339" s="60" t="s">
        <v>6268</v>
      </c>
      <c r="O339" s="59" t="s">
        <v>6278</v>
      </c>
      <c r="P339" s="60" t="s">
        <v>6368</v>
      </c>
      <c r="Q339" s="59" t="s">
        <v>6279</v>
      </c>
      <c r="R339" s="60" t="s">
        <v>6369</v>
      </c>
      <c r="S339" s="59" t="s">
        <v>1933</v>
      </c>
      <c r="T339" s="60" t="s">
        <v>6370</v>
      </c>
      <c r="U339" s="59" t="s">
        <v>6280</v>
      </c>
      <c r="V339" s="60" t="s">
        <v>6371</v>
      </c>
      <c r="W339" s="59">
        <v>777</v>
      </c>
      <c r="X339" s="60" t="s">
        <v>6371</v>
      </c>
      <c r="Y339" s="59">
        <v>999</v>
      </c>
      <c r="Z339" s="60" t="s">
        <v>6369</v>
      </c>
      <c r="AA339" s="59" t="s">
        <v>6357</v>
      </c>
      <c r="AB339" s="60" t="s">
        <v>6372</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8.5" customHeight="1">
      <c r="A340" s="73" t="str">
        <f>IF(games!A340="", "", games!A340)</f>
        <v>齒輪束縛</v>
      </c>
      <c r="B340" s="57"/>
      <c r="C340" s="57" t="str">
        <f t="shared" si="14"/>
        <v>giftcodesbanner/齒輪束縛-禮包碼.jpg</v>
      </c>
      <c r="D340" s="57" t="str">
        <f t="shared" si="15"/>
        <v>https://www.ssbuy.tw/gift-codes.html?game=齒輪束縛</v>
      </c>
      <c r="E340" s="97"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8" t="s">
        <v>5236</v>
      </c>
      <c r="G340" s="57"/>
      <c r="H340" s="57"/>
      <c r="I340" s="57"/>
      <c r="J340" s="97"/>
      <c r="K340" s="106"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8.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7"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6316</v>
      </c>
      <c r="G341" s="57" t="s">
        <v>6317</v>
      </c>
      <c r="H341" s="57" t="s">
        <v>6257</v>
      </c>
      <c r="I341" s="57"/>
      <c r="J341" s="97"/>
      <c r="K341" s="106" t="s">
        <v>5506</v>
      </c>
      <c r="L341" s="57" t="s">
        <v>5507</v>
      </c>
      <c r="M341" s="59" t="s">
        <v>6318</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8.5" customHeight="1">
      <c r="A342" s="73" t="str">
        <f>IF(games!A342="", "", games!A342)</f>
        <v>掌心宮略</v>
      </c>
      <c r="B342" s="57"/>
      <c r="C342" s="57" t="str">
        <f t="shared" si="14"/>
        <v>giftcodesbanner/掌心宮略-禮包碼.jpg</v>
      </c>
      <c r="D342" s="57" t="str">
        <f t="shared" si="15"/>
        <v>https://www.ssbuy.tw/gift-codes.html?game=掌心宮略</v>
      </c>
      <c r="E342" s="97"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8" t="s">
        <v>6379</v>
      </c>
      <c r="G342" s="57" t="s">
        <v>6380</v>
      </c>
      <c r="H342" s="57" t="s">
        <v>6257</v>
      </c>
      <c r="I342" s="57"/>
      <c r="J342" s="97"/>
      <c r="K342" s="106" t="s">
        <v>5506</v>
      </c>
      <c r="L342" s="57" t="s">
        <v>5507</v>
      </c>
      <c r="M342" s="59" t="s">
        <v>6376</v>
      </c>
      <c r="N342" s="60" t="s">
        <v>6377</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8.5" customHeight="1">
      <c r="A343" s="73" t="str">
        <f>IF(games!A343="", "", games!A343)</f>
        <v>God Breaker：弒神者</v>
      </c>
      <c r="B343" s="57"/>
      <c r="C343" s="57" t="str">
        <f t="shared" si="14"/>
        <v>giftcodesbanner/God Breaker：弒神者-禮包碼.jpg</v>
      </c>
      <c r="D343" s="57" t="str">
        <f t="shared" si="15"/>
        <v>https://www.ssbuy.tw/gift-codes.html?game=God Breaker：弒神者</v>
      </c>
      <c r="E343" s="97"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8" t="s">
        <v>6378</v>
      </c>
      <c r="G343" s="57"/>
      <c r="H343" s="57"/>
      <c r="I343" s="57"/>
      <c r="J343" s="97"/>
      <c r="K343" s="106"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8.5" customHeight="1">
      <c r="A344" s="73" t="str">
        <f>IF(games!A344="", "", games!A344)</f>
        <v>美食手札</v>
      </c>
      <c r="B344" s="57"/>
      <c r="C344" s="57" t="str">
        <f t="shared" si="14"/>
        <v>giftcodesbanner/美食手札-禮包碼.jpg</v>
      </c>
      <c r="D344" s="57" t="str">
        <f t="shared" si="15"/>
        <v>https://www.ssbuy.tw/gift-codes.html?game=美食手札</v>
      </c>
      <c r="E344" s="97"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8" t="s">
        <v>5236</v>
      </c>
      <c r="G344" s="57"/>
      <c r="H344" s="57"/>
      <c r="I344" s="57"/>
      <c r="J344" s="97"/>
      <c r="K344" s="106" t="s">
        <v>6354</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8.5" customHeight="1">
      <c r="A345" s="73" t="str">
        <f>IF(games!A345="", "", games!A345)</f>
        <v>超次元驅動</v>
      </c>
      <c r="B345" s="57"/>
      <c r="C345" s="57" t="str">
        <f t="shared" si="14"/>
        <v>giftcodesbanner/超次元驅動-禮包碼.jpg</v>
      </c>
      <c r="D345" s="57" t="str">
        <f t="shared" si="15"/>
        <v>https://www.ssbuy.tw/gift-codes.html?game=超次元驅動</v>
      </c>
      <c r="E345" s="97"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8" t="s">
        <v>5236</v>
      </c>
      <c r="G345" s="57"/>
      <c r="H345" s="57"/>
      <c r="I345" s="57"/>
      <c r="J345" s="97"/>
      <c r="K345" s="106" t="s">
        <v>6354</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8.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7"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6391</v>
      </c>
      <c r="G346" s="57" t="s">
        <v>6392</v>
      </c>
      <c r="H346" s="57" t="s">
        <v>6257</v>
      </c>
      <c r="I346" s="57"/>
      <c r="J346" s="97"/>
      <c r="K346" s="106" t="s">
        <v>6354</v>
      </c>
      <c r="L346" s="57" t="s">
        <v>5507</v>
      </c>
      <c r="M346" s="89" t="s">
        <v>6389</v>
      </c>
      <c r="N346" s="90" t="s">
        <v>6394</v>
      </c>
      <c r="O346" s="89" t="s">
        <v>1715</v>
      </c>
      <c r="P346" s="90" t="s">
        <v>6395</v>
      </c>
      <c r="Q346" s="89" t="s">
        <v>1714</v>
      </c>
      <c r="R346" s="90" t="s">
        <v>6396</v>
      </c>
      <c r="S346" s="89" t="s">
        <v>6393</v>
      </c>
      <c r="T346" s="90" t="s">
        <v>6397</v>
      </c>
      <c r="U346" s="89" t="s">
        <v>6398</v>
      </c>
      <c r="V346" s="90" t="s">
        <v>6399</v>
      </c>
      <c r="W346" s="89" t="s">
        <v>6400</v>
      </c>
      <c r="X346" s="90" t="s">
        <v>6401</v>
      </c>
      <c r="Y346" s="89" t="s">
        <v>6402</v>
      </c>
      <c r="Z346" s="90" t="s">
        <v>6403</v>
      </c>
      <c r="AA346" s="89" t="s">
        <v>6404</v>
      </c>
      <c r="AB346" s="90" t="s">
        <v>6405</v>
      </c>
      <c r="AC346" s="89" t="s">
        <v>1820</v>
      </c>
      <c r="AD346" s="90" t="s">
        <v>6406</v>
      </c>
      <c r="AE346" s="89" t="s">
        <v>6407</v>
      </c>
      <c r="AF346" s="90" t="s">
        <v>6397</v>
      </c>
      <c r="AG346" s="89" t="s">
        <v>6408</v>
      </c>
      <c r="AH346" s="90" t="s">
        <v>6409</v>
      </c>
      <c r="AI346" s="89" t="s">
        <v>6410</v>
      </c>
      <c r="AJ346" s="90" t="s">
        <v>6405</v>
      </c>
      <c r="AK346" s="89" t="s">
        <v>6411</v>
      </c>
      <c r="AL346" s="90" t="s">
        <v>6397</v>
      </c>
      <c r="AM346" s="89" t="s">
        <v>6412</v>
      </c>
      <c r="AN346" s="90" t="s">
        <v>6397</v>
      </c>
      <c r="AO346" s="89" t="s">
        <v>6413</v>
      </c>
      <c r="AP346" s="90" t="s">
        <v>6397</v>
      </c>
      <c r="AQ346" s="89" t="s">
        <v>6414</v>
      </c>
      <c r="AR346" s="90" t="s">
        <v>6405</v>
      </c>
      <c r="AS346" s="89" t="s">
        <v>6415</v>
      </c>
      <c r="AT346" s="90" t="s">
        <v>6405</v>
      </c>
      <c r="AU346" s="89" t="s">
        <v>6416</v>
      </c>
      <c r="AV346" s="90" t="s">
        <v>6417</v>
      </c>
      <c r="AW346" s="89" t="s">
        <v>6418</v>
      </c>
      <c r="AX346" s="90" t="s">
        <v>6397</v>
      </c>
      <c r="AY346" s="89" t="s">
        <v>6419</v>
      </c>
      <c r="AZ346" s="90" t="s">
        <v>6405</v>
      </c>
      <c r="BA346" s="59"/>
      <c r="BB346" s="57"/>
      <c r="BC346" s="59"/>
      <c r="BD346" s="57"/>
      <c r="BE346" s="59"/>
      <c r="BF346" s="57"/>
      <c r="BG346" s="59"/>
      <c r="BH346" s="57"/>
      <c r="BI346" s="59"/>
      <c r="BJ346" s="57"/>
      <c r="BK346" s="59"/>
      <c r="BL346" s="57"/>
      <c r="BM346" s="59"/>
      <c r="BN346" s="57"/>
      <c r="BO346" s="59"/>
      <c r="BP346" s="57"/>
      <c r="BQ346" s="59"/>
      <c r="BR346" s="61"/>
    </row>
    <row r="347" spans="1:70" ht="28.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7"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6469</v>
      </c>
      <c r="G347" s="57" t="s">
        <v>6429</v>
      </c>
      <c r="H347" s="57" t="s">
        <v>6257</v>
      </c>
      <c r="I347" s="57"/>
      <c r="J347" s="97"/>
      <c r="K347" s="106" t="s">
        <v>6354</v>
      </c>
      <c r="L347" s="57" t="s">
        <v>5507</v>
      </c>
      <c r="M347" s="59" t="s">
        <v>6426</v>
      </c>
      <c r="N347" s="60"/>
      <c r="O347" s="59" t="s">
        <v>6427</v>
      </c>
      <c r="P347" s="60" t="s">
        <v>6428</v>
      </c>
      <c r="Q347" s="59" t="s">
        <v>6470</v>
      </c>
      <c r="R347" s="60"/>
      <c r="S347" s="59" t="s">
        <v>6471</v>
      </c>
      <c r="T347" s="60"/>
      <c r="U347" s="59" t="s">
        <v>6472</v>
      </c>
      <c r="V347" s="60"/>
      <c r="W347" s="59" t="s">
        <v>6473</v>
      </c>
      <c r="X347" s="60"/>
      <c r="Y347" s="59" t="s">
        <v>6474</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8.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7"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8" t="s">
        <v>5236</v>
      </c>
      <c r="G348" s="57"/>
      <c r="H348" s="57"/>
      <c r="I348" s="57"/>
      <c r="J348" s="97"/>
      <c r="K348" s="106" t="s">
        <v>6354</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8.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7"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8" t="s">
        <v>6495</v>
      </c>
      <c r="G349" s="57" t="s">
        <v>6496</v>
      </c>
      <c r="H349" s="57" t="s">
        <v>6497</v>
      </c>
      <c r="I349" s="57" t="s">
        <v>6257</v>
      </c>
      <c r="J349" s="97"/>
      <c r="K349" s="106" t="s">
        <v>6354</v>
      </c>
      <c r="L349" s="57" t="s">
        <v>5507</v>
      </c>
      <c r="M349" s="59" t="s">
        <v>6494</v>
      </c>
      <c r="N349" s="60"/>
      <c r="O349" s="59" t="s">
        <v>6504</v>
      </c>
      <c r="P349" s="60"/>
      <c r="Q349" s="59" t="s">
        <v>6505</v>
      </c>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8.5" customHeight="1">
      <c r="A350" s="73" t="str">
        <f>IF(games!A350="", "", games!A350)</f>
        <v>像素大暴走</v>
      </c>
      <c r="B350" s="57"/>
      <c r="C350" s="57" t="str">
        <f t="shared" si="14"/>
        <v>giftcodesbanner/像素大暴走-禮包碼.jpg</v>
      </c>
      <c r="D350" s="57" t="str">
        <f t="shared" si="15"/>
        <v>https://www.ssbuy.tw/gift-codes.html?game=像素大暴走</v>
      </c>
      <c r="E350" s="97"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8" t="s">
        <v>5236</v>
      </c>
      <c r="G350" s="57"/>
      <c r="H350" s="57"/>
      <c r="I350" s="57"/>
      <c r="J350" s="97"/>
      <c r="K350" s="106" t="s">
        <v>6354</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8.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7"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8" t="s">
        <v>5236</v>
      </c>
      <c r="G351" s="57"/>
      <c r="H351" s="57"/>
      <c r="I351" s="57"/>
      <c r="J351" s="97"/>
      <c r="K351" s="106" t="s">
        <v>6354</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8.5" customHeight="1">
      <c r="A352" s="73" t="str">
        <f>IF(games!A352="", "", games!A352)</f>
        <v>仙發制人</v>
      </c>
      <c r="B352" s="57"/>
      <c r="C352" s="57" t="str">
        <f t="shared" si="14"/>
        <v>giftcodesbanner/仙發制人-禮包碼.jpg</v>
      </c>
      <c r="D352" s="57" t="str">
        <f t="shared" si="15"/>
        <v>https://www.ssbuy.tw/gift-codes.html?game=仙發制人</v>
      </c>
      <c r="E352" s="97"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6481</v>
      </c>
      <c r="G352" s="57" t="s">
        <v>6257</v>
      </c>
      <c r="H352" s="57"/>
      <c r="I352" s="57"/>
      <c r="J352" s="97"/>
      <c r="K352" s="106" t="s">
        <v>6354</v>
      </c>
      <c r="L352" s="57" t="s">
        <v>5507</v>
      </c>
      <c r="M352" s="59" t="s">
        <v>6479</v>
      </c>
      <c r="N352" s="60" t="s">
        <v>6483</v>
      </c>
      <c r="O352" s="59" t="s">
        <v>6480</v>
      </c>
      <c r="P352" s="60" t="s">
        <v>6484</v>
      </c>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8.5" customHeight="1">
      <c r="A353" s="73" t="str">
        <f>IF(games!A353="", "", games!A353)</f>
        <v>我的異世界</v>
      </c>
      <c r="B353" s="57"/>
      <c r="C353" s="57" t="str">
        <f t="shared" si="14"/>
        <v>giftcodesbanner/我的異世界-禮包碼.jpg</v>
      </c>
      <c r="D353" s="57" t="str">
        <f t="shared" si="15"/>
        <v>https://www.ssbuy.tw/gift-codes.html?game=我的異世界</v>
      </c>
      <c r="E353" s="97"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6516</v>
      </c>
      <c r="G353" s="57" t="s">
        <v>6517</v>
      </c>
      <c r="H353" s="57" t="s">
        <v>6257</v>
      </c>
      <c r="I353" s="57"/>
      <c r="J353" s="97"/>
      <c r="K353" s="106" t="s">
        <v>6354</v>
      </c>
      <c r="L353" s="57" t="s">
        <v>5507</v>
      </c>
      <c r="M353" s="59" t="s">
        <v>6514</v>
      </c>
      <c r="N353" s="60" t="s">
        <v>6518</v>
      </c>
      <c r="O353" s="59" t="s">
        <v>6515</v>
      </c>
      <c r="P353" s="60" t="s">
        <v>6519</v>
      </c>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8.5" customHeight="1">
      <c r="A354" s="73" t="str">
        <f>IF(games!A354="", "", games!A354)</f>
        <v>這個三國超扯的</v>
      </c>
      <c r="B354" s="57"/>
      <c r="C354" s="57" t="str">
        <f t="shared" si="14"/>
        <v>giftcodesbanner/這個三國超扯的-禮包碼.jpg</v>
      </c>
      <c r="D354" s="57" t="str">
        <f t="shared" si="15"/>
        <v>https://www.ssbuy.tw/gift-codes.html?game=這個三國超扯的</v>
      </c>
      <c r="E354" s="97"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8" t="s">
        <v>6665</v>
      </c>
      <c r="G354" s="57" t="s">
        <v>6666</v>
      </c>
      <c r="H354" s="57" t="s">
        <v>6667</v>
      </c>
      <c r="I354" s="57"/>
      <c r="J354" s="97"/>
      <c r="K354" s="106" t="s">
        <v>6354</v>
      </c>
      <c r="L354" s="57" t="s">
        <v>5507</v>
      </c>
      <c r="M354" s="59" t="s">
        <v>6065</v>
      </c>
      <c r="N354" s="60"/>
      <c r="O354" s="59" t="s">
        <v>2056</v>
      </c>
      <c r="P354" s="60"/>
      <c r="Q354" s="59" t="s">
        <v>1841</v>
      </c>
      <c r="R354" s="60"/>
      <c r="S354" s="59" t="s">
        <v>6664</v>
      </c>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8.5" customHeight="1">
      <c r="A355" s="73" t="str">
        <f>IF(games!A355="", "", games!A355)</f>
        <v>基地：星界無間</v>
      </c>
      <c r="B355" s="57"/>
      <c r="C355" s="57" t="str">
        <f t="shared" si="14"/>
        <v>giftcodesbanner/基地：星界無間-禮包碼.jpg</v>
      </c>
      <c r="D355" s="57" t="str">
        <f t="shared" si="15"/>
        <v>https://www.ssbuy.tw/gift-codes.html?game=基地：星界無間</v>
      </c>
      <c r="E355" s="97"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8" t="s">
        <v>6676</v>
      </c>
      <c r="G355" s="57" t="s">
        <v>6677</v>
      </c>
      <c r="H355" s="57" t="s">
        <v>6667</v>
      </c>
      <c r="I355" s="57"/>
      <c r="J355" s="97"/>
      <c r="K355" s="106" t="s">
        <v>6354</v>
      </c>
      <c r="L355" s="57" t="s">
        <v>5507</v>
      </c>
      <c r="M355" s="59" t="s">
        <v>6668</v>
      </c>
      <c r="N355" s="60"/>
      <c r="O355" s="59" t="s">
        <v>6669</v>
      </c>
      <c r="P355" s="60"/>
      <c r="Q355" s="59" t="s">
        <v>6670</v>
      </c>
      <c r="R355" s="60"/>
      <c r="S355" s="59" t="s">
        <v>6671</v>
      </c>
      <c r="T355" s="60"/>
      <c r="U355" s="59" t="s">
        <v>6672</v>
      </c>
      <c r="V355" s="60"/>
      <c r="W355" s="59" t="s">
        <v>6673</v>
      </c>
      <c r="X355" s="60"/>
      <c r="Y355" s="59" t="s">
        <v>6674</v>
      </c>
      <c r="Z355" s="60"/>
      <c r="AA355" s="59" t="s">
        <v>6675</v>
      </c>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8.5" customHeight="1">
      <c r="A356" s="73" t="str">
        <f>IF(games!A356="", "", games!A356)</f>
        <v>夢幻茶樓</v>
      </c>
      <c r="B356" s="57"/>
      <c r="C356" s="57" t="str">
        <f t="shared" si="14"/>
        <v>giftcodesbanner/夢幻茶樓-禮包碼.jpg</v>
      </c>
      <c r="D356" s="57" t="str">
        <f t="shared" si="15"/>
        <v>https://www.ssbuy.tw/gift-codes.html?game=夢幻茶樓</v>
      </c>
      <c r="E356" s="97"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8" t="s">
        <v>4608</v>
      </c>
      <c r="G356" s="57" t="s">
        <v>6771</v>
      </c>
      <c r="H356" s="57" t="s">
        <v>6667</v>
      </c>
      <c r="I356" s="57"/>
      <c r="J356" s="97"/>
      <c r="K356" s="106" t="s">
        <v>6354</v>
      </c>
      <c r="L356" s="57" t="s">
        <v>5507</v>
      </c>
      <c r="M356" s="59" t="s">
        <v>6766</v>
      </c>
      <c r="N356" s="60"/>
      <c r="O356" s="59" t="s">
        <v>6767</v>
      </c>
      <c r="P356" s="60"/>
      <c r="Q356" s="59" t="s">
        <v>6768</v>
      </c>
      <c r="R356" s="60"/>
      <c r="S356" s="59" t="s">
        <v>6769</v>
      </c>
      <c r="T356" s="60"/>
      <c r="U356" s="59" t="s">
        <v>6770</v>
      </c>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8.5" customHeight="1">
      <c r="A357" s="73" t="str">
        <f>IF(games!A357="", "", games!A357)</f>
        <v>MU：熱血開戰</v>
      </c>
      <c r="B357" s="57"/>
      <c r="C357" s="57" t="str">
        <f t="shared" si="14"/>
        <v>giftcodesbanner/MU：熱血開戰-禮包碼.jpg</v>
      </c>
      <c r="D357" s="57" t="str">
        <f t="shared" si="15"/>
        <v>https://www.ssbuy.tw/gift-codes.html?game=MU：熱血開戰</v>
      </c>
      <c r="E357" s="97"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8" t="s">
        <v>6911</v>
      </c>
      <c r="G357" s="57" t="s">
        <v>6912</v>
      </c>
      <c r="H357" s="57" t="s">
        <v>6667</v>
      </c>
      <c r="I357" s="57"/>
      <c r="J357" s="97"/>
      <c r="K357" s="106" t="s">
        <v>6354</v>
      </c>
      <c r="L357" s="57" t="s">
        <v>5507</v>
      </c>
      <c r="M357" s="59" t="s">
        <v>6909</v>
      </c>
      <c r="N357" s="60" t="s">
        <v>6910</v>
      </c>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8.5" customHeight="1">
      <c r="A358" s="73" t="str">
        <f>IF(games!A358="", "", games!A358)</f>
        <v>堡壘傳說：蒸汽龐克</v>
      </c>
      <c r="B358" s="57"/>
      <c r="C358" s="57" t="str">
        <f t="shared" si="14"/>
        <v>giftcodesbanner/堡壘傳說：蒸汽龐克-禮包碼.jpg</v>
      </c>
      <c r="D358" s="57" t="str">
        <f t="shared" si="15"/>
        <v>https://www.ssbuy.tw/gift-codes.html?game=堡壘傳說：蒸汽龐克</v>
      </c>
      <c r="E358" s="97"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6570</v>
      </c>
      <c r="G358" s="57" t="s">
        <v>6571</v>
      </c>
      <c r="H358" s="57" t="s">
        <v>6257</v>
      </c>
      <c r="I358" s="57"/>
      <c r="J358" s="97"/>
      <c r="K358" s="106" t="s">
        <v>6354</v>
      </c>
      <c r="L358" s="57" t="s">
        <v>5507</v>
      </c>
      <c r="M358" s="59" t="s">
        <v>6608</v>
      </c>
      <c r="N358" s="60"/>
      <c r="O358" s="59" t="s">
        <v>6609</v>
      </c>
      <c r="P358" s="60"/>
      <c r="Q358" s="59" t="s">
        <v>6610</v>
      </c>
      <c r="R358" s="60"/>
      <c r="S358" s="59" t="s">
        <v>6611</v>
      </c>
      <c r="T358" s="60"/>
      <c r="U358" s="59" t="s">
        <v>6612</v>
      </c>
      <c r="V358" s="60"/>
      <c r="W358" s="59" t="s">
        <v>6613</v>
      </c>
      <c r="X358" s="60"/>
      <c r="Y358" s="59" t="s">
        <v>2141</v>
      </c>
      <c r="Z358" s="60"/>
      <c r="AA358" s="59" t="s">
        <v>6614</v>
      </c>
      <c r="AB358" s="60"/>
      <c r="AC358" s="59" t="s">
        <v>6567</v>
      </c>
      <c r="AD358" s="60"/>
      <c r="AE358" s="59" t="s">
        <v>6615</v>
      </c>
      <c r="AF358" s="60"/>
      <c r="AG358" s="59" t="s">
        <v>6616</v>
      </c>
      <c r="AH358" s="60"/>
      <c r="AI358" s="59" t="s">
        <v>6568</v>
      </c>
      <c r="AJ358" s="60"/>
      <c r="AK358" s="59" t="s">
        <v>6617</v>
      </c>
      <c r="AL358" s="60"/>
      <c r="AM358" s="59" t="s">
        <v>6565</v>
      </c>
      <c r="AN358" s="60"/>
      <c r="AO358" s="59" t="s">
        <v>6566</v>
      </c>
      <c r="AP358" s="60"/>
      <c r="AQ358" s="59" t="s">
        <v>6569</v>
      </c>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8.5" customHeight="1">
      <c r="A359" s="73" t="str">
        <f>IF(games!A359="", "", games!A359)</f>
        <v>指尖棋兵</v>
      </c>
      <c r="B359" s="57"/>
      <c r="C359" s="57" t="str">
        <f t="shared" si="14"/>
        <v>giftcodesbanner/指尖棋兵-禮包碼.jpg</v>
      </c>
      <c r="D359" s="57" t="str">
        <f t="shared" si="15"/>
        <v>https://www.ssbuy.tw/gift-codes.html?game=指尖棋兵</v>
      </c>
      <c r="E359" s="97"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7" t="s">
        <v>6696</v>
      </c>
      <c r="H359" s="57" t="s">
        <v>6257</v>
      </c>
      <c r="I359" s="57"/>
      <c r="J359" s="97"/>
      <c r="K359" s="106" t="s">
        <v>6354</v>
      </c>
      <c r="L359" s="57" t="s">
        <v>5507</v>
      </c>
      <c r="M359" s="59" t="s">
        <v>6618</v>
      </c>
      <c r="N359" s="60"/>
      <c r="O359" s="59" t="s">
        <v>2056</v>
      </c>
      <c r="P359" s="60"/>
      <c r="Q359" s="59" t="s">
        <v>6390</v>
      </c>
      <c r="R359" s="60"/>
      <c r="S359" s="59" t="s">
        <v>6619</v>
      </c>
      <c r="T359" s="60"/>
      <c r="U359" s="59" t="s">
        <v>6620</v>
      </c>
      <c r="V359" s="60"/>
      <c r="W359" s="59" t="s">
        <v>6621</v>
      </c>
      <c r="X359" s="60"/>
      <c r="Y359" s="59" t="s">
        <v>6622</v>
      </c>
      <c r="Z359" s="60"/>
      <c r="AA359" s="59" t="s">
        <v>6623</v>
      </c>
      <c r="AB359" s="60"/>
      <c r="AC359" s="59" t="s">
        <v>6624</v>
      </c>
      <c r="AD359" s="60"/>
      <c r="AE359" s="59" t="s">
        <v>6625</v>
      </c>
      <c r="AF359" s="60"/>
      <c r="AG359" s="59" t="s">
        <v>6626</v>
      </c>
      <c r="AH359" s="60"/>
      <c r="AI359" s="59" t="s">
        <v>6627</v>
      </c>
      <c r="AJ359" s="60"/>
      <c r="AK359" s="59" t="s">
        <v>6628</v>
      </c>
      <c r="AL359" s="60"/>
      <c r="AM359" s="59" t="s">
        <v>6629</v>
      </c>
      <c r="AN359" s="60"/>
      <c r="AO359" s="59" t="s">
        <v>6630</v>
      </c>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8.5" customHeight="1">
      <c r="A360" s="73" t="str">
        <f>IF(games!A360="", "", games!A360)</f>
        <v>錫葛尼斯：紅月再臨</v>
      </c>
      <c r="B360" s="57"/>
      <c r="C360" s="57" t="str">
        <f t="shared" si="14"/>
        <v>giftcodesbanner/錫葛尼斯：紅月再臨-禮包碼.jpg</v>
      </c>
      <c r="D360" s="57" t="str">
        <f t="shared" si="15"/>
        <v>https://www.ssbuy.tw/gift-codes.html?game=錫葛尼斯：紅月再臨</v>
      </c>
      <c r="E360" s="97"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6633</v>
      </c>
      <c r="G360" s="57" t="s">
        <v>6634</v>
      </c>
      <c r="H360" s="57" t="s">
        <v>6257</v>
      </c>
      <c r="I360" s="57"/>
      <c r="J360" s="97"/>
      <c r="K360" s="106" t="s">
        <v>6354</v>
      </c>
      <c r="L360" s="57" t="s">
        <v>5507</v>
      </c>
      <c r="M360" s="59" t="s">
        <v>6631</v>
      </c>
      <c r="N360" s="60" t="s">
        <v>6632</v>
      </c>
      <c r="O360" s="59" t="s">
        <v>6678</v>
      </c>
      <c r="P360" s="60" t="s">
        <v>6688</v>
      </c>
      <c r="Q360" s="59" t="s">
        <v>6697</v>
      </c>
      <c r="R360" s="60"/>
      <c r="S360" s="59" t="s">
        <v>6302</v>
      </c>
      <c r="T360" s="60"/>
      <c r="U360" s="59" t="s">
        <v>6390</v>
      </c>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8.5" customHeight="1">
      <c r="A361" s="73" t="str">
        <f>IF(games!A361="", "", games!A361)</f>
        <v>魔女與龍：光暗篇章</v>
      </c>
      <c r="B361" s="57"/>
      <c r="C361" s="57" t="str">
        <f t="shared" si="14"/>
        <v>giftcodesbanner/魔女與龍：光暗篇章-禮包碼.jpg</v>
      </c>
      <c r="D361" s="57" t="str">
        <f t="shared" si="15"/>
        <v>https://www.ssbuy.tw/gift-codes.html?game=魔女與龍：光暗篇章</v>
      </c>
      <c r="E361" s="97"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8" t="s">
        <v>6718</v>
      </c>
      <c r="G361" s="57" t="s">
        <v>6719</v>
      </c>
      <c r="H361" s="57" t="s">
        <v>6257</v>
      </c>
      <c r="I361" s="57"/>
      <c r="J361" s="97"/>
      <c r="K361" s="106" t="s">
        <v>6354</v>
      </c>
      <c r="L361" s="57" t="s">
        <v>5507</v>
      </c>
      <c r="M361" s="59" t="s">
        <v>6689</v>
      </c>
      <c r="N361" s="60"/>
      <c r="O361" s="59" t="s">
        <v>6691</v>
      </c>
      <c r="P361" s="60"/>
      <c r="Q361" s="59" t="s">
        <v>6690</v>
      </c>
      <c r="R361" s="60"/>
      <c r="S361" s="59" t="s">
        <v>6692</v>
      </c>
      <c r="T361" s="60"/>
      <c r="U361" s="59" t="s">
        <v>2141</v>
      </c>
      <c r="V361" s="60"/>
      <c r="W361" s="59" t="s">
        <v>6722</v>
      </c>
      <c r="X361" s="60"/>
      <c r="Y361" s="59" t="s">
        <v>6723</v>
      </c>
      <c r="Z361" s="60"/>
      <c r="AA361" s="59" t="s">
        <v>6724</v>
      </c>
      <c r="AB361" s="60"/>
      <c r="AC361" s="59" t="s">
        <v>6725</v>
      </c>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8.5" customHeight="1">
      <c r="A362" s="73" t="str">
        <f>IF(games!A362="", "", games!A362)</f>
        <v>熾熱戰姬</v>
      </c>
      <c r="B362" s="57"/>
      <c r="C362" s="57" t="str">
        <f t="shared" si="14"/>
        <v>giftcodesbanner/熾熱戰姬-禮包碼.jpg</v>
      </c>
      <c r="D362" s="57" t="str">
        <f t="shared" si="15"/>
        <v>https://www.ssbuy.tw/gift-codes.html?game=熾熱戰姬</v>
      </c>
      <c r="E362" s="97"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8" t="s">
        <v>4288</v>
      </c>
      <c r="G362" s="57" t="s">
        <v>6717</v>
      </c>
      <c r="H362" s="57" t="s">
        <v>6257</v>
      </c>
      <c r="I362" s="57"/>
      <c r="J362" s="97"/>
      <c r="K362" s="106" t="s">
        <v>6354</v>
      </c>
      <c r="L362" s="57" t="s">
        <v>5507</v>
      </c>
      <c r="M362" s="59" t="s">
        <v>6607</v>
      </c>
      <c r="N362" s="60" t="s">
        <v>6637</v>
      </c>
      <c r="O362" s="59" t="s">
        <v>6635</v>
      </c>
      <c r="P362" s="60" t="s">
        <v>6638</v>
      </c>
      <c r="Q362" s="59" t="s">
        <v>6636</v>
      </c>
      <c r="R362" s="60" t="s">
        <v>6639</v>
      </c>
      <c r="S362" s="59" t="s">
        <v>6716</v>
      </c>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8.5" customHeight="1">
      <c r="A363" s="73" t="str">
        <f>IF(games!A363="", "", games!A363)</f>
        <v>心動小鎮</v>
      </c>
      <c r="B363" s="57"/>
      <c r="C363" s="57" t="str">
        <f t="shared" si="14"/>
        <v>giftcodesbanner/心動小鎮-禮包碼.jpg</v>
      </c>
      <c r="D363" s="57" t="str">
        <f t="shared" si="15"/>
        <v>https://www.ssbuy.tw/gift-codes.html?game=心動小鎮</v>
      </c>
      <c r="E363" s="97"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6695</v>
      </c>
      <c r="G363" s="57" t="s">
        <v>6696</v>
      </c>
      <c r="H363" s="57" t="s">
        <v>6257</v>
      </c>
      <c r="I363" s="57"/>
      <c r="J363" s="97"/>
      <c r="K363" s="106" t="s">
        <v>6354</v>
      </c>
      <c r="L363" s="57" t="s">
        <v>5507</v>
      </c>
      <c r="M363" s="59" t="s">
        <v>6640</v>
      </c>
      <c r="N363" s="60" t="s">
        <v>6643</v>
      </c>
      <c r="O363" s="59" t="s">
        <v>6641</v>
      </c>
      <c r="P363" s="60" t="s">
        <v>6644</v>
      </c>
      <c r="Q363" s="59" t="s">
        <v>6642</v>
      </c>
      <c r="R363" s="60" t="s">
        <v>6643</v>
      </c>
      <c r="S363" s="59" t="s">
        <v>6693</v>
      </c>
      <c r="T363" s="60"/>
      <c r="U363" s="59" t="s">
        <v>6694</v>
      </c>
      <c r="V363" s="60"/>
      <c r="W363" s="59" t="s">
        <v>6735</v>
      </c>
      <c r="X363" s="60"/>
      <c r="Y363" s="59" t="s">
        <v>6736</v>
      </c>
      <c r="Z363" s="60"/>
      <c r="AA363" s="59" t="s">
        <v>6737</v>
      </c>
      <c r="AB363" s="60"/>
      <c r="AC363" s="59" t="s">
        <v>6738</v>
      </c>
      <c r="AD363" s="60"/>
      <c r="AE363" s="59" t="s">
        <v>6739</v>
      </c>
      <c r="AF363" s="60"/>
      <c r="AG363" s="59" t="s">
        <v>6740</v>
      </c>
      <c r="AH363" s="60"/>
      <c r="AI363" s="59" t="s">
        <v>6741</v>
      </c>
      <c r="AJ363" s="60"/>
      <c r="AK363" s="59" t="s">
        <v>6742</v>
      </c>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8.5" customHeight="1">
      <c r="A364" s="73" t="str">
        <f>IF(games!A364="", "", games!A364)</f>
        <v>彈彈英雄</v>
      </c>
      <c r="B364" s="57"/>
      <c r="C364" s="57" t="str">
        <f t="shared" si="14"/>
        <v>giftcodesbanner/彈彈英雄-禮包碼.jpg</v>
      </c>
      <c r="D364" s="57" t="str">
        <f t="shared" si="15"/>
        <v>https://www.ssbuy.tw/gift-codes.html?game=彈彈英雄</v>
      </c>
      <c r="E364" s="97"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6702</v>
      </c>
      <c r="G364" s="128" t="s">
        <v>6703</v>
      </c>
      <c r="H364" s="57"/>
      <c r="I364" s="57"/>
      <c r="J364" s="97"/>
      <c r="K364" s="106" t="s">
        <v>6354</v>
      </c>
      <c r="L364" s="57" t="s">
        <v>5507</v>
      </c>
      <c r="M364" s="59" t="s">
        <v>6720</v>
      </c>
      <c r="N364" s="60"/>
      <c r="O364" s="59" t="s">
        <v>6721</v>
      </c>
      <c r="P364" s="60"/>
      <c r="Q364" s="59" t="s">
        <v>6726</v>
      </c>
      <c r="R364" s="60"/>
      <c r="S364" s="59" t="s">
        <v>6727</v>
      </c>
      <c r="T364" s="60"/>
      <c r="U364" s="59" t="s">
        <v>6728</v>
      </c>
      <c r="V364" s="60"/>
      <c r="W364" s="59" t="s">
        <v>6729</v>
      </c>
      <c r="X364" s="60"/>
      <c r="Y364" s="59" t="s">
        <v>2147</v>
      </c>
      <c r="Z364" s="60"/>
      <c r="AA364" s="59" t="s">
        <v>2985</v>
      </c>
      <c r="AB364" s="60"/>
      <c r="AC364" s="59" t="s">
        <v>2146</v>
      </c>
      <c r="AD364" s="60"/>
      <c r="AE364" s="59" t="s">
        <v>6730</v>
      </c>
      <c r="AF364" s="60"/>
      <c r="AG364" s="59" t="s">
        <v>6731</v>
      </c>
      <c r="AH364" s="60"/>
      <c r="AI364" s="59" t="s">
        <v>6732</v>
      </c>
      <c r="AJ364" s="60"/>
      <c r="AK364" s="59" t="s">
        <v>6733</v>
      </c>
      <c r="AL364" s="60"/>
      <c r="AM364" s="59" t="s">
        <v>6734</v>
      </c>
      <c r="AN364" s="60"/>
      <c r="AO364" s="59" t="s">
        <v>6799</v>
      </c>
      <c r="AP364" s="60"/>
      <c r="AQ364" s="59" t="s">
        <v>6871</v>
      </c>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8.5" customHeight="1">
      <c r="A365" s="73" t="str">
        <f>IF(games!A365="", "", games!A365)</f>
        <v>動物幫派</v>
      </c>
      <c r="B365" s="57"/>
      <c r="C365" s="57" t="str">
        <f t="shared" si="14"/>
        <v>giftcodesbanner/動物幫派-禮包碼.jpg</v>
      </c>
      <c r="D365" s="57" t="str">
        <f t="shared" si="15"/>
        <v>https://www.ssbuy.tw/gift-codes.html?game=動物幫派</v>
      </c>
      <c r="E365" s="97"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8" t="s">
        <v>5236</v>
      </c>
      <c r="G365" s="57"/>
      <c r="H365" s="57"/>
      <c r="I365" s="57"/>
      <c r="J365" s="97"/>
      <c r="K365" s="106" t="s">
        <v>6354</v>
      </c>
      <c r="L365" s="57" t="s">
        <v>5507</v>
      </c>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8.5" customHeight="1">
      <c r="A366" s="73" t="str">
        <f>IF(games!A366="", "", games!A366)</f>
        <v>Academy of Heroes</v>
      </c>
      <c r="B366" s="57"/>
      <c r="C366" s="57" t="str">
        <f t="shared" si="14"/>
        <v>giftcodesbanner/Academy of Heroes-禮包碼.jpg</v>
      </c>
      <c r="D366" s="57" t="str">
        <f t="shared" si="15"/>
        <v>https://www.ssbuy.tw/gift-codes.html?game=Academy of Heroes</v>
      </c>
      <c r="E366" s="97"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8" t="s">
        <v>5236</v>
      </c>
      <c r="G366" s="57"/>
      <c r="H366" s="57"/>
      <c r="I366" s="57"/>
      <c r="J366" s="97"/>
      <c r="K366" s="106" t="s">
        <v>6354</v>
      </c>
      <c r="L366" s="57" t="s">
        <v>5507</v>
      </c>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8.5" customHeight="1">
      <c r="A367" s="73" t="str">
        <f>IF(games!A367="", "", games!A367)</f>
        <v>魔女的傳說</v>
      </c>
      <c r="B367" s="57"/>
      <c r="C367" s="57" t="str">
        <f t="shared" ref="C367:C422" si="16">IF(A367="","", "giftcodesbanner/" &amp; A367 &amp; "-禮包碼.jpg")</f>
        <v>giftcodesbanner/魔女的傳說-禮包碼.jpg</v>
      </c>
      <c r="D367" s="57" t="str">
        <f t="shared" ref="D367:D422" si="17">IF(A367="","", "https://www.ssbuy.tw/gift-codes.html?game="&amp;A367)</f>
        <v>https://www.ssbuy.tw/gift-codes.html?game=魔女的傳說</v>
      </c>
      <c r="E367" s="97"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8" t="s">
        <v>5236</v>
      </c>
      <c r="G367" s="57"/>
      <c r="H367" s="57"/>
      <c r="I367" s="57"/>
      <c r="J367" s="97"/>
      <c r="K367" s="106" t="s">
        <v>6354</v>
      </c>
      <c r="L367" s="57" t="s">
        <v>5507</v>
      </c>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8.5" customHeight="1">
      <c r="A368" s="73" t="str">
        <f>IF(games!A368="", "", games!A368)</f>
        <v>華夏繪世錄</v>
      </c>
      <c r="B368" s="57"/>
      <c r="C368" s="57" t="str">
        <f t="shared" si="16"/>
        <v>giftcodesbanner/華夏繪世錄-禮包碼.jpg</v>
      </c>
      <c r="D368" s="57" t="str">
        <f t="shared" si="17"/>
        <v>https://www.ssbuy.tw/gift-codes.html?game=華夏繪世錄</v>
      </c>
      <c r="E368" s="97"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8" t="s">
        <v>7023</v>
      </c>
      <c r="G368" s="57" t="s">
        <v>7024</v>
      </c>
      <c r="H368" s="57" t="s">
        <v>7025</v>
      </c>
      <c r="I368" s="57" t="s">
        <v>6999</v>
      </c>
      <c r="J368" s="97"/>
      <c r="K368" s="106" t="s">
        <v>6354</v>
      </c>
      <c r="L368" s="57" t="s">
        <v>5507</v>
      </c>
      <c r="M368" s="59" t="s">
        <v>6800</v>
      </c>
      <c r="N368" s="60" t="s">
        <v>6801</v>
      </c>
      <c r="O368" s="59" t="s">
        <v>7021</v>
      </c>
      <c r="P368" s="60" t="s">
        <v>7022</v>
      </c>
      <c r="Q368" s="60" t="s">
        <v>6801</v>
      </c>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8.5" customHeight="1">
      <c r="A369" s="73" t="str">
        <f>IF(games!A369="", "", games!A369)</f>
        <v>三國：謀定天下</v>
      </c>
      <c r="B369" s="57"/>
      <c r="C369" s="57" t="str">
        <f t="shared" si="16"/>
        <v>giftcodesbanner/三國：謀定天下-禮包碼.jpg</v>
      </c>
      <c r="D369" s="57" t="str">
        <f t="shared" si="17"/>
        <v>https://www.ssbuy.tw/gift-codes.html?game=三國：謀定天下</v>
      </c>
      <c r="E369" s="97"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6821</v>
      </c>
      <c r="G369" s="57" t="s">
        <v>6918</v>
      </c>
      <c r="H369" s="57" t="s">
        <v>6919</v>
      </c>
      <c r="I369" s="57"/>
      <c r="J369" s="97"/>
      <c r="K369" s="106" t="s">
        <v>6354</v>
      </c>
      <c r="L369" s="57" t="s">
        <v>5507</v>
      </c>
      <c r="M369" s="59" t="s">
        <v>6917</v>
      </c>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8.5" customHeight="1">
      <c r="A370" s="73" t="str">
        <f>IF(games!A370="", "", games!A370)</f>
        <v>明日方舟：終末地</v>
      </c>
      <c r="B370" s="57"/>
      <c r="C370" s="57" t="str">
        <f t="shared" si="16"/>
        <v>giftcodesbanner/明日方舟：終末地-禮包碼.jpg</v>
      </c>
      <c r="D370" s="57" t="str">
        <f t="shared" si="17"/>
        <v>https://www.ssbuy.tw/gift-codes.html?game=明日方舟：終末地</v>
      </c>
      <c r="E370" s="97"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8" t="s">
        <v>6939</v>
      </c>
      <c r="G370" s="57" t="s">
        <v>6940</v>
      </c>
      <c r="H370" s="57"/>
      <c r="I370" s="57"/>
      <c r="J370" s="97"/>
      <c r="K370" s="106" t="s">
        <v>6354</v>
      </c>
      <c r="L370" s="57" t="s">
        <v>5507</v>
      </c>
      <c r="M370" s="59" t="s">
        <v>6802</v>
      </c>
      <c r="N370" s="60" t="s">
        <v>6804</v>
      </c>
      <c r="O370" s="59" t="s">
        <v>6803</v>
      </c>
      <c r="P370" s="60" t="s">
        <v>6805</v>
      </c>
      <c r="Q370" s="59" t="s">
        <v>6913</v>
      </c>
      <c r="R370" s="60" t="s">
        <v>6915</v>
      </c>
      <c r="S370" s="59" t="s">
        <v>6914</v>
      </c>
      <c r="T370" s="60" t="s">
        <v>6916</v>
      </c>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8.5" customHeight="1">
      <c r="A371" s="73" t="str">
        <f>IF(games!A371="", "", games!A371)</f>
        <v>半獸人傳說</v>
      </c>
      <c r="B371" s="57"/>
      <c r="C371" s="57" t="str">
        <f t="shared" si="16"/>
        <v>giftcodesbanner/半獸人傳說-禮包碼.jpg</v>
      </c>
      <c r="D371" s="57" t="str">
        <f t="shared" si="17"/>
        <v>https://www.ssbuy.tw/gift-codes.html?game=半獸人傳說</v>
      </c>
      <c r="E371" s="97"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6821</v>
      </c>
      <c r="G371" s="57" t="s">
        <v>6822</v>
      </c>
      <c r="H371" s="57" t="s">
        <v>6257</v>
      </c>
      <c r="I371" s="57"/>
      <c r="J371" s="97"/>
      <c r="K371" s="106" t="s">
        <v>6354</v>
      </c>
      <c r="L371" s="57" t="s">
        <v>5507</v>
      </c>
      <c r="M371" s="59" t="s">
        <v>6811</v>
      </c>
      <c r="N371" s="60" t="s">
        <v>6823</v>
      </c>
      <c r="O371" s="59" t="s">
        <v>6812</v>
      </c>
      <c r="P371" s="60" t="s">
        <v>6823</v>
      </c>
      <c r="Q371" s="59" t="s">
        <v>6813</v>
      </c>
      <c r="R371" s="60" t="s">
        <v>6824</v>
      </c>
      <c r="S371" s="59" t="s">
        <v>6814</v>
      </c>
      <c r="T371" s="60" t="s">
        <v>6823</v>
      </c>
      <c r="U371" s="59" t="s">
        <v>6815</v>
      </c>
      <c r="V371" s="60" t="s">
        <v>6825</v>
      </c>
      <c r="W371" s="59" t="s">
        <v>6816</v>
      </c>
      <c r="X371" s="60" t="s">
        <v>6823</v>
      </c>
      <c r="Y371" s="59" t="s">
        <v>6817</v>
      </c>
      <c r="Z371" s="60" t="s">
        <v>6823</v>
      </c>
      <c r="AA371" s="59" t="s">
        <v>6818</v>
      </c>
      <c r="AB371" s="60" t="s">
        <v>6826</v>
      </c>
      <c r="AC371" s="59" t="s">
        <v>6819</v>
      </c>
      <c r="AD371" s="60" t="s">
        <v>6827</v>
      </c>
      <c r="AE371" s="59" t="s">
        <v>6820</v>
      </c>
      <c r="AF371" s="60" t="s">
        <v>6828</v>
      </c>
      <c r="AG371" s="59" t="s">
        <v>6621</v>
      </c>
      <c r="AH371" s="60" t="s">
        <v>6829</v>
      </c>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8.5" customHeight="1">
      <c r="A372" s="73" t="str">
        <f>IF(games!A372="", "", games!A372)</f>
        <v>暗月十二</v>
      </c>
      <c r="B372" s="57"/>
      <c r="C372" s="57" t="str">
        <f t="shared" si="16"/>
        <v>giftcodesbanner/暗月十二-禮包碼.jpg</v>
      </c>
      <c r="D372" s="57" t="str">
        <f t="shared" si="17"/>
        <v>https://www.ssbuy.tw/gift-codes.html?game=暗月十二</v>
      </c>
      <c r="E372" s="97"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8" t="s">
        <v>5236</v>
      </c>
      <c r="G372" s="57"/>
      <c r="H372" s="57"/>
      <c r="I372" s="57"/>
      <c r="J372" s="97"/>
      <c r="K372" s="106" t="s">
        <v>6354</v>
      </c>
      <c r="L372" s="57" t="s">
        <v>5507</v>
      </c>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8.5" customHeight="1">
      <c r="A373" s="73" t="str">
        <f>IF(games!A373="", "", games!A373)</f>
        <v>像素騎士：放置角色扮演遊戲</v>
      </c>
      <c r="B373" s="57"/>
      <c r="C373" s="57" t="str">
        <f t="shared" si="16"/>
        <v>giftcodesbanner/像素騎士：放置角色扮演遊戲-禮包碼.jpg</v>
      </c>
      <c r="D373" s="57" t="str">
        <f t="shared" si="17"/>
        <v>https://www.ssbuy.tw/gift-codes.html?game=像素騎士：放置角色扮演遊戲</v>
      </c>
      <c r="E373" s="97"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8" t="s">
        <v>5236</v>
      </c>
      <c r="G373" s="57"/>
      <c r="H373" s="57"/>
      <c r="I373" s="57"/>
      <c r="J373" s="97"/>
      <c r="K373" s="106" t="s">
        <v>6354</v>
      </c>
      <c r="L373" s="57" t="s">
        <v>5507</v>
      </c>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8.5" customHeight="1">
      <c r="A374" s="73" t="str">
        <f>IF(games!A374="", "", games!A374)</f>
        <v>小骷髏超能斬</v>
      </c>
      <c r="B374" s="57"/>
      <c r="C374" s="57" t="str">
        <f t="shared" si="16"/>
        <v>giftcodesbanner/小骷髏超能斬-禮包碼.jpg</v>
      </c>
      <c r="D374" s="57" t="str">
        <f t="shared" si="17"/>
        <v>https://www.ssbuy.tw/gift-codes.html?game=小骷髏超能斬</v>
      </c>
      <c r="E374" s="97"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8" t="s">
        <v>5236</v>
      </c>
      <c r="G374" s="57"/>
      <c r="H374" s="57"/>
      <c r="I374" s="57"/>
      <c r="J374" s="97"/>
      <c r="K374" s="106" t="s">
        <v>6354</v>
      </c>
      <c r="L374" s="57" t="s">
        <v>5507</v>
      </c>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8.5" customHeight="1">
      <c r="A375" s="73" t="str">
        <f>IF(games!A375="", "", games!A375)</f>
        <v>靈寵工坊</v>
      </c>
      <c r="B375" s="57"/>
      <c r="C375" s="57" t="str">
        <f t="shared" si="16"/>
        <v>giftcodesbanner/靈寵工坊-禮包碼.jpg</v>
      </c>
      <c r="D375" s="57" t="str">
        <f t="shared" si="17"/>
        <v>https://www.ssbuy.tw/gift-codes.html?game=靈寵工坊</v>
      </c>
      <c r="E375" s="97"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8" t="s">
        <v>6997</v>
      </c>
      <c r="G375" s="57" t="s">
        <v>6998</v>
      </c>
      <c r="H375" s="57" t="s">
        <v>6999</v>
      </c>
      <c r="I375" s="57"/>
      <c r="J375" s="97"/>
      <c r="K375" s="106" t="s">
        <v>6354</v>
      </c>
      <c r="L375" s="57" t="s">
        <v>5507</v>
      </c>
      <c r="M375" s="59" t="s">
        <v>6996</v>
      </c>
      <c r="N375" s="60"/>
      <c r="O375" s="59" t="s">
        <v>7001</v>
      </c>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8.5" customHeight="1">
      <c r="A376" s="73" t="str">
        <f>IF(games!A376="", "", games!A376)</f>
        <v>天命傳說</v>
      </c>
      <c r="B376" s="57"/>
      <c r="C376" s="57" t="str">
        <f t="shared" si="16"/>
        <v>giftcodesbanner/天命傳說-禮包碼.jpg</v>
      </c>
      <c r="D376" s="57" t="str">
        <f t="shared" si="17"/>
        <v>https://www.ssbuy.tw/gift-codes.html?game=天命傳說</v>
      </c>
      <c r="E376" s="97"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6959</v>
      </c>
      <c r="G376" s="57" t="s">
        <v>6960</v>
      </c>
      <c r="H376" s="57" t="s">
        <v>6257</v>
      </c>
      <c r="I376" s="57"/>
      <c r="J376" s="97"/>
      <c r="K376" s="106" t="s">
        <v>6354</v>
      </c>
      <c r="L376" s="57" t="s">
        <v>5507</v>
      </c>
      <c r="M376" s="59" t="s">
        <v>6949</v>
      </c>
      <c r="N376" s="60"/>
      <c r="O376" s="59" t="s">
        <v>6950</v>
      </c>
      <c r="P376" s="60"/>
      <c r="Q376" s="59" t="s">
        <v>6951</v>
      </c>
      <c r="R376" s="60"/>
      <c r="S376" s="59" t="s">
        <v>6952</v>
      </c>
      <c r="T376" s="60"/>
      <c r="U376" s="59" t="s">
        <v>6953</v>
      </c>
      <c r="V376" s="60"/>
      <c r="W376" s="26" t="s">
        <v>2491</v>
      </c>
      <c r="X376" s="60"/>
      <c r="Y376" s="59" t="s">
        <v>6954</v>
      </c>
      <c r="Z376" s="60"/>
      <c r="AA376" s="59" t="s">
        <v>6955</v>
      </c>
      <c r="AB376" s="60"/>
      <c r="AC376" s="26" t="s">
        <v>6956</v>
      </c>
      <c r="AD376" s="60"/>
      <c r="AE376" s="59" t="s">
        <v>6957</v>
      </c>
      <c r="AF376" s="60"/>
      <c r="AG376" s="59" t="s">
        <v>6958</v>
      </c>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8.5" customHeight="1">
      <c r="A377" s="73" t="str">
        <f>IF(games!A377="", "", games!A377)</f>
        <v>最遊幻想</v>
      </c>
      <c r="B377" s="57"/>
      <c r="C377" s="57" t="str">
        <f t="shared" si="16"/>
        <v>giftcodesbanner/最遊幻想-禮包碼.jpg</v>
      </c>
      <c r="D377" s="57" t="str">
        <f t="shared" si="17"/>
        <v>https://www.ssbuy.tw/gift-codes.html?game=最遊幻想</v>
      </c>
      <c r="E377" s="97"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6931</v>
      </c>
      <c r="G377" s="57" t="s">
        <v>6932</v>
      </c>
      <c r="H377" s="57" t="s">
        <v>6257</v>
      </c>
      <c r="I377" s="57"/>
      <c r="J377" s="97"/>
      <c r="K377" s="106" t="s">
        <v>6354</v>
      </c>
      <c r="L377" s="57" t="s">
        <v>5507</v>
      </c>
      <c r="M377" s="59" t="s">
        <v>7002</v>
      </c>
      <c r="N377" s="60" t="s">
        <v>7003</v>
      </c>
      <c r="O377" s="59" t="s">
        <v>7006</v>
      </c>
      <c r="P377" s="60"/>
      <c r="Q377" s="59" t="s">
        <v>7007</v>
      </c>
      <c r="R377" s="60"/>
      <c r="S377" s="59" t="s">
        <v>7008</v>
      </c>
      <c r="T377" s="60"/>
      <c r="U377" s="59" t="s">
        <v>6619</v>
      </c>
      <c r="V377" s="60"/>
      <c r="W377" s="59" t="s">
        <v>7040</v>
      </c>
      <c r="X377" s="60" t="s">
        <v>7041</v>
      </c>
      <c r="Y377" s="59" t="s">
        <v>7042</v>
      </c>
      <c r="Z377" s="60" t="s">
        <v>7041</v>
      </c>
      <c r="AA377" s="59" t="s">
        <v>7043</v>
      </c>
      <c r="AB377" s="60" t="s">
        <v>7041</v>
      </c>
      <c r="AC377" s="59" t="s">
        <v>7065</v>
      </c>
      <c r="AD377" s="60"/>
      <c r="AE377" s="59" t="s">
        <v>7066</v>
      </c>
      <c r="AF377" s="60"/>
      <c r="AG377" s="26" t="s">
        <v>7067</v>
      </c>
      <c r="AH377" s="60" t="s">
        <v>7041</v>
      </c>
      <c r="AI377" s="59" t="s">
        <v>7068</v>
      </c>
      <c r="AJ377" s="60" t="s">
        <v>7041</v>
      </c>
      <c r="AK377" s="59" t="s">
        <v>7069</v>
      </c>
      <c r="AL377" s="60" t="s">
        <v>7041</v>
      </c>
      <c r="AM377" s="59" t="s">
        <v>7092</v>
      </c>
      <c r="AN377" s="60" t="s">
        <v>7041</v>
      </c>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8.5" customHeight="1">
      <c r="A378" s="73" t="str">
        <f>IF(games!A378="", "", games!A378)</f>
        <v>強棒出擊：ALL IN</v>
      </c>
      <c r="B378" s="57"/>
      <c r="C378" s="57" t="str">
        <f t="shared" si="16"/>
        <v>giftcodesbanner/強棒出擊：ALL IN-禮包碼.jpg</v>
      </c>
      <c r="D378" s="57" t="str">
        <f t="shared" si="17"/>
        <v>https://www.ssbuy.tw/gift-codes.html?game=強棒出擊：ALL IN</v>
      </c>
      <c r="E378" s="97"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6962</v>
      </c>
      <c r="G378" s="57" t="s">
        <v>6963</v>
      </c>
      <c r="H378" s="57" t="s">
        <v>6964</v>
      </c>
      <c r="I378" s="57" t="s">
        <v>6965</v>
      </c>
      <c r="J378" s="97"/>
      <c r="K378" s="106" t="s">
        <v>6354</v>
      </c>
      <c r="L378" s="57" t="s">
        <v>5507</v>
      </c>
      <c r="M378" s="59" t="s">
        <v>6945</v>
      </c>
      <c r="N378" s="60" t="s">
        <v>6961</v>
      </c>
      <c r="O378" s="59" t="s">
        <v>6946</v>
      </c>
      <c r="P378" s="60"/>
      <c r="Q378" s="59" t="s">
        <v>6947</v>
      </c>
      <c r="R378" s="60" t="s">
        <v>6961</v>
      </c>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8.5" customHeight="1">
      <c r="A379" s="73" t="str">
        <f>IF(games!A379="", "", games!A379)</f>
        <v>獸寶特攻隊</v>
      </c>
      <c r="B379" s="57"/>
      <c r="C379" s="57" t="str">
        <f t="shared" si="16"/>
        <v>giftcodesbanner/獸寶特攻隊-禮包碼.jpg</v>
      </c>
      <c r="D379" s="57" t="str">
        <f t="shared" si="17"/>
        <v>https://www.ssbuy.tw/gift-codes.html?game=獸寶特攻隊</v>
      </c>
      <c r="E379" s="97"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8" t="s">
        <v>5236</v>
      </c>
      <c r="G379" s="57"/>
      <c r="H379" s="57"/>
      <c r="I379" s="57"/>
      <c r="J379" s="97"/>
      <c r="K379" s="106" t="s">
        <v>6354</v>
      </c>
      <c r="L379" s="57" t="s">
        <v>5507</v>
      </c>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8.5" customHeight="1">
      <c r="A380" s="73" t="str">
        <f>IF(games!A380="", "", games!A380)</f>
        <v>傭兵砰砰團：防衛戰</v>
      </c>
      <c r="B380" s="57"/>
      <c r="C380" s="57" t="str">
        <f t="shared" si="16"/>
        <v>giftcodesbanner/傭兵砰砰團：防衛戰-禮包碼.jpg</v>
      </c>
      <c r="D380" s="57" t="str">
        <f t="shared" si="17"/>
        <v>https://www.ssbuy.tw/gift-codes.html?game=傭兵砰砰團：防衛戰</v>
      </c>
      <c r="E380" s="97"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8" t="s">
        <v>5236</v>
      </c>
      <c r="G380" s="57"/>
      <c r="H380" s="57"/>
      <c r="I380" s="57"/>
      <c r="J380" s="97"/>
      <c r="K380" s="106" t="s">
        <v>6354</v>
      </c>
      <c r="L380" s="57" t="s">
        <v>5507</v>
      </c>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8.5" customHeight="1">
      <c r="A381" s="73" t="str">
        <f>IF(games!A381="", "", games!A381)</f>
        <v>矮人小酒館</v>
      </c>
      <c r="B381" s="57"/>
      <c r="C381" s="57" t="str">
        <f t="shared" si="16"/>
        <v>giftcodesbanner/矮人小酒館-禮包碼.jpg</v>
      </c>
      <c r="D381" s="57" t="str">
        <f t="shared" si="17"/>
        <v>https://www.ssbuy.tw/gift-codes.html?game=矮人小酒館</v>
      </c>
      <c r="E381" s="97"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8" t="s">
        <v>5236</v>
      </c>
      <c r="G381" s="57"/>
      <c r="H381" s="57"/>
      <c r="I381" s="57"/>
      <c r="J381" s="97"/>
      <c r="K381" s="106" t="s">
        <v>6354</v>
      </c>
      <c r="L381" s="57" t="s">
        <v>5507</v>
      </c>
      <c r="M381" s="59" t="s">
        <v>7004</v>
      </c>
      <c r="N381" s="60"/>
      <c r="O381" s="59" t="s">
        <v>7005</v>
      </c>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8.5" customHeight="1">
      <c r="A382" s="73" t="str">
        <f>IF(games!A382="", "", games!A382)</f>
        <v>星際守護者</v>
      </c>
      <c r="B382" s="57"/>
      <c r="C382" s="57" t="str">
        <f t="shared" si="16"/>
        <v>giftcodesbanner/星際守護者-禮包碼.jpg</v>
      </c>
      <c r="D382" s="57" t="str">
        <f t="shared" si="17"/>
        <v>https://www.ssbuy.tw/gift-codes.html?game=星際守護者</v>
      </c>
      <c r="E382" s="97"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8" t="s">
        <v>5236</v>
      </c>
      <c r="G382" s="57"/>
      <c r="H382" s="57"/>
      <c r="I382" s="57"/>
      <c r="J382" s="97"/>
      <c r="K382" s="106" t="s">
        <v>6354</v>
      </c>
      <c r="L382" s="57" t="s">
        <v>5507</v>
      </c>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8.5" customHeight="1">
      <c r="A383" s="73" t="str">
        <f>IF(games!A383="", "", games!A383)</f>
        <v>霹靂蘑菇</v>
      </c>
      <c r="B383" s="57"/>
      <c r="C383" s="57" t="str">
        <f t="shared" si="16"/>
        <v>giftcodesbanner/霹靂蘑菇-禮包碼.jpg</v>
      </c>
      <c r="D383" s="57" t="str">
        <f t="shared" si="17"/>
        <v>https://www.ssbuy.tw/gift-codes.html?game=霹靂蘑菇</v>
      </c>
      <c r="E383" s="97"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8" t="s">
        <v>7072</v>
      </c>
      <c r="G383" s="57" t="s">
        <v>7073</v>
      </c>
      <c r="H383" s="57" t="s">
        <v>6999</v>
      </c>
      <c r="I383" s="57"/>
      <c r="J383" s="97"/>
      <c r="K383" s="106" t="s">
        <v>6354</v>
      </c>
      <c r="L383" s="57" t="s">
        <v>5507</v>
      </c>
      <c r="M383" s="59" t="s">
        <v>1841</v>
      </c>
      <c r="N383" s="60" t="s">
        <v>7074</v>
      </c>
      <c r="O383" s="59" t="s">
        <v>7075</v>
      </c>
      <c r="P383" s="60" t="s">
        <v>7079</v>
      </c>
      <c r="Q383" s="59" t="s">
        <v>7076</v>
      </c>
      <c r="R383" s="60" t="s">
        <v>7080</v>
      </c>
      <c r="S383" s="59" t="s">
        <v>1932</v>
      </c>
      <c r="T383" s="60" t="s">
        <v>7081</v>
      </c>
      <c r="U383" s="59" t="s">
        <v>7077</v>
      </c>
      <c r="V383" s="60" t="s">
        <v>7082</v>
      </c>
      <c r="W383" s="59" t="s">
        <v>7078</v>
      </c>
      <c r="X383" s="60" t="s">
        <v>7083</v>
      </c>
      <c r="Y383" s="59" t="s">
        <v>7374</v>
      </c>
      <c r="Z383" s="60"/>
      <c r="AA383" s="59" t="s">
        <v>7375</v>
      </c>
      <c r="AB383" s="60"/>
      <c r="AC383" s="59" t="s">
        <v>7376</v>
      </c>
      <c r="AD383" s="60"/>
      <c r="AE383" s="59" t="s">
        <v>7377</v>
      </c>
      <c r="AF383" s="60"/>
      <c r="AG383" s="59" t="s">
        <v>7378</v>
      </c>
      <c r="AH383" s="60"/>
      <c r="AI383" s="59" t="s">
        <v>7379</v>
      </c>
      <c r="AJ383" s="60"/>
      <c r="AK383" s="59" t="s">
        <v>7380</v>
      </c>
      <c r="AL383" s="60"/>
      <c r="AM383" s="59" t="s">
        <v>7381</v>
      </c>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8.5" customHeight="1">
      <c r="A384" s="73" t="str">
        <f>IF(games!A384="", "", games!A384)</f>
        <v>小將超兇</v>
      </c>
      <c r="B384" s="57"/>
      <c r="C384" s="57" t="str">
        <f t="shared" si="16"/>
        <v>giftcodesbanner/小將超兇-禮包碼.jpg</v>
      </c>
      <c r="D384" s="57" t="str">
        <f t="shared" si="17"/>
        <v>https://www.ssbuy.tw/gift-codes.html?game=小將超兇</v>
      </c>
      <c r="E384" s="97"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7071</v>
      </c>
      <c r="G384" s="57"/>
      <c r="H384" s="57" t="s">
        <v>6999</v>
      </c>
      <c r="I384" s="57"/>
      <c r="J384" s="97"/>
      <c r="K384" s="106" t="s">
        <v>6354</v>
      </c>
      <c r="L384" s="57" t="s">
        <v>5507</v>
      </c>
      <c r="M384" s="59" t="s">
        <v>7070</v>
      </c>
      <c r="N384" s="60"/>
      <c r="O384" s="59" t="s">
        <v>7090</v>
      </c>
      <c r="P384" s="60" t="s">
        <v>7091</v>
      </c>
      <c r="Q384" s="59" t="s">
        <v>7156</v>
      </c>
      <c r="R384" s="60" t="s">
        <v>7158</v>
      </c>
      <c r="S384" s="59" t="s">
        <v>7155</v>
      </c>
      <c r="T384" s="60" t="s">
        <v>7158</v>
      </c>
      <c r="U384" s="59" t="s">
        <v>7157</v>
      </c>
      <c r="V384" s="60" t="s">
        <v>7159</v>
      </c>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8.5" customHeight="1">
      <c r="A385" s="73" t="str">
        <f>IF(games!A385="", "", games!A385)</f>
        <v>勇者逗逗龍</v>
      </c>
      <c r="B385" s="57"/>
      <c r="C385" s="57" t="str">
        <f t="shared" si="16"/>
        <v>giftcodesbanner/勇者逗逗龍-禮包碼.jpg</v>
      </c>
      <c r="D385" s="57" t="str">
        <f t="shared" si="17"/>
        <v>https://www.ssbuy.tw/gift-codes.html?game=勇者逗逗龍</v>
      </c>
      <c r="E385" s="97"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7" t="s">
        <v>7109</v>
      </c>
      <c r="H385" s="57" t="s">
        <v>6999</v>
      </c>
      <c r="I385" s="57"/>
      <c r="J385" s="97"/>
      <c r="K385" s="106" t="s">
        <v>6354</v>
      </c>
      <c r="L385" s="57" t="s">
        <v>5507</v>
      </c>
      <c r="M385" s="59" t="s">
        <v>1932</v>
      </c>
      <c r="N385" s="60" t="s">
        <v>7086</v>
      </c>
      <c r="O385" s="59" t="s">
        <v>6302</v>
      </c>
      <c r="P385" s="60" t="s">
        <v>7087</v>
      </c>
      <c r="Q385" s="59" t="s">
        <v>7008</v>
      </c>
      <c r="R385" s="60" t="s">
        <v>7088</v>
      </c>
      <c r="S385" s="59" t="s">
        <v>7084</v>
      </c>
      <c r="T385" s="60" t="s">
        <v>7089</v>
      </c>
      <c r="U385" s="59" t="s">
        <v>7085</v>
      </c>
      <c r="V385" s="60" t="s">
        <v>7086</v>
      </c>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8.5" customHeight="1">
      <c r="A386" s="73" t="str">
        <f>IF(games!A386="", "", games!A386)</f>
        <v>姬不可失：據點不設防</v>
      </c>
      <c r="B386" s="57"/>
      <c r="C386" s="57" t="str">
        <f t="shared" si="16"/>
        <v>giftcodesbanner/姬不可失：據點不設防-禮包碼.jpg</v>
      </c>
      <c r="D386" s="57" t="str">
        <f t="shared" si="17"/>
        <v>https://www.ssbuy.tw/gift-codes.html?game=姬不可失：據點不設防</v>
      </c>
      <c r="E386" s="97"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7" t="s">
        <v>7109</v>
      </c>
      <c r="H386" s="57" t="s">
        <v>6999</v>
      </c>
      <c r="I386" s="57"/>
      <c r="J386" s="97"/>
      <c r="K386" s="106" t="s">
        <v>6354</v>
      </c>
      <c r="L386" s="57" t="s">
        <v>5507</v>
      </c>
      <c r="M386" s="59" t="s">
        <v>7107</v>
      </c>
      <c r="N386" s="60" t="s">
        <v>7108</v>
      </c>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8.5" customHeight="1">
      <c r="A387" s="73" t="str">
        <f>IF(games!A387="", "", games!A387)</f>
        <v>集結啦！帕萌獸</v>
      </c>
      <c r="B387" s="57"/>
      <c r="C387" s="57" t="str">
        <f t="shared" si="16"/>
        <v>giftcodesbanner/集結啦！帕萌獸-禮包碼.jpg</v>
      </c>
      <c r="D387" s="57" t="str">
        <f t="shared" si="17"/>
        <v>https://www.ssbuy.tw/gift-codes.html?game=集結啦！帕萌獸</v>
      </c>
      <c r="E387" s="97"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7111</v>
      </c>
      <c r="G387" s="57" t="s">
        <v>7195</v>
      </c>
      <c r="H387" s="57" t="s">
        <v>7196</v>
      </c>
      <c r="I387" s="57" t="s">
        <v>6999</v>
      </c>
      <c r="J387" s="97"/>
      <c r="K387" s="106" t="s">
        <v>6354</v>
      </c>
      <c r="L387" s="57" t="s">
        <v>5507</v>
      </c>
      <c r="M387" s="59" t="s">
        <v>7110</v>
      </c>
      <c r="N387" s="60"/>
      <c r="O387" s="59" t="s">
        <v>7194</v>
      </c>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8.5" customHeight="1">
      <c r="A388" s="73" t="str">
        <f>IF(games!A388="", "", games!A388)</f>
        <v>超限進化：界域崩解</v>
      </c>
      <c r="B388" s="57"/>
      <c r="C388" s="57" t="str">
        <f t="shared" si="16"/>
        <v>giftcodesbanner/超限進化：界域崩解-禮包碼.jpg</v>
      </c>
      <c r="D388" s="57" t="str">
        <f t="shared" si="17"/>
        <v>https://www.ssbuy.tw/gift-codes.html?game=超限進化：界域崩解</v>
      </c>
      <c r="E388" s="97"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7111</v>
      </c>
      <c r="G388" s="129" t="s">
        <v>7112</v>
      </c>
      <c r="H388" s="57" t="s">
        <v>6999</v>
      </c>
      <c r="I388" s="57"/>
      <c r="J388" s="97"/>
      <c r="K388" s="106" t="s">
        <v>6354</v>
      </c>
      <c r="L388" s="57" t="s">
        <v>5507</v>
      </c>
      <c r="M388" s="59" t="s">
        <v>7113</v>
      </c>
      <c r="N388" s="60"/>
      <c r="O388" s="59" t="s">
        <v>7114</v>
      </c>
      <c r="P388" s="60"/>
      <c r="Q388" s="59" t="s">
        <v>7115</v>
      </c>
      <c r="R388" s="60"/>
      <c r="S388" s="59" t="s">
        <v>7116</v>
      </c>
      <c r="T388" s="60"/>
      <c r="U388" s="59" t="s">
        <v>7117</v>
      </c>
      <c r="V388" s="60"/>
      <c r="W388" s="59" t="s">
        <v>7118</v>
      </c>
      <c r="X388" s="60"/>
      <c r="Y388" s="59" t="s">
        <v>7119</v>
      </c>
      <c r="Z388" s="60"/>
      <c r="AA388" s="59" t="s">
        <v>7120</v>
      </c>
      <c r="AB388" s="60"/>
      <c r="AC388" s="59" t="s">
        <v>7121</v>
      </c>
      <c r="AD388" s="60"/>
      <c r="AE388" s="59" t="s">
        <v>7122</v>
      </c>
      <c r="AF388" s="60"/>
      <c r="AG388" s="59" t="s">
        <v>7123</v>
      </c>
      <c r="AH388" s="60"/>
      <c r="AI388" s="59" t="s">
        <v>7124</v>
      </c>
      <c r="AJ388" s="60"/>
      <c r="AK388" s="59" t="s">
        <v>7125</v>
      </c>
      <c r="AL388" s="60"/>
      <c r="AM388" s="59" t="s">
        <v>7126</v>
      </c>
      <c r="AN388" s="60"/>
      <c r="AO388" s="59" t="s">
        <v>7127</v>
      </c>
      <c r="AP388" s="60"/>
      <c r="AQ388" s="59" t="s">
        <v>7140</v>
      </c>
      <c r="AR388" s="60" t="s">
        <v>7141</v>
      </c>
      <c r="AS388" s="59" t="s">
        <v>7162</v>
      </c>
      <c r="AT388" s="60"/>
      <c r="AU388" s="59" t="s">
        <v>7412</v>
      </c>
      <c r="AV388" s="60"/>
      <c r="AW388" s="59" t="s">
        <v>7413</v>
      </c>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8.5" customHeight="1">
      <c r="A389" s="73" t="str">
        <f>IF(games!A389="", "", games!A389)</f>
        <v>魔法少女小圓 Magia Exedra</v>
      </c>
      <c r="B389" s="57"/>
      <c r="C389" s="57" t="str">
        <f t="shared" si="16"/>
        <v>giftcodesbanner/魔法少女小圓 Magia Exedra-禮包碼.jpg</v>
      </c>
      <c r="D389" s="57" t="str">
        <f t="shared" si="17"/>
        <v>https://www.ssbuy.tw/gift-codes.html?game=魔法少女小圓 Magia Exedra</v>
      </c>
      <c r="E389" s="97"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7246</v>
      </c>
      <c r="G389" s="57" t="s">
        <v>7247</v>
      </c>
      <c r="H389" s="57" t="s">
        <v>6999</v>
      </c>
      <c r="I389" s="57"/>
      <c r="J389" s="97"/>
      <c r="K389" s="106" t="s">
        <v>6354</v>
      </c>
      <c r="L389" s="57" t="s">
        <v>5507</v>
      </c>
      <c r="M389" s="59" t="s">
        <v>7238</v>
      </c>
      <c r="N389" s="60" t="s">
        <v>7239</v>
      </c>
      <c r="O389" s="59"/>
      <c r="P389" s="60"/>
      <c r="Q389" s="59"/>
      <c r="R389" s="60"/>
      <c r="S389" s="59"/>
      <c r="T389" s="60"/>
      <c r="U389" s="130"/>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8.5" customHeight="1">
      <c r="A390" s="73" t="str">
        <f>IF(games!A390="", "", games!A390)</f>
        <v>無職轉生江湖為了回家只好拿出真本事了</v>
      </c>
      <c r="B390" s="57"/>
      <c r="C390" s="57" t="str">
        <f t="shared" si="16"/>
        <v>giftcodesbanner/無職轉生江湖為了回家只好拿出真本事了-禮包碼.jpg</v>
      </c>
      <c r="D390" s="57" t="str">
        <f t="shared" si="17"/>
        <v>https://www.ssbuy.tw/gift-codes.html?game=無職轉生江湖為了回家只好拿出真本事了</v>
      </c>
      <c r="E390" s="97"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7111</v>
      </c>
      <c r="G390" s="57" t="s">
        <v>7220</v>
      </c>
      <c r="H390" s="57" t="s">
        <v>6999</v>
      </c>
      <c r="J390" s="97"/>
      <c r="K390" s="106" t="s">
        <v>6354</v>
      </c>
      <c r="L390" s="57" t="s">
        <v>5507</v>
      </c>
      <c r="M390" s="59" t="s">
        <v>5253</v>
      </c>
      <c r="N390" s="60"/>
      <c r="O390" s="59" t="s">
        <v>6697</v>
      </c>
      <c r="P390" s="60"/>
      <c r="Q390" s="59" t="s">
        <v>2056</v>
      </c>
      <c r="R390" s="60"/>
      <c r="S390" s="59" t="s">
        <v>7221</v>
      </c>
      <c r="T390" s="60"/>
      <c r="U390" s="59" t="s">
        <v>1933</v>
      </c>
      <c r="V390" s="60"/>
      <c r="W390" s="59" t="s">
        <v>2400</v>
      </c>
      <c r="X390" s="60"/>
      <c r="Y390" s="59" t="s">
        <v>6623</v>
      </c>
      <c r="Z390" s="60"/>
      <c r="AA390" s="59" t="s">
        <v>7222</v>
      </c>
      <c r="AB390" s="60"/>
      <c r="AC390" s="59" t="s">
        <v>6621</v>
      </c>
      <c r="AD390" s="60"/>
      <c r="AE390" s="59" t="s">
        <v>7240</v>
      </c>
      <c r="AF390" s="60"/>
      <c r="AG390" s="59" t="s">
        <v>7241</v>
      </c>
      <c r="AH390" s="60"/>
      <c r="AI390" s="59" t="s">
        <v>7242</v>
      </c>
      <c r="AJ390" s="60"/>
      <c r="AK390" s="59" t="s">
        <v>7243</v>
      </c>
      <c r="AL390" s="60"/>
      <c r="AM390" s="59" t="s">
        <v>7244</v>
      </c>
      <c r="AN390" s="60"/>
      <c r="AO390" s="59" t="s">
        <v>7245</v>
      </c>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8.5" customHeight="1">
      <c r="A391" s="73" t="str">
        <f>IF(games!A391="", "", games!A391)</f>
        <v>永夜降臨：雙面魅影</v>
      </c>
      <c r="B391" s="57"/>
      <c r="C391" s="57" t="str">
        <f t="shared" si="16"/>
        <v>giftcodesbanner/永夜降臨：雙面魅影-禮包碼.jpg</v>
      </c>
      <c r="D391" s="57" t="str">
        <f t="shared" si="17"/>
        <v>https://www.ssbuy.tw/gift-codes.html?game=永夜降臨：雙面魅影</v>
      </c>
      <c r="E391" s="97"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7111</v>
      </c>
      <c r="G391" s="57" t="s">
        <v>7160</v>
      </c>
      <c r="H391" s="57" t="s">
        <v>7161</v>
      </c>
      <c r="I391" s="57" t="s">
        <v>6999</v>
      </c>
      <c r="J391" s="97"/>
      <c r="K391" s="106" t="s">
        <v>6354</v>
      </c>
      <c r="L391" s="57" t="s">
        <v>5507</v>
      </c>
      <c r="M391" s="59" t="s">
        <v>7129</v>
      </c>
      <c r="N391" s="60"/>
      <c r="O391" s="59" t="s">
        <v>7145</v>
      </c>
      <c r="P391" s="60"/>
      <c r="Q391" s="59" t="s">
        <v>7146</v>
      </c>
      <c r="R391" s="60"/>
      <c r="S391" s="59" t="s">
        <v>7147</v>
      </c>
      <c r="T391" s="60"/>
      <c r="U391" s="59" t="s">
        <v>2985</v>
      </c>
      <c r="V391" s="60"/>
      <c r="W391" s="59" t="s">
        <v>2146</v>
      </c>
      <c r="X391" s="60"/>
      <c r="Y391" s="59" t="s">
        <v>7197</v>
      </c>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8.5" customHeight="1">
      <c r="A392" s="73" t="str">
        <f>IF(games!A392="", "", games!A392)</f>
        <v>裝甲前線：戰區</v>
      </c>
      <c r="B392" s="57"/>
      <c r="C392" s="57" t="str">
        <f t="shared" si="16"/>
        <v>giftcodesbanner/裝甲前線：戰區-禮包碼.jpg</v>
      </c>
      <c r="D392" s="57" t="str">
        <f t="shared" si="17"/>
        <v>https://www.ssbuy.tw/gift-codes.html?game=裝甲前線：戰區</v>
      </c>
      <c r="E392" s="97"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8" t="s">
        <v>5236</v>
      </c>
      <c r="G392" s="57"/>
      <c r="H392" s="57"/>
      <c r="I392" s="57"/>
      <c r="J392" s="97"/>
      <c r="K392" s="106" t="s">
        <v>6354</v>
      </c>
      <c r="L392" s="57" t="s">
        <v>5507</v>
      </c>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8.5" customHeight="1">
      <c r="A393" s="73" t="str">
        <f>IF(games!A393="", "", games!A393)</f>
        <v>星神世界</v>
      </c>
      <c r="B393" s="57"/>
      <c r="C393" s="57" t="str">
        <f t="shared" si="16"/>
        <v>giftcodesbanner/星神世界-禮包碼.jpg</v>
      </c>
      <c r="D393" s="57" t="str">
        <f t="shared" si="17"/>
        <v>https://www.ssbuy.tw/gift-codes.html?game=星神世界</v>
      </c>
      <c r="E393" s="97"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8" t="s">
        <v>5236</v>
      </c>
      <c r="G393" s="57"/>
      <c r="H393" s="57"/>
      <c r="I393" s="57"/>
      <c r="J393" s="97"/>
      <c r="K393" s="106" t="s">
        <v>6354</v>
      </c>
      <c r="L393" s="57" t="s">
        <v>5507</v>
      </c>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8.5" customHeight="1">
      <c r="A394" s="73" t="str">
        <f>IF(games!A394="", "", games!A394)</f>
        <v>大神駕到： 來囉！來囉！</v>
      </c>
      <c r="B394" s="57"/>
      <c r="C394" s="57" t="str">
        <f t="shared" si="16"/>
        <v>giftcodesbanner/大神駕到： 來囉！來囉！-禮包碼.jpg</v>
      </c>
      <c r="D394" s="57" t="str">
        <f t="shared" si="17"/>
        <v>https://www.ssbuy.tw/gift-codes.html?game=大神駕到： 來囉！來囉！</v>
      </c>
      <c r="E394" s="97"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7111</v>
      </c>
      <c r="G394" s="57" t="s">
        <v>7209</v>
      </c>
      <c r="H394" s="57" t="s">
        <v>7161</v>
      </c>
      <c r="I394" s="57" t="s">
        <v>6999</v>
      </c>
      <c r="J394" s="97"/>
      <c r="K394" s="106" t="s">
        <v>6354</v>
      </c>
      <c r="L394" s="57" t="s">
        <v>5507</v>
      </c>
      <c r="M394" s="59" t="s">
        <v>7210</v>
      </c>
      <c r="N394" s="60"/>
      <c r="O394" s="59" t="s">
        <v>7211</v>
      </c>
      <c r="P394" s="60"/>
      <c r="Q394" s="59" t="s">
        <v>7212</v>
      </c>
      <c r="R394" s="60"/>
      <c r="S394" s="59" t="s">
        <v>7213</v>
      </c>
      <c r="T394" s="60"/>
      <c r="U394" s="59" t="s">
        <v>7214</v>
      </c>
      <c r="V394" s="60"/>
      <c r="W394" s="59" t="s">
        <v>7215</v>
      </c>
      <c r="X394" s="60"/>
      <c r="Y394" s="59" t="s">
        <v>7216</v>
      </c>
      <c r="Z394" s="60"/>
      <c r="AA394" s="59" t="s">
        <v>7217</v>
      </c>
      <c r="AB394" s="60"/>
      <c r="AC394" s="59" t="s">
        <v>2985</v>
      </c>
      <c r="AD394" s="60"/>
      <c r="AE394" s="59" t="s">
        <v>7218</v>
      </c>
      <c r="AF394" s="60"/>
      <c r="AG394" s="59" t="s">
        <v>7288</v>
      </c>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8.5" customHeight="1">
      <c r="A395" s="73" t="str">
        <f>IF(games!A395="", "", games!A395)</f>
        <v>百鬼異聞錄</v>
      </c>
      <c r="B395" s="57"/>
      <c r="C395" s="57" t="str">
        <f t="shared" si="16"/>
        <v>giftcodesbanner/百鬼異聞錄-禮包碼.jpg</v>
      </c>
      <c r="D395" s="57" t="str">
        <f t="shared" si="17"/>
        <v>https://www.ssbuy.tw/gift-codes.html?game=百鬼異聞錄</v>
      </c>
      <c r="E395" s="97"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8" t="s">
        <v>5236</v>
      </c>
      <c r="G395" s="57"/>
      <c r="H395" s="57"/>
      <c r="I395" s="57"/>
      <c r="J395" s="97"/>
      <c r="K395" s="106" t="s">
        <v>6354</v>
      </c>
      <c r="L395" s="57" t="s">
        <v>5507</v>
      </c>
      <c r="M395" s="59" t="s">
        <v>7265</v>
      </c>
      <c r="N395" s="60"/>
      <c r="O395" s="59" t="s">
        <v>7266</v>
      </c>
      <c r="P395" s="60"/>
      <c r="Q395" s="59" t="s">
        <v>7267</v>
      </c>
      <c r="R395" s="60"/>
      <c r="S395" s="59" t="s">
        <v>2422</v>
      </c>
      <c r="T395" s="60"/>
      <c r="U395" s="59" t="s">
        <v>7268</v>
      </c>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8.5" customHeight="1">
      <c r="A396" s="73" t="str">
        <f>IF(games!A396="", "", games!A396)</f>
        <v>巡夢少女~異世界宮廷綺譚~</v>
      </c>
      <c r="B396" s="57"/>
      <c r="C396" s="57" t="str">
        <f t="shared" si="16"/>
        <v>giftcodesbanner/巡夢少女~異世界宮廷綺譚~-禮包碼.jpg</v>
      </c>
      <c r="D396" s="57" t="str">
        <f t="shared" si="17"/>
        <v>https://www.ssbuy.tw/gift-codes.html?game=巡夢少女~異世界宮廷綺譚~</v>
      </c>
      <c r="E396" s="97"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8" t="s">
        <v>7270</v>
      </c>
      <c r="G396" s="57" t="s">
        <v>7271</v>
      </c>
      <c r="H396" s="57" t="s">
        <v>7272</v>
      </c>
      <c r="I396" s="57" t="s">
        <v>6999</v>
      </c>
      <c r="J396" s="97"/>
      <c r="K396" s="106" t="s">
        <v>6354</v>
      </c>
      <c r="L396" s="57" t="s">
        <v>5507</v>
      </c>
      <c r="M396" s="59" t="s">
        <v>7269</v>
      </c>
      <c r="N396" s="60"/>
      <c r="O396" s="59" t="s">
        <v>7289</v>
      </c>
      <c r="P396" s="60"/>
      <c r="Q396" s="59" t="s">
        <v>7290</v>
      </c>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8.5" customHeight="1">
      <c r="A397" s="73" t="str">
        <f>IF(games!A397="", "", games!A397)</f>
        <v>軟泥星球</v>
      </c>
      <c r="B397" s="57"/>
      <c r="C397" s="57" t="str">
        <f t="shared" si="16"/>
        <v>giftcodesbanner/軟泥星球-禮包碼.jpg</v>
      </c>
      <c r="D397" s="57" t="str">
        <f t="shared" si="17"/>
        <v>https://www.ssbuy.tw/gift-codes.html?game=軟泥星球</v>
      </c>
      <c r="E397" s="97"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7111</v>
      </c>
      <c r="G397" s="57" t="s">
        <v>7263</v>
      </c>
      <c r="H397" s="57" t="s">
        <v>6999</v>
      </c>
      <c r="J397" s="97"/>
      <c r="K397" s="106" t="s">
        <v>6354</v>
      </c>
      <c r="L397" s="57" t="s">
        <v>5507</v>
      </c>
      <c r="M397" s="59" t="s">
        <v>7262</v>
      </c>
      <c r="N397" s="60"/>
      <c r="O397" s="59" t="s">
        <v>6065</v>
      </c>
      <c r="P397" s="60"/>
      <c r="Q397" s="59" t="s">
        <v>2056</v>
      </c>
      <c r="R397" s="60"/>
      <c r="S397" s="59" t="s">
        <v>6390</v>
      </c>
      <c r="T397" s="60"/>
      <c r="U397" s="59" t="s">
        <v>1933</v>
      </c>
      <c r="V397" s="60"/>
      <c r="W397" s="59" t="s">
        <v>7371</v>
      </c>
      <c r="X397" s="60"/>
      <c r="Y397" s="59" t="s">
        <v>7372</v>
      </c>
      <c r="Z397" s="60"/>
      <c r="AA397" s="59" t="s">
        <v>7373</v>
      </c>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8.5" customHeight="1">
      <c r="A398" s="73" t="str">
        <f>IF(games!A398="", "", games!A398)</f>
        <v>K-Demon Hunter</v>
      </c>
      <c r="B398" s="57"/>
      <c r="C398" s="57" t="str">
        <f t="shared" si="16"/>
        <v>giftcodesbanner/K-Demon Hunter-禮包碼.jpg</v>
      </c>
      <c r="D398" s="57" t="str">
        <f t="shared" si="17"/>
        <v>https://www.ssbuy.tw/gift-codes.html?game=K-Demon Hunter</v>
      </c>
      <c r="E398" s="97"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8" t="s">
        <v>5236</v>
      </c>
      <c r="G398" s="57"/>
      <c r="H398" s="57"/>
      <c r="I398" s="57"/>
      <c r="J398" s="97"/>
      <c r="K398" s="106" t="s">
        <v>6354</v>
      </c>
      <c r="L398" s="57" t="s">
        <v>5507</v>
      </c>
      <c r="M398" s="59" t="s">
        <v>7382</v>
      </c>
      <c r="N398" s="60"/>
      <c r="O398" s="59" t="s">
        <v>7383</v>
      </c>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8.5" customHeight="1">
      <c r="A399" s="73" t="str">
        <f>IF(games!A399="", "", games!A399)</f>
        <v>傾世仙姬</v>
      </c>
      <c r="B399" s="57"/>
      <c r="C399" s="57" t="str">
        <f t="shared" si="16"/>
        <v>giftcodesbanner/傾世仙姬-禮包碼.jpg</v>
      </c>
      <c r="D399" s="57" t="str">
        <f t="shared" si="17"/>
        <v>https://www.ssbuy.tw/gift-codes.html?game=傾世仙姬</v>
      </c>
      <c r="E399" s="97"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7307</v>
      </c>
      <c r="G399" s="57" t="s">
        <v>7308</v>
      </c>
      <c r="H399" s="57" t="s">
        <v>6999</v>
      </c>
      <c r="I399" s="57"/>
      <c r="J399" s="97"/>
      <c r="K399" s="106" t="s">
        <v>6354</v>
      </c>
      <c r="L399" s="57" t="s">
        <v>5507</v>
      </c>
      <c r="M399" s="59" t="s">
        <v>7301</v>
      </c>
      <c r="N399" s="60"/>
      <c r="O399" s="59" t="s">
        <v>7302</v>
      </c>
      <c r="P399" s="60"/>
      <c r="Q399" s="59" t="s">
        <v>7303</v>
      </c>
      <c r="R399" s="60"/>
      <c r="S399" s="59" t="s">
        <v>7304</v>
      </c>
      <c r="T399" s="60"/>
      <c r="U399" s="59" t="s">
        <v>7305</v>
      </c>
      <c r="V399" s="60"/>
      <c r="W399" s="59" t="s">
        <v>7306</v>
      </c>
      <c r="X399" s="60"/>
      <c r="Y399" s="59" t="s">
        <v>4074</v>
      </c>
      <c r="Z399" s="60"/>
      <c r="AA399" s="59" t="s">
        <v>4075</v>
      </c>
      <c r="AB399" s="60"/>
      <c r="AC399" s="59" t="s">
        <v>4076</v>
      </c>
      <c r="AD399" s="60"/>
      <c r="AE399" s="59" t="s">
        <v>7368</v>
      </c>
      <c r="AF399" s="60"/>
      <c r="AG399" s="59" t="s">
        <v>7369</v>
      </c>
      <c r="AH399" s="60"/>
      <c r="AI399" s="59" t="s">
        <v>7370</v>
      </c>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8.5" customHeight="1">
      <c r="A400" s="73" t="str">
        <f>IF(games!A400="", "", games!A400)</f>
        <v>生化危機 生存兵種</v>
      </c>
      <c r="B400" s="57"/>
      <c r="C400" s="57" t="str">
        <f t="shared" si="16"/>
        <v>giftcodesbanner/生化危機 生存兵種-禮包碼.jpg</v>
      </c>
      <c r="D400" s="57" t="str">
        <f t="shared" si="17"/>
        <v>https://www.ssbuy.tw/gift-codes.html?game=生化危機 生存兵種</v>
      </c>
      <c r="E400" s="97"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8" t="s">
        <v>7357</v>
      </c>
      <c r="G400" s="57" t="s">
        <v>7358</v>
      </c>
      <c r="H400" s="57" t="s">
        <v>6999</v>
      </c>
      <c r="I400" s="57" t="s">
        <v>7367</v>
      </c>
      <c r="J400" s="97"/>
      <c r="K400" s="106" t="s">
        <v>6354</v>
      </c>
      <c r="L400" s="57" t="s">
        <v>5507</v>
      </c>
      <c r="M400" s="59" t="s">
        <v>7359</v>
      </c>
      <c r="N400" s="60"/>
      <c r="O400" s="59" t="s">
        <v>7360</v>
      </c>
      <c r="P400" s="60"/>
      <c r="Q400" s="59" t="s">
        <v>7361</v>
      </c>
      <c r="R400" s="60"/>
      <c r="S400" s="59" t="s">
        <v>7362</v>
      </c>
      <c r="T400" s="60"/>
      <c r="U400" s="59" t="s">
        <v>7363</v>
      </c>
      <c r="V400" s="60"/>
      <c r="W400" s="59" t="s">
        <v>7364</v>
      </c>
      <c r="X400" s="60"/>
      <c r="Y400" s="59" t="s">
        <v>7365</v>
      </c>
      <c r="Z400" s="60"/>
      <c r="AA400" s="59" t="s">
        <v>7366</v>
      </c>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8.5" customHeight="1">
      <c r="A401" s="73" t="str">
        <f>IF(games!A401="", "", games!A401)</f>
        <v>魔法門：命運</v>
      </c>
      <c r="B401" s="57"/>
      <c r="C401" s="57" t="str">
        <f t="shared" si="16"/>
        <v>giftcodesbanner/魔法門：命運-禮包碼.jpg</v>
      </c>
      <c r="D401" s="57" t="str">
        <f t="shared" si="17"/>
        <v>https://www.ssbuy.tw/gift-codes.html?game=魔法門：命運</v>
      </c>
      <c r="E401" s="97"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8" t="s">
        <v>5236</v>
      </c>
      <c r="G401" s="57"/>
      <c r="H401" s="57"/>
      <c r="I401" s="57"/>
      <c r="J401" s="97"/>
      <c r="K401" s="106" t="s">
        <v>6354</v>
      </c>
      <c r="L401" s="57" t="s">
        <v>5507</v>
      </c>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8.5" customHeight="1">
      <c r="A402" s="73" t="str">
        <f>IF(games!A402="", "", games!A402)</f>
        <v>HUNTER×HUNTER NEN×SURVIVOR</v>
      </c>
      <c r="B402" s="57"/>
      <c r="C402" s="57" t="str">
        <f t="shared" si="16"/>
        <v>giftcodesbanner/HUNTER×HUNTER NEN×SURVIVOR-禮包碼.jpg</v>
      </c>
      <c r="D402" s="57" t="str">
        <f t="shared" si="17"/>
        <v>https://www.ssbuy.tw/gift-codes.html?game=HUNTER×HUNTER NEN×SURVIVOR</v>
      </c>
      <c r="E402" s="97"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8" t="s">
        <v>5236</v>
      </c>
      <c r="G402" s="57"/>
      <c r="H402" s="57"/>
      <c r="I402" s="57"/>
      <c r="J402" s="97"/>
      <c r="K402" s="106" t="s">
        <v>6354</v>
      </c>
      <c r="L402" s="57" t="s">
        <v>5507</v>
      </c>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8.5" customHeight="1">
      <c r="A403" s="73" t="str">
        <f>IF(games!A403="", "", games!A403)</f>
        <v>喵喵特工隊</v>
      </c>
      <c r="B403" s="57"/>
      <c r="C403" s="57" t="str">
        <f t="shared" si="16"/>
        <v>giftcodesbanner/喵喵特工隊-禮包碼.jpg</v>
      </c>
      <c r="D403" s="57" t="str">
        <f t="shared" si="17"/>
        <v>https://www.ssbuy.tw/gift-codes.html?game=喵喵特工隊</v>
      </c>
      <c r="E403" s="97"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7297</v>
      </c>
      <c r="G403" s="57" t="s">
        <v>7298</v>
      </c>
      <c r="H403" s="57" t="s">
        <v>6999</v>
      </c>
      <c r="I403" s="57"/>
      <c r="J403" s="97"/>
      <c r="K403" s="106" t="s">
        <v>6354</v>
      </c>
      <c r="L403" s="57" t="s">
        <v>5507</v>
      </c>
      <c r="M403" s="59" t="s">
        <v>7296</v>
      </c>
      <c r="N403" s="60" t="s">
        <v>7313</v>
      </c>
      <c r="O403" s="59" t="s">
        <v>7309</v>
      </c>
      <c r="P403" s="60" t="s">
        <v>7314</v>
      </c>
      <c r="Q403" s="59" t="s">
        <v>7310</v>
      </c>
      <c r="R403" s="60" t="s">
        <v>7315</v>
      </c>
      <c r="S403" s="59" t="s">
        <v>7311</v>
      </c>
      <c r="T403" s="60" t="s">
        <v>7316</v>
      </c>
      <c r="U403" s="59" t="s">
        <v>7312</v>
      </c>
      <c r="V403" s="60" t="s">
        <v>7317</v>
      </c>
      <c r="W403" s="131" t="s">
        <v>7356</v>
      </c>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8.5" customHeight="1">
      <c r="A404" s="73" t="str">
        <f>IF(games!A404="", "", games!A404)</f>
        <v>千年3D：經典重生</v>
      </c>
      <c r="B404" s="57"/>
      <c r="C404" s="57" t="str">
        <f t="shared" si="16"/>
        <v>giftcodesbanner/千年3D：經典重生-禮包碼.jpg</v>
      </c>
      <c r="D404" s="57" t="str">
        <f t="shared" si="17"/>
        <v>https://www.ssbuy.tw/gift-codes.html?game=千年3D：經典重生</v>
      </c>
      <c r="E404" s="97"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8" t="s">
        <v>7604</v>
      </c>
      <c r="G404" s="57" t="s">
        <v>7605</v>
      </c>
      <c r="H404" s="57" t="s">
        <v>6999</v>
      </c>
      <c r="I404" s="57"/>
      <c r="J404" s="97"/>
      <c r="K404" s="106" t="s">
        <v>6354</v>
      </c>
      <c r="L404" s="57" t="s">
        <v>5507</v>
      </c>
      <c r="M404" s="59" t="s">
        <v>7595</v>
      </c>
      <c r="N404" s="60"/>
      <c r="O404" s="59" t="s">
        <v>7596</v>
      </c>
      <c r="P404" s="60"/>
      <c r="Q404" s="59" t="s">
        <v>7597</v>
      </c>
      <c r="R404" s="60"/>
      <c r="S404" s="59" t="s">
        <v>7598</v>
      </c>
      <c r="T404" s="60"/>
      <c r="U404" s="59" t="s">
        <v>7599</v>
      </c>
      <c r="V404" s="60"/>
      <c r="W404" s="59" t="s">
        <v>7600</v>
      </c>
      <c r="X404" s="60"/>
      <c r="Y404" s="59" t="s">
        <v>7601</v>
      </c>
      <c r="Z404" s="60"/>
      <c r="AA404" s="74" t="s">
        <v>7602</v>
      </c>
      <c r="AB404" s="60"/>
      <c r="AC404" s="59" t="s">
        <v>7603</v>
      </c>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8.5" customHeight="1">
      <c r="A405" s="73" t="str">
        <f>IF(games!A405="", "", games!A405)</f>
        <v>虹彩六號M</v>
      </c>
      <c r="B405" s="57"/>
      <c r="C405" s="57" t="str">
        <f t="shared" si="16"/>
        <v>giftcodesbanner/虹彩六號M-禮包碼.jpg</v>
      </c>
      <c r="D405" s="57" t="str">
        <f t="shared" si="17"/>
        <v>https://www.ssbuy.tw/gift-codes.html?game=虹彩六號M</v>
      </c>
      <c r="E405" s="97"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8" t="s">
        <v>7409</v>
      </c>
      <c r="G405" s="57" t="s">
        <v>7410</v>
      </c>
      <c r="H405" s="57" t="s">
        <v>7411</v>
      </c>
      <c r="I405" s="57"/>
      <c r="J405" s="97"/>
      <c r="K405" s="106" t="s">
        <v>6354</v>
      </c>
      <c r="L405" s="57" t="s">
        <v>5507</v>
      </c>
      <c r="M405" s="59"/>
      <c r="N405" s="60" t="s">
        <v>7408</v>
      </c>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8.5" customHeight="1">
      <c r="A406" s="73" t="str">
        <f>IF(games!A406="", "", games!A406)</f>
        <v>勇者來開團</v>
      </c>
      <c r="B406" s="57"/>
      <c r="C406" s="57" t="str">
        <f t="shared" si="16"/>
        <v>giftcodesbanner/勇者來開團-禮包碼.jpg</v>
      </c>
      <c r="D406" s="57" t="str">
        <f t="shared" si="17"/>
        <v>https://www.ssbuy.tw/gift-codes.html?game=勇者來開團</v>
      </c>
      <c r="E406" s="97"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8" t="s">
        <v>7466</v>
      </c>
      <c r="G406" s="57" t="s">
        <v>7467</v>
      </c>
      <c r="H406" s="57" t="s">
        <v>6999</v>
      </c>
      <c r="I406" s="57"/>
      <c r="J406" s="97"/>
      <c r="K406" s="106" t="s">
        <v>6354</v>
      </c>
      <c r="L406" s="57" t="s">
        <v>5507</v>
      </c>
      <c r="M406" s="59" t="s">
        <v>7422</v>
      </c>
      <c r="N406" s="60"/>
      <c r="O406" s="59" t="s">
        <v>7423</v>
      </c>
      <c r="P406" s="60"/>
      <c r="Q406" s="59" t="s">
        <v>7424</v>
      </c>
      <c r="R406" s="60"/>
      <c r="S406" s="59" t="s">
        <v>7509</v>
      </c>
      <c r="T406" s="60"/>
      <c r="U406" s="59" t="s">
        <v>7510</v>
      </c>
      <c r="V406" s="60"/>
      <c r="W406" s="59" t="s">
        <v>7511</v>
      </c>
      <c r="X406" s="60"/>
      <c r="Y406" s="59" t="s">
        <v>7512</v>
      </c>
      <c r="Z406" s="60"/>
      <c r="AA406" s="59" t="s">
        <v>7513</v>
      </c>
      <c r="AB406" s="60"/>
      <c r="AC406" s="59" t="s">
        <v>7514</v>
      </c>
      <c r="AD406" s="60"/>
      <c r="AE406" s="59" t="s">
        <v>7515</v>
      </c>
      <c r="AF406" s="60"/>
      <c r="AG406" s="59" t="s">
        <v>7516</v>
      </c>
      <c r="AH406" s="60"/>
      <c r="AI406" s="59" t="s">
        <v>7517</v>
      </c>
      <c r="AJ406" s="60"/>
      <c r="AK406" s="59" t="s">
        <v>7518</v>
      </c>
      <c r="AL406" s="60"/>
      <c r="AM406" s="59" t="s">
        <v>7519</v>
      </c>
      <c r="AN406" s="60"/>
      <c r="AO406" s="59" t="s">
        <v>7520</v>
      </c>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8.5" customHeight="1">
      <c r="A407" s="73" t="str">
        <f>IF(games!A407="", "", games!A407)</f>
        <v>Medabots Survivors</v>
      </c>
      <c r="B407" s="57"/>
      <c r="C407" s="57" t="str">
        <f t="shared" si="16"/>
        <v>giftcodesbanner/Medabots Survivors-禮包碼.jpg</v>
      </c>
      <c r="D407" s="57" t="str">
        <f t="shared" si="17"/>
        <v>https://www.ssbuy.tw/gift-codes.html?game=Medabots Survivors</v>
      </c>
      <c r="E407" s="97"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8" t="s">
        <v>5236</v>
      </c>
      <c r="G407" s="57"/>
      <c r="H407" s="57"/>
      <c r="I407" s="57"/>
      <c r="J407" s="97"/>
      <c r="K407" s="106" t="s">
        <v>6354</v>
      </c>
      <c r="L407" s="57" t="s">
        <v>5507</v>
      </c>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8.5" customHeight="1">
      <c r="A408" s="73" t="str">
        <f>IF(games!A408="", "", games!A408)</f>
        <v>新三國志曹操傳</v>
      </c>
      <c r="B408" s="57"/>
      <c r="C408" s="57" t="str">
        <f t="shared" si="16"/>
        <v>giftcodesbanner/新三國志曹操傳-禮包碼.jpg</v>
      </c>
      <c r="D408" s="57" t="str">
        <f t="shared" si="17"/>
        <v>https://www.ssbuy.tw/gift-codes.html?game=新三國志曹操傳</v>
      </c>
      <c r="E408" s="97"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8" t="s">
        <v>5236</v>
      </c>
      <c r="G408" s="57"/>
      <c r="H408" s="57"/>
      <c r="I408" s="57"/>
      <c r="J408" s="97"/>
      <c r="K408" s="106" t="s">
        <v>6354</v>
      </c>
      <c r="L408" s="57" t="s">
        <v>5507</v>
      </c>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8.5" customHeight="1">
      <c r="A409" s="73" t="str">
        <f>IF(games!A409="", "", games!A409)</f>
        <v>物華彌新</v>
      </c>
      <c r="B409" s="57"/>
      <c r="C409" s="57" t="str">
        <f t="shared" si="16"/>
        <v>giftcodesbanner/物華彌新-禮包碼.jpg</v>
      </c>
      <c r="D409" s="57" t="str">
        <f t="shared" si="17"/>
        <v>https://www.ssbuy.tw/gift-codes.html?game=物華彌新</v>
      </c>
      <c r="E409" s="97"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8" t="s">
        <v>7466</v>
      </c>
      <c r="G409" s="57" t="s">
        <v>7475</v>
      </c>
      <c r="H409" s="57" t="s">
        <v>6999</v>
      </c>
      <c r="I409" s="57"/>
      <c r="J409" s="97"/>
      <c r="K409" s="106" t="s">
        <v>6354</v>
      </c>
      <c r="L409" s="57" t="s">
        <v>5507</v>
      </c>
      <c r="M409" s="59" t="s">
        <v>7594</v>
      </c>
      <c r="N409" s="60" t="s">
        <v>7686</v>
      </c>
      <c r="O409" s="59" t="s">
        <v>7682</v>
      </c>
      <c r="P409" s="60" t="s">
        <v>7685</v>
      </c>
      <c r="Q409" s="59" t="s">
        <v>7683</v>
      </c>
      <c r="R409" s="60" t="s">
        <v>7687</v>
      </c>
      <c r="S409" s="59" t="s">
        <v>7684</v>
      </c>
      <c r="T409" s="60" t="s">
        <v>7688</v>
      </c>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8.5" customHeight="1">
      <c r="A410" s="73" t="str">
        <f>IF(games!A410="", "", games!A410)</f>
        <v>進擊的喵喵</v>
      </c>
      <c r="B410" s="57"/>
      <c r="C410" s="57" t="str">
        <f t="shared" si="16"/>
        <v>giftcodesbanner/進擊的喵喵-禮包碼.jpg</v>
      </c>
      <c r="D410" s="57" t="str">
        <f t="shared" si="17"/>
        <v>https://www.ssbuy.tw/gift-codes.html?game=進擊的喵喵</v>
      </c>
      <c r="E410" s="97"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8" t="s">
        <v>5236</v>
      </c>
      <c r="G410" s="57"/>
      <c r="H410" s="57"/>
      <c r="I410" s="57"/>
      <c r="J410" s="97"/>
      <c r="K410" s="106" t="s">
        <v>6354</v>
      </c>
      <c r="L410" s="57" t="s">
        <v>5507</v>
      </c>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8.5" customHeight="1">
      <c r="A411" s="73" t="str">
        <f>IF(games!A411="", "", games!A411)</f>
        <v>迷你英雄：重返部落</v>
      </c>
      <c r="B411" s="57"/>
      <c r="C411" s="57" t="str">
        <f t="shared" si="16"/>
        <v>giftcodesbanner/迷你英雄：重返部落-禮包碼.jpg</v>
      </c>
      <c r="D411" s="57" t="str">
        <f t="shared" si="17"/>
        <v>https://www.ssbuy.tw/gift-codes.html?game=迷你英雄：重返部落</v>
      </c>
      <c r="E411" s="97"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4" t="s">
        <v>7486</v>
      </c>
      <c r="G411" s="57" t="s">
        <v>7492</v>
      </c>
      <c r="H411" s="4" t="s">
        <v>7493</v>
      </c>
      <c r="I411" s="57" t="s">
        <v>6999</v>
      </c>
      <c r="J411" s="97"/>
      <c r="K411" s="106" t="s">
        <v>6354</v>
      </c>
      <c r="L411" s="57" t="s">
        <v>5507</v>
      </c>
      <c r="M411" s="59" t="s">
        <v>7485</v>
      </c>
      <c r="N411" s="60"/>
      <c r="O411" s="59" t="s">
        <v>7487</v>
      </c>
      <c r="P411" s="60"/>
      <c r="Q411" s="59" t="s">
        <v>7488</v>
      </c>
      <c r="R411" s="60"/>
      <c r="S411" s="59" t="s">
        <v>7489</v>
      </c>
      <c r="T411" s="60"/>
      <c r="U411" s="59" t="s">
        <v>7490</v>
      </c>
      <c r="V411" s="60"/>
      <c r="W411" s="59" t="s">
        <v>7491</v>
      </c>
      <c r="X411" s="60"/>
      <c r="Y411" s="59" t="s">
        <v>7494</v>
      </c>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8.5" customHeight="1">
      <c r="A412" s="73" t="str">
        <f>IF(games!A412="", "", games!A412)</f>
        <v>石器時代：放置冒險</v>
      </c>
      <c r="B412" s="57"/>
      <c r="C412" s="57" t="str">
        <f t="shared" si="16"/>
        <v>giftcodesbanner/石器時代：放置冒險-禮包碼.jpg</v>
      </c>
      <c r="D412" s="57" t="str">
        <f t="shared" si="17"/>
        <v>https://www.ssbuy.tw/gift-codes.html?game=石器時代：放置冒險</v>
      </c>
      <c r="E412" s="97"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4" t="s">
        <v>7503</v>
      </c>
      <c r="G412" s="57" t="s">
        <v>7504</v>
      </c>
      <c r="H412" s="57" t="s">
        <v>7505</v>
      </c>
      <c r="I412" s="57" t="s">
        <v>7506</v>
      </c>
      <c r="J412" s="57" t="s">
        <v>6999</v>
      </c>
      <c r="K412" s="106" t="s">
        <v>6354</v>
      </c>
      <c r="L412" s="57" t="s">
        <v>5507</v>
      </c>
      <c r="M412" s="59" t="s">
        <v>7501</v>
      </c>
      <c r="N412" s="60" t="s">
        <v>7502</v>
      </c>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8.5" customHeight="1">
      <c r="A413" s="73" t="str">
        <f>IF(games!A413="", "", games!A413)</f>
        <v>靈龍谷 - 孵化與養成</v>
      </c>
      <c r="B413" s="57"/>
      <c r="C413" s="57" t="str">
        <f t="shared" si="16"/>
        <v>giftcodesbanner/靈龍谷 - 孵化與養成-禮包碼.jpg</v>
      </c>
      <c r="D413" s="57" t="str">
        <f t="shared" si="17"/>
        <v>https://www.ssbuy.tw/gift-codes.html?game=靈龍谷 - 孵化與養成</v>
      </c>
      <c r="E413" s="97"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8" t="s">
        <v>5236</v>
      </c>
      <c r="G413" s="57"/>
      <c r="H413" s="57"/>
      <c r="I413" s="57"/>
      <c r="J413" s="97"/>
      <c r="K413" s="106" t="s">
        <v>6354</v>
      </c>
      <c r="L413" s="57" t="s">
        <v>5507</v>
      </c>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8.5" customHeight="1">
      <c r="A414" s="73" t="str">
        <f>IF(games!A414="", "", games!A414)</f>
        <v>對魔忍特遣隊</v>
      </c>
      <c r="B414" s="57"/>
      <c r="C414" s="57" t="str">
        <f t="shared" si="16"/>
        <v>giftcodesbanner/對魔忍特遣隊-禮包碼.jpg</v>
      </c>
      <c r="D414" s="57" t="str">
        <f t="shared" si="17"/>
        <v>https://www.ssbuy.tw/gift-codes.html?game=對魔忍特遣隊</v>
      </c>
      <c r="E414" s="97"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8" t="s">
        <v>5236</v>
      </c>
      <c r="G414" s="57"/>
      <c r="H414" s="57"/>
      <c r="I414" s="57"/>
      <c r="J414" s="97"/>
      <c r="K414" s="106" t="s">
        <v>6354</v>
      </c>
      <c r="L414" s="57" t="s">
        <v>5507</v>
      </c>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8.5" customHeight="1">
      <c r="A415" s="73" t="str">
        <f>IF(games!A415="", "", games!A415)</f>
        <v>刀劍朝鮮</v>
      </c>
      <c r="B415" s="57"/>
      <c r="C415" s="57" t="str">
        <f t="shared" si="16"/>
        <v>giftcodesbanner/刀劍朝鮮-禮包碼.jpg</v>
      </c>
      <c r="D415" s="57" t="str">
        <f t="shared" si="17"/>
        <v>https://www.ssbuy.tw/gift-codes.html?game=刀劍朝鮮</v>
      </c>
      <c r="E415" s="97"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8" t="s">
        <v>5236</v>
      </c>
      <c r="G415" s="57"/>
      <c r="H415" s="57"/>
      <c r="I415" s="57"/>
      <c r="J415" s="97"/>
      <c r="K415" s="106" t="s">
        <v>6354</v>
      </c>
      <c r="L415" s="57" t="s">
        <v>5507</v>
      </c>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8.5" customHeight="1">
      <c r="A416" s="73" t="str">
        <f>IF(games!A416="", "", games!A416)</f>
        <v>咻咻史萊姆</v>
      </c>
      <c r="B416" s="57"/>
      <c r="C416" s="57" t="str">
        <f t="shared" si="16"/>
        <v>giftcodesbanner/咻咻史萊姆-禮包碼.jpg</v>
      </c>
      <c r="D416" s="57" t="str">
        <f t="shared" si="17"/>
        <v>https://www.ssbuy.tw/gift-codes.html?game=咻咻史萊姆</v>
      </c>
      <c r="E416" s="97"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8" t="s">
        <v>7297</v>
      </c>
      <c r="G416" s="57" t="s">
        <v>7623</v>
      </c>
      <c r="H416" s="57" t="s">
        <v>6999</v>
      </c>
      <c r="I416" s="57"/>
      <c r="J416" s="97"/>
      <c r="K416" s="106" t="s">
        <v>6354</v>
      </c>
      <c r="L416" s="57" t="s">
        <v>5507</v>
      </c>
      <c r="M416" s="59" t="s">
        <v>7661</v>
      </c>
      <c r="N416" s="60"/>
      <c r="O416" s="59" t="s">
        <v>7662</v>
      </c>
      <c r="P416" s="60"/>
      <c r="Q416" s="59" t="s">
        <v>7665</v>
      </c>
      <c r="R416" s="60"/>
      <c r="S416" s="59" t="s">
        <v>7666</v>
      </c>
      <c r="T416" s="60"/>
      <c r="U416" s="59" t="s">
        <v>7676</v>
      </c>
      <c r="V416" s="60"/>
      <c r="W416" s="59" t="s">
        <v>7677</v>
      </c>
      <c r="X416" s="60"/>
      <c r="Y416" s="59" t="s">
        <v>7678</v>
      </c>
      <c r="Z416" s="60"/>
      <c r="AA416" s="59" t="s">
        <v>7679</v>
      </c>
      <c r="AB416" s="60"/>
      <c r="AC416" s="59" t="s">
        <v>7680</v>
      </c>
      <c r="AD416" s="60"/>
      <c r="AE416" s="59" t="s">
        <v>7681</v>
      </c>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8.5" customHeight="1">
      <c r="A417" s="73" t="str">
        <f>IF(games!A417="", "", games!A417)</f>
        <v>VAMPIR：血之繼承者</v>
      </c>
      <c r="B417" s="57"/>
      <c r="C417" s="57" t="str">
        <f t="shared" si="16"/>
        <v>giftcodesbanner/VAMPIR：血之繼承者-禮包碼.jpg</v>
      </c>
      <c r="D417" s="57" t="str">
        <f t="shared" si="17"/>
        <v>https://www.ssbuy.tw/gift-codes.html?game=VAMPIR：血之繼承者</v>
      </c>
      <c r="E417" s="97"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8" t="s">
        <v>7297</v>
      </c>
      <c r="G417" s="57" t="s">
        <v>7623</v>
      </c>
      <c r="H417" s="57" t="s">
        <v>6999</v>
      </c>
      <c r="I417" s="57"/>
      <c r="J417" s="97"/>
      <c r="K417" s="106" t="s">
        <v>6354</v>
      </c>
      <c r="L417" s="57" t="s">
        <v>5507</v>
      </c>
      <c r="M417" s="59" t="s">
        <v>7622</v>
      </c>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8.5" customHeight="1">
      <c r="A418" s="73" t="str">
        <f>IF(games!A418="", "", games!A418)</f>
        <v>決勝之心</v>
      </c>
      <c r="B418" s="57"/>
      <c r="C418" s="57" t="str">
        <f t="shared" ref="C418:C481" si="18">IF(A418="","", "giftcodesbanner/" &amp; A418 &amp; "-禮包碼.jpg")</f>
        <v>giftcodesbanner/決勝之心-禮包碼.jpg</v>
      </c>
      <c r="D418" s="57" t="str">
        <f t="shared" ref="D418:D481" si="19">IF(A418="","", "https://www.ssbuy.tw/gift-codes.html?game="&amp;A418)</f>
        <v>https://www.ssbuy.tw/gift-codes.html?game=決勝之心</v>
      </c>
      <c r="E418" s="97"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8" t="s">
        <v>5236</v>
      </c>
      <c r="G418" s="57"/>
      <c r="H418" s="57"/>
      <c r="I418" s="57"/>
      <c r="J418" s="97"/>
      <c r="K418" s="106" t="s">
        <v>6354</v>
      </c>
      <c r="L418" s="57" t="s">
        <v>5507</v>
      </c>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8.5" customHeight="1">
      <c r="A419" s="73" t="str">
        <f>IF(games!A419="", "", games!A419)</f>
        <v>我推的浴姬</v>
      </c>
      <c r="B419" s="57"/>
      <c r="C419" s="57" t="str">
        <f t="shared" si="18"/>
        <v>giftcodesbanner/我推的浴姬-禮包碼.jpg</v>
      </c>
      <c r="D419" s="57" t="str">
        <f t="shared" si="19"/>
        <v>https://www.ssbuy.tw/gift-codes.html?game=我推的浴姬</v>
      </c>
      <c r="E419" s="97"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8" t="s">
        <v>5236</v>
      </c>
      <c r="G419" s="57"/>
      <c r="H419" s="57"/>
      <c r="I419" s="57"/>
      <c r="J419" s="97"/>
      <c r="K419" s="106" t="s">
        <v>6354</v>
      </c>
      <c r="L419" s="57" t="s">
        <v>5507</v>
      </c>
      <c r="M419" s="59" t="s">
        <v>7654</v>
      </c>
      <c r="N419" s="60"/>
      <c r="O419" s="59" t="s">
        <v>7655</v>
      </c>
      <c r="P419" s="60"/>
      <c r="Q419" s="59" t="s">
        <v>7656</v>
      </c>
      <c r="R419" s="60"/>
      <c r="S419" s="59" t="s">
        <v>7657</v>
      </c>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8.5" customHeight="1">
      <c r="A420" s="73" t="str">
        <f>IF(games!A420="", "", games!A420)</f>
        <v>約定之日</v>
      </c>
      <c r="B420" s="57"/>
      <c r="C420" s="57" t="str">
        <f t="shared" si="18"/>
        <v>giftcodesbanner/約定之日-禮包碼.jpg</v>
      </c>
      <c r="D420" s="57" t="str">
        <f t="shared" si="19"/>
        <v>https://www.ssbuy.tw/gift-codes.html?game=約定之日</v>
      </c>
      <c r="E420" s="97"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4" t="s">
        <v>7658</v>
      </c>
      <c r="G420" s="57" t="s">
        <v>7659</v>
      </c>
      <c r="H420" s="4" t="s">
        <v>7660</v>
      </c>
      <c r="I420" s="57" t="s">
        <v>6999</v>
      </c>
      <c r="J420" s="97"/>
      <c r="K420" s="106" t="s">
        <v>6354</v>
      </c>
      <c r="L420" s="57" t="s">
        <v>5507</v>
      </c>
      <c r="M420" s="59" t="s">
        <v>7624</v>
      </c>
      <c r="N420" s="60"/>
      <c r="O420" s="59" t="s">
        <v>7625</v>
      </c>
      <c r="P420" s="60"/>
      <c r="Q420" s="59" t="s">
        <v>7626</v>
      </c>
      <c r="R420" s="60"/>
      <c r="S420" s="59" t="s">
        <v>1932</v>
      </c>
      <c r="T420" s="60"/>
      <c r="U420" s="59" t="s">
        <v>2056</v>
      </c>
      <c r="V420" s="60"/>
      <c r="W420" s="59" t="s">
        <v>7008</v>
      </c>
      <c r="X420" s="60"/>
      <c r="Y420" s="59" t="s">
        <v>6619</v>
      </c>
      <c r="Z420" s="60"/>
      <c r="AA420" s="59" t="s">
        <v>7663</v>
      </c>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8.5" customHeight="1">
      <c r="A421" s="73" t="str">
        <f>IF(games!A421="", "", games!A421)</f>
        <v>同盟塔防戰</v>
      </c>
      <c r="B421" s="57"/>
      <c r="C421" s="57" t="str">
        <f t="shared" si="18"/>
        <v>giftcodesbanner/同盟塔防戰-禮包碼.jpg</v>
      </c>
      <c r="D421" s="57" t="str">
        <f t="shared" si="19"/>
        <v>https://www.ssbuy.tw/gift-codes.html?game=同盟塔防戰</v>
      </c>
      <c r="E421" s="97"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4" t="s">
        <v>7642</v>
      </c>
      <c r="G421" s="57" t="s">
        <v>7636</v>
      </c>
      <c r="H421" s="57" t="s">
        <v>6999</v>
      </c>
      <c r="I421" s="57"/>
      <c r="J421" s="97"/>
      <c r="K421" s="106" t="s">
        <v>6354</v>
      </c>
      <c r="L421" s="57" t="s">
        <v>5507</v>
      </c>
      <c r="M421" s="59" t="s">
        <v>7634</v>
      </c>
      <c r="N421" s="60" t="s">
        <v>7645</v>
      </c>
      <c r="O421" s="59" t="s">
        <v>7635</v>
      </c>
      <c r="P421" s="60" t="s">
        <v>7644</v>
      </c>
      <c r="Q421" s="59" t="s">
        <v>7641</v>
      </c>
      <c r="R421" s="60" t="s">
        <v>7643</v>
      </c>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8.5" customHeight="1">
      <c r="A422" s="73" t="str">
        <f>IF(games!A422="", "", games!A422)</f>
        <v>不正經魔王軍</v>
      </c>
      <c r="B422" s="91"/>
      <c r="C422" s="57" t="str">
        <f t="shared" si="18"/>
        <v>giftcodesbanner/不正經魔王軍-禮包碼.jpg</v>
      </c>
      <c r="D422" s="57" t="str">
        <f t="shared" si="19"/>
        <v>https://www.ssbuy.tw/gift-codes.html?game=不正經魔王軍</v>
      </c>
      <c r="E422" s="97"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8" t="s">
        <v>7297</v>
      </c>
      <c r="G422" s="57" t="s">
        <v>7623</v>
      </c>
      <c r="H422" s="57" t="s">
        <v>7740</v>
      </c>
      <c r="I422" s="57"/>
      <c r="J422" s="108"/>
      <c r="K422" s="106" t="s">
        <v>6354</v>
      </c>
      <c r="L422" s="57" t="s">
        <v>5507</v>
      </c>
      <c r="M422" s="92" t="s">
        <v>7115</v>
      </c>
      <c r="N422" s="93"/>
      <c r="O422" s="92" t="s">
        <v>7669</v>
      </c>
      <c r="P422" s="93"/>
      <c r="Q422" s="92" t="s">
        <v>7670</v>
      </c>
      <c r="R422" s="93"/>
      <c r="S422" s="92" t="s">
        <v>7674</v>
      </c>
      <c r="T422" s="93"/>
      <c r="U422" s="92" t="s">
        <v>7675</v>
      </c>
      <c r="V422" s="93"/>
      <c r="W422" s="92"/>
      <c r="X422" s="93"/>
      <c r="Y422" s="92"/>
      <c r="Z422" s="93"/>
      <c r="AA422" s="92"/>
      <c r="AB422" s="93"/>
      <c r="AC422" s="92"/>
      <c r="AD422" s="93"/>
      <c r="AE422" s="92"/>
      <c r="AF422" s="93"/>
      <c r="AG422" s="92"/>
      <c r="AH422" s="93"/>
      <c r="AI422" s="92"/>
      <c r="AJ422" s="93"/>
      <c r="AK422" s="92"/>
      <c r="AL422" s="93"/>
      <c r="AM422" s="92"/>
      <c r="AN422" s="93"/>
      <c r="AO422" s="92"/>
      <c r="AP422" s="93"/>
      <c r="AQ422" s="92"/>
      <c r="AR422" s="93"/>
      <c r="AS422" s="92"/>
      <c r="AT422" s="93"/>
      <c r="AU422" s="92"/>
      <c r="AV422" s="93"/>
      <c r="AW422" s="92"/>
      <c r="AX422" s="93"/>
      <c r="AY422" s="92"/>
      <c r="AZ422" s="93"/>
      <c r="BA422" s="92"/>
      <c r="BB422" s="91"/>
      <c r="BC422" s="92"/>
      <c r="BD422" s="91"/>
      <c r="BE422" s="92"/>
      <c r="BF422" s="91"/>
      <c r="BG422" s="92"/>
      <c r="BH422" s="91"/>
      <c r="BI422" s="92"/>
      <c r="BJ422" s="91"/>
      <c r="BK422" s="92"/>
      <c r="BL422" s="91"/>
      <c r="BM422" s="92"/>
      <c r="BN422" s="91"/>
      <c r="BO422" s="92"/>
      <c r="BP422" s="91"/>
      <c r="BQ422" s="92"/>
      <c r="BR422" s="94"/>
    </row>
    <row r="423" spans="1:70" ht="28.5" customHeight="1">
      <c r="A423" s="73" t="str">
        <f>IF(games!A423="", "", games!A423)</f>
        <v>星之救援者</v>
      </c>
      <c r="B423" s="3"/>
      <c r="C423" s="57" t="str">
        <f t="shared" si="18"/>
        <v>giftcodesbanner/星之救援者-禮包碼.jpg</v>
      </c>
      <c r="D423" s="57" t="str">
        <f t="shared" si="19"/>
        <v>https://www.ssbuy.tw/gift-codes.html?game=星之救援者</v>
      </c>
      <c r="E423" s="97"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8" t="s">
        <v>5236</v>
      </c>
      <c r="G423" s="3"/>
      <c r="H423" s="3"/>
      <c r="I423" s="3"/>
      <c r="J423" s="47"/>
      <c r="K423" s="106" t="s">
        <v>6354</v>
      </c>
      <c r="L423" s="57" t="s">
        <v>5507</v>
      </c>
      <c r="M423" s="48"/>
      <c r="N423" s="49"/>
      <c r="O423" s="48"/>
      <c r="P423" s="49"/>
      <c r="Q423" s="48"/>
      <c r="R423" s="49"/>
      <c r="S423" s="48"/>
      <c r="T423" s="49"/>
      <c r="U423" s="48"/>
      <c r="V423" s="49"/>
      <c r="W423" s="48"/>
      <c r="X423" s="49"/>
      <c r="Y423" s="48"/>
      <c r="Z423" s="49"/>
      <c r="AA423" s="48"/>
      <c r="AB423" s="49"/>
      <c r="AC423" s="48"/>
      <c r="AD423" s="49"/>
      <c r="AE423" s="48"/>
      <c r="AF423" s="49"/>
      <c r="AG423" s="48"/>
      <c r="AH423" s="49"/>
      <c r="AI423" s="48"/>
      <c r="AJ423" s="49"/>
      <c r="AK423" s="48"/>
      <c r="AL423" s="49"/>
      <c r="AM423" s="48"/>
      <c r="AN423" s="49"/>
      <c r="AO423" s="48"/>
      <c r="AP423" s="49"/>
      <c r="AQ423" s="48"/>
      <c r="AR423" s="49"/>
      <c r="AS423" s="48"/>
      <c r="AT423" s="49"/>
      <c r="AU423" s="48"/>
      <c r="AV423" s="49"/>
      <c r="AW423" s="48"/>
      <c r="AX423" s="49"/>
      <c r="AY423" s="48"/>
      <c r="AZ423" s="49"/>
      <c r="BA423" s="48"/>
      <c r="BB423" s="3"/>
      <c r="BC423" s="48"/>
      <c r="BD423" s="3"/>
      <c r="BE423" s="48"/>
      <c r="BF423" s="3"/>
      <c r="BG423" s="48"/>
      <c r="BH423" s="3"/>
      <c r="BI423" s="48"/>
      <c r="BJ423" s="3"/>
      <c r="BK423" s="48"/>
      <c r="BL423" s="3"/>
      <c r="BM423" s="48"/>
      <c r="BN423" s="3"/>
      <c r="BO423" s="48"/>
      <c r="BP423" s="3"/>
      <c r="BQ423" s="48"/>
      <c r="BR423" s="3"/>
    </row>
    <row r="424" spans="1:70" ht="28.5" customHeight="1">
      <c r="A424" s="73" t="str">
        <f>IF(games!A424="", "", games!A424)</f>
        <v>希望M ON CROSS</v>
      </c>
      <c r="C424" s="57" t="str">
        <f t="shared" si="18"/>
        <v>giftcodesbanner/希望M ON CROSS-禮包碼.jpg</v>
      </c>
      <c r="D424" s="57" t="str">
        <f t="shared" si="19"/>
        <v>https://www.ssbuy.tw/gift-codes.html?game=希望M ON CROSS</v>
      </c>
      <c r="E424" s="97"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8" t="s">
        <v>5236</v>
      </c>
      <c r="K424" s="106" t="s">
        <v>6354</v>
      </c>
      <c r="L424" s="57" t="s">
        <v>5507</v>
      </c>
    </row>
    <row r="425" spans="1:70" ht="28.5" customHeight="1">
      <c r="A425" s="73" t="str">
        <f>IF(games!A425="", "", games!A425)</f>
        <v>RO仙境傳說：愛如初見Classic</v>
      </c>
      <c r="C425" s="57" t="str">
        <f t="shared" si="18"/>
        <v>giftcodesbanner/RO仙境傳說：愛如初見Classic-禮包碼.jpg</v>
      </c>
      <c r="D425" s="57" t="str">
        <f t="shared" si="19"/>
        <v>https://www.ssbuy.tw/gift-codes.html?game=RO仙境傳說：愛如初見Classic</v>
      </c>
      <c r="E425" s="97"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8" t="s">
        <v>5236</v>
      </c>
      <c r="K425" s="106" t="s">
        <v>6354</v>
      </c>
      <c r="L425" s="57" t="s">
        <v>5507</v>
      </c>
    </row>
    <row r="426" spans="1:70" ht="28.5" customHeight="1">
      <c r="A426" s="73" t="str">
        <f>IF(games!A426="", "", games!A426)</f>
        <v>鐳明閃擊</v>
      </c>
      <c r="C426" s="57" t="str">
        <f t="shared" si="18"/>
        <v>giftcodesbanner/鐳明閃擊-禮包碼.jpg</v>
      </c>
      <c r="D426" s="57" t="str">
        <f t="shared" si="19"/>
        <v>https://www.ssbuy.tw/gift-codes.html?game=鐳明閃擊</v>
      </c>
      <c r="E426" s="97"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8" t="s">
        <v>5236</v>
      </c>
      <c r="K426" s="106" t="s">
        <v>6354</v>
      </c>
      <c r="L426" s="57" t="s">
        <v>5507</v>
      </c>
    </row>
    <row r="427" spans="1:70" ht="28.5" customHeight="1">
      <c r="A427" s="73" t="str">
        <f>IF(games!A427="", "", games!A427)</f>
        <v>最後的迴響</v>
      </c>
      <c r="C427" s="57" t="str">
        <f t="shared" si="18"/>
        <v>giftcodesbanner/最後的迴響-禮包碼.jpg</v>
      </c>
      <c r="D427" s="57" t="str">
        <f t="shared" si="19"/>
        <v>https://www.ssbuy.tw/gift-codes.html?game=最後的迴響</v>
      </c>
      <c r="E427" s="97"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8" t="s">
        <v>5236</v>
      </c>
      <c r="K427" s="106" t="s">
        <v>6354</v>
      </c>
      <c r="L427" s="57" t="s">
        <v>5507</v>
      </c>
    </row>
    <row r="428" spans="1:70" ht="28.5" customHeight="1">
      <c r="A428" s="73" t="str">
        <f>IF(games!A428="", "", games!A428)</f>
        <v>極樂仙途</v>
      </c>
      <c r="C428" s="57" t="str">
        <f t="shared" si="18"/>
        <v>giftcodesbanner/極樂仙途-禮包碼.jpg</v>
      </c>
      <c r="D428" s="57" t="str">
        <f t="shared" si="19"/>
        <v>https://www.ssbuy.tw/gift-codes.html?game=極樂仙途</v>
      </c>
      <c r="E428" s="97"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8" t="s">
        <v>7724</v>
      </c>
      <c r="G428" s="4" t="s">
        <v>7725</v>
      </c>
      <c r="H428" s="4" t="s">
        <v>7726</v>
      </c>
      <c r="K428" s="106" t="s">
        <v>6354</v>
      </c>
      <c r="L428" s="57" t="s">
        <v>5507</v>
      </c>
      <c r="M428" s="7" t="s">
        <v>7718</v>
      </c>
    </row>
    <row r="429" spans="1:70" ht="28.5" customHeight="1">
      <c r="A429" s="73" t="str">
        <f>IF(games!A429="", "", games!A429)</f>
        <v>七大罪：origin</v>
      </c>
      <c r="C429" s="57" t="str">
        <f t="shared" si="18"/>
        <v>giftcodesbanner/七大罪：origin-禮包碼.jpg</v>
      </c>
      <c r="D429" s="57" t="str">
        <f t="shared" si="19"/>
        <v>https://www.ssbuy.tw/gift-codes.html?game=七大罪：origin</v>
      </c>
      <c r="E429" s="97"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7737</v>
      </c>
      <c r="G429" s="4" t="s">
        <v>7738</v>
      </c>
      <c r="H429" s="4" t="s">
        <v>7739</v>
      </c>
      <c r="I429" s="4" t="s">
        <v>7741</v>
      </c>
      <c r="K429" s="106" t="s">
        <v>6354</v>
      </c>
      <c r="L429" s="57" t="s">
        <v>5507</v>
      </c>
      <c r="M429" s="7" t="s">
        <v>7733</v>
      </c>
      <c r="O429" s="7" t="s">
        <v>7734</v>
      </c>
      <c r="Q429" s="7" t="s">
        <v>7735</v>
      </c>
      <c r="S429" s="7" t="s">
        <v>7736</v>
      </c>
    </row>
    <row r="430" spans="1:70" ht="28.5" customHeight="1">
      <c r="A430" s="73" t="str">
        <f>IF(games!A430="", "", games!A430)</f>
        <v/>
      </c>
      <c r="C430" s="57" t="str">
        <f t="shared" si="18"/>
        <v/>
      </c>
      <c r="D430" s="57" t="str">
        <f t="shared" si="19"/>
        <v/>
      </c>
      <c r="E430" s="97" t="str">
        <f>IF(games!I430&lt;&gt;"", games!I430, "")</f>
        <v/>
      </c>
    </row>
    <row r="431" spans="1:70" ht="28.5" customHeight="1">
      <c r="A431" s="73" t="str">
        <f>IF(games!A431="", "", games!A431)</f>
        <v/>
      </c>
      <c r="C431" s="57" t="str">
        <f t="shared" si="18"/>
        <v/>
      </c>
      <c r="D431" s="57" t="str">
        <f t="shared" si="19"/>
        <v/>
      </c>
      <c r="E431" s="97" t="str">
        <f>IF(games!I431&lt;&gt;"", games!I431, "")</f>
        <v/>
      </c>
    </row>
    <row r="432" spans="1:70" ht="28.5" customHeight="1">
      <c r="A432" s="73" t="str">
        <f>IF(games!A432="", "", games!A432)</f>
        <v/>
      </c>
      <c r="C432" s="57" t="str">
        <f t="shared" si="18"/>
        <v/>
      </c>
      <c r="D432" s="57" t="str">
        <f t="shared" si="19"/>
        <v/>
      </c>
      <c r="E432" s="97" t="str">
        <f>IF(games!I432&lt;&gt;"", games!I432, "")</f>
        <v/>
      </c>
    </row>
    <row r="433" spans="1:5" ht="28.5" customHeight="1">
      <c r="A433" s="73" t="str">
        <f>IF(games!A433="", "", games!A433)</f>
        <v/>
      </c>
      <c r="C433" s="57" t="str">
        <f t="shared" si="18"/>
        <v/>
      </c>
      <c r="D433" s="57" t="str">
        <f t="shared" si="19"/>
        <v/>
      </c>
      <c r="E433" s="97" t="str">
        <f>IF(games!I433&lt;&gt;"", games!I433, "")</f>
        <v/>
      </c>
    </row>
    <row r="434" spans="1:5" ht="28.5" customHeight="1">
      <c r="A434" s="73" t="str">
        <f>IF(games!A434="", "", games!A434)</f>
        <v/>
      </c>
      <c r="C434" s="57" t="str">
        <f t="shared" si="18"/>
        <v/>
      </c>
      <c r="D434" s="57" t="str">
        <f t="shared" si="19"/>
        <v/>
      </c>
      <c r="E434" s="97" t="str">
        <f>IF(games!I434&lt;&gt;"", games!I434, "")</f>
        <v/>
      </c>
    </row>
    <row r="435" spans="1:5" ht="28.5" customHeight="1">
      <c r="A435" s="73" t="str">
        <f>IF(games!A435="", "", games!A435)</f>
        <v/>
      </c>
      <c r="C435" s="57" t="str">
        <f t="shared" si="18"/>
        <v/>
      </c>
      <c r="D435" s="57" t="str">
        <f t="shared" si="19"/>
        <v/>
      </c>
      <c r="E435" s="97" t="str">
        <f>IF(games!I435&lt;&gt;"", games!I435, "")</f>
        <v/>
      </c>
    </row>
    <row r="436" spans="1:5" ht="28.5" customHeight="1">
      <c r="A436" s="73" t="str">
        <f>IF(games!A436="", "", games!A436)</f>
        <v/>
      </c>
      <c r="C436" s="57" t="str">
        <f t="shared" si="18"/>
        <v/>
      </c>
      <c r="D436" s="57" t="str">
        <f t="shared" si="19"/>
        <v/>
      </c>
      <c r="E436" s="97" t="str">
        <f>IF(games!I436&lt;&gt;"", games!I436, "")</f>
        <v/>
      </c>
    </row>
    <row r="437" spans="1:5" ht="28.5" customHeight="1">
      <c r="A437" s="73" t="str">
        <f>IF(games!A437="", "", games!A437)</f>
        <v/>
      </c>
      <c r="C437" s="57" t="str">
        <f t="shared" si="18"/>
        <v/>
      </c>
      <c r="D437" s="57" t="str">
        <f t="shared" si="19"/>
        <v/>
      </c>
      <c r="E437" s="97" t="str">
        <f>IF(games!I437&lt;&gt;"", games!I437, "")</f>
        <v/>
      </c>
    </row>
    <row r="438" spans="1:5" ht="28.5" customHeight="1">
      <c r="A438" s="73" t="str">
        <f>IF(games!A438="", "", games!A438)</f>
        <v/>
      </c>
      <c r="C438" s="57" t="str">
        <f t="shared" si="18"/>
        <v/>
      </c>
      <c r="D438" s="57" t="str">
        <f t="shared" si="19"/>
        <v/>
      </c>
      <c r="E438" s="97" t="str">
        <f>IF(games!I438&lt;&gt;"", games!I438, "")</f>
        <v/>
      </c>
    </row>
    <row r="439" spans="1:5" ht="28.5" customHeight="1">
      <c r="A439" s="73" t="str">
        <f>IF(games!A439="", "", games!A439)</f>
        <v/>
      </c>
      <c r="C439" s="57" t="str">
        <f t="shared" si="18"/>
        <v/>
      </c>
      <c r="D439" s="57" t="str">
        <f t="shared" si="19"/>
        <v/>
      </c>
      <c r="E439" s="97" t="str">
        <f>IF(games!I439&lt;&gt;"", games!I439, "")</f>
        <v/>
      </c>
    </row>
    <row r="440" spans="1:5" ht="28.5" customHeight="1">
      <c r="A440" s="73" t="str">
        <f>IF(games!A440="", "", games!A440)</f>
        <v/>
      </c>
      <c r="C440" s="57" t="str">
        <f t="shared" si="18"/>
        <v/>
      </c>
      <c r="D440" s="57" t="str">
        <f t="shared" si="19"/>
        <v/>
      </c>
      <c r="E440" s="97" t="str">
        <f>IF(games!I440&lt;&gt;"", games!I440, "")</f>
        <v/>
      </c>
    </row>
    <row r="441" spans="1:5" ht="28.5" customHeight="1">
      <c r="A441" s="73" t="str">
        <f>IF(games!A441="", "", games!A441)</f>
        <v/>
      </c>
      <c r="C441" s="57" t="str">
        <f t="shared" si="18"/>
        <v/>
      </c>
      <c r="D441" s="57" t="str">
        <f t="shared" si="19"/>
        <v/>
      </c>
      <c r="E441" s="97" t="str">
        <f>IF(games!I441&lt;&gt;"", games!I441, "")</f>
        <v/>
      </c>
    </row>
    <row r="442" spans="1:5" ht="28.5" customHeight="1">
      <c r="A442" s="73" t="str">
        <f>IF(games!A442="", "", games!A442)</f>
        <v/>
      </c>
      <c r="C442" s="57" t="str">
        <f t="shared" si="18"/>
        <v/>
      </c>
      <c r="D442" s="57" t="str">
        <f t="shared" si="19"/>
        <v/>
      </c>
      <c r="E442" s="97" t="str">
        <f>IF(games!I442&lt;&gt;"", games!I442, "")</f>
        <v/>
      </c>
    </row>
    <row r="443" spans="1:5" ht="28.5" customHeight="1">
      <c r="A443" s="73" t="str">
        <f>IF(games!A443="", "", games!A443)</f>
        <v/>
      </c>
      <c r="C443" s="57" t="str">
        <f t="shared" si="18"/>
        <v/>
      </c>
      <c r="D443" s="57" t="str">
        <f t="shared" si="19"/>
        <v/>
      </c>
      <c r="E443" s="97" t="str">
        <f>IF(games!I443&lt;&gt;"", games!I443, "")</f>
        <v/>
      </c>
    </row>
    <row r="444" spans="1:5" ht="28.5" customHeight="1">
      <c r="A444" s="73" t="str">
        <f>IF(games!A444="", "", games!A444)</f>
        <v/>
      </c>
      <c r="C444" s="57" t="str">
        <f t="shared" si="18"/>
        <v/>
      </c>
      <c r="D444" s="57" t="str">
        <f t="shared" si="19"/>
        <v/>
      </c>
      <c r="E444" s="97" t="str">
        <f>IF(games!I444&lt;&gt;"", games!I444, "")</f>
        <v/>
      </c>
    </row>
    <row r="445" spans="1:5" ht="28.5" customHeight="1">
      <c r="A445" s="73" t="str">
        <f>IF(games!A445="", "", games!A445)</f>
        <v/>
      </c>
      <c r="C445" s="57" t="str">
        <f t="shared" si="18"/>
        <v/>
      </c>
      <c r="D445" s="57" t="str">
        <f t="shared" si="19"/>
        <v/>
      </c>
      <c r="E445" s="97" t="str">
        <f>IF(games!I445&lt;&gt;"", games!I445, "")</f>
        <v/>
      </c>
    </row>
    <row r="446" spans="1:5" ht="28.5" customHeight="1">
      <c r="A446" s="73" t="str">
        <f>IF(games!A446="", "", games!A446)</f>
        <v/>
      </c>
      <c r="C446" s="57" t="str">
        <f t="shared" si="18"/>
        <v/>
      </c>
      <c r="D446" s="57" t="str">
        <f t="shared" si="19"/>
        <v/>
      </c>
      <c r="E446" s="97" t="str">
        <f>IF(games!I446&lt;&gt;"", games!I446, "")</f>
        <v/>
      </c>
    </row>
    <row r="447" spans="1:5" ht="28.5" customHeight="1">
      <c r="A447" s="73" t="str">
        <f>IF(games!A447="", "", games!A447)</f>
        <v/>
      </c>
      <c r="C447" s="57" t="str">
        <f t="shared" si="18"/>
        <v/>
      </c>
      <c r="D447" s="57" t="str">
        <f t="shared" si="19"/>
        <v/>
      </c>
      <c r="E447" s="97" t="str">
        <f>IF(games!I447&lt;&gt;"", games!I447, "")</f>
        <v/>
      </c>
    </row>
    <row r="448" spans="1:5" ht="28.5" customHeight="1">
      <c r="A448" s="73" t="str">
        <f>IF(games!A448="", "", games!A448)</f>
        <v/>
      </c>
      <c r="C448" s="57" t="str">
        <f t="shared" si="18"/>
        <v/>
      </c>
      <c r="D448" s="57" t="str">
        <f t="shared" si="19"/>
        <v/>
      </c>
      <c r="E448" s="97" t="str">
        <f>IF(games!I448&lt;&gt;"", games!I448, "")</f>
        <v/>
      </c>
    </row>
    <row r="449" spans="1:5" ht="28.5" customHeight="1">
      <c r="A449" s="73" t="str">
        <f>IF(games!A449="", "", games!A449)</f>
        <v/>
      </c>
      <c r="C449" s="57" t="str">
        <f t="shared" si="18"/>
        <v/>
      </c>
      <c r="D449" s="57" t="str">
        <f t="shared" si="19"/>
        <v/>
      </c>
      <c r="E449" s="97" t="str">
        <f>IF(games!I449&lt;&gt;"", games!I449, "")</f>
        <v/>
      </c>
    </row>
    <row r="450" spans="1:5" ht="28.5" customHeight="1">
      <c r="A450" s="73" t="str">
        <f>IF(games!A450="", "", games!A450)</f>
        <v/>
      </c>
      <c r="C450" s="57" t="str">
        <f t="shared" si="18"/>
        <v/>
      </c>
      <c r="D450" s="57" t="str">
        <f t="shared" si="19"/>
        <v/>
      </c>
      <c r="E450" s="97" t="str">
        <f>IF(games!I450&lt;&gt;"", games!I450, "")</f>
        <v/>
      </c>
    </row>
    <row r="451" spans="1:5" ht="28.5" customHeight="1">
      <c r="A451" s="73" t="str">
        <f>IF(games!A451="", "", games!A451)</f>
        <v/>
      </c>
      <c r="C451" s="57" t="str">
        <f t="shared" si="18"/>
        <v/>
      </c>
      <c r="D451" s="57" t="str">
        <f t="shared" si="19"/>
        <v/>
      </c>
      <c r="E451" s="97" t="str">
        <f>IF(games!I451&lt;&gt;"", games!I451, "")</f>
        <v/>
      </c>
    </row>
    <row r="452" spans="1:5" ht="28.5" customHeight="1">
      <c r="A452" s="73" t="str">
        <f>IF(games!A452="", "", games!A452)</f>
        <v/>
      </c>
      <c r="C452" s="57" t="str">
        <f t="shared" si="18"/>
        <v/>
      </c>
      <c r="D452" s="57" t="str">
        <f t="shared" si="19"/>
        <v/>
      </c>
      <c r="E452" s="97" t="str">
        <f>IF(games!I452&lt;&gt;"", games!I452, "")</f>
        <v/>
      </c>
    </row>
    <row r="453" spans="1:5" ht="28.5" customHeight="1">
      <c r="A453" s="73" t="str">
        <f>IF(games!A453="", "", games!A453)</f>
        <v/>
      </c>
      <c r="C453" s="57" t="str">
        <f t="shared" si="18"/>
        <v/>
      </c>
      <c r="D453" s="57" t="str">
        <f t="shared" si="19"/>
        <v/>
      </c>
      <c r="E453" s="97" t="str">
        <f>IF(games!I453&lt;&gt;"", games!I453, "")</f>
        <v/>
      </c>
    </row>
    <row r="454" spans="1:5" ht="28.5" customHeight="1">
      <c r="A454" s="73" t="str">
        <f>IF(games!A454="", "", games!A454)</f>
        <v/>
      </c>
      <c r="C454" s="57" t="str">
        <f t="shared" si="18"/>
        <v/>
      </c>
      <c r="D454" s="57" t="str">
        <f t="shared" si="19"/>
        <v/>
      </c>
      <c r="E454" s="97" t="str">
        <f>IF(games!I454&lt;&gt;"", games!I454, "")</f>
        <v/>
      </c>
    </row>
    <row r="455" spans="1:5" ht="28.5" customHeight="1">
      <c r="A455" s="73" t="str">
        <f>IF(games!A455="", "", games!A455)</f>
        <v/>
      </c>
      <c r="C455" s="57" t="str">
        <f t="shared" si="18"/>
        <v/>
      </c>
      <c r="D455" s="57" t="str">
        <f t="shared" si="19"/>
        <v/>
      </c>
      <c r="E455" s="97" t="str">
        <f>IF(games!I455&lt;&gt;"", games!I455, "")</f>
        <v/>
      </c>
    </row>
    <row r="456" spans="1:5" ht="28.5" customHeight="1">
      <c r="A456" s="73" t="str">
        <f>IF(games!A456="", "", games!A456)</f>
        <v/>
      </c>
      <c r="C456" s="57" t="str">
        <f t="shared" si="18"/>
        <v/>
      </c>
      <c r="D456" s="57" t="str">
        <f t="shared" si="19"/>
        <v/>
      </c>
      <c r="E456" s="97" t="str">
        <f>IF(games!I456&lt;&gt;"", games!I456, "")</f>
        <v/>
      </c>
    </row>
    <row r="457" spans="1:5" ht="28.5" customHeight="1">
      <c r="A457" s="73" t="str">
        <f>IF(games!A457="", "", games!A457)</f>
        <v/>
      </c>
      <c r="C457" s="57" t="str">
        <f t="shared" si="18"/>
        <v/>
      </c>
      <c r="D457" s="57" t="str">
        <f t="shared" si="19"/>
        <v/>
      </c>
      <c r="E457" s="97" t="str">
        <f>IF(games!I457&lt;&gt;"", games!I457, "")</f>
        <v/>
      </c>
    </row>
    <row r="458" spans="1:5" ht="28.5" customHeight="1">
      <c r="A458" s="73" t="str">
        <f>IF(games!A458="", "", games!A458)</f>
        <v/>
      </c>
      <c r="C458" s="57" t="str">
        <f t="shared" si="18"/>
        <v/>
      </c>
      <c r="D458" s="57" t="str">
        <f t="shared" si="19"/>
        <v/>
      </c>
      <c r="E458" s="97" t="str">
        <f>IF(games!I458&lt;&gt;"", games!I458, "")</f>
        <v/>
      </c>
    </row>
    <row r="459" spans="1:5" ht="28.5" customHeight="1">
      <c r="A459" s="73" t="str">
        <f>IF(games!A459="", "", games!A459)</f>
        <v/>
      </c>
      <c r="C459" s="57" t="str">
        <f t="shared" si="18"/>
        <v/>
      </c>
      <c r="D459" s="57" t="str">
        <f t="shared" si="19"/>
        <v/>
      </c>
      <c r="E459" s="97" t="str">
        <f>IF(games!I459&lt;&gt;"", games!I459, "")</f>
        <v/>
      </c>
    </row>
    <row r="460" spans="1:5" ht="28.5" customHeight="1">
      <c r="A460" s="73" t="str">
        <f>IF(games!A460="", "", games!A460)</f>
        <v/>
      </c>
      <c r="C460" s="57" t="str">
        <f t="shared" si="18"/>
        <v/>
      </c>
      <c r="D460" s="57" t="str">
        <f t="shared" si="19"/>
        <v/>
      </c>
      <c r="E460" s="97" t="str">
        <f>IF(games!I460&lt;&gt;"", games!I460, "")</f>
        <v/>
      </c>
    </row>
    <row r="461" spans="1:5" ht="28.5" customHeight="1">
      <c r="A461" s="73" t="str">
        <f>IF(games!A461="", "", games!A461)</f>
        <v/>
      </c>
      <c r="C461" s="57" t="str">
        <f t="shared" si="18"/>
        <v/>
      </c>
      <c r="D461" s="57" t="str">
        <f t="shared" si="19"/>
        <v/>
      </c>
      <c r="E461" s="97" t="str">
        <f>IF(games!I461&lt;&gt;"", games!I461, "")</f>
        <v/>
      </c>
    </row>
    <row r="462" spans="1:5" ht="28.5" customHeight="1">
      <c r="A462" s="73" t="str">
        <f>IF(games!A462="", "", games!A462)</f>
        <v/>
      </c>
      <c r="C462" s="57" t="str">
        <f t="shared" si="18"/>
        <v/>
      </c>
      <c r="D462" s="57" t="str">
        <f t="shared" si="19"/>
        <v/>
      </c>
      <c r="E462" s="97" t="str">
        <f>IF(games!I462&lt;&gt;"", games!I462, "")</f>
        <v/>
      </c>
    </row>
    <row r="463" spans="1:5" ht="28.5" customHeight="1">
      <c r="A463" s="73" t="str">
        <f>IF(games!A463="", "", games!A463)</f>
        <v/>
      </c>
      <c r="C463" s="57" t="str">
        <f t="shared" si="18"/>
        <v/>
      </c>
      <c r="D463" s="57" t="str">
        <f t="shared" si="19"/>
        <v/>
      </c>
      <c r="E463" s="97" t="str">
        <f>IF(games!I463&lt;&gt;"", games!I463, "")</f>
        <v/>
      </c>
    </row>
    <row r="464" spans="1:5" ht="28.5" customHeight="1">
      <c r="A464" s="73" t="str">
        <f>IF(games!A464="", "", games!A464)</f>
        <v/>
      </c>
      <c r="C464" s="57" t="str">
        <f t="shared" si="18"/>
        <v/>
      </c>
      <c r="D464" s="57" t="str">
        <f t="shared" si="19"/>
        <v/>
      </c>
      <c r="E464" s="97" t="str">
        <f>IF(games!I464&lt;&gt;"", games!I464, "")</f>
        <v/>
      </c>
    </row>
    <row r="465" spans="1:5" ht="28.5" customHeight="1">
      <c r="A465" s="73" t="str">
        <f>IF(games!A465="", "", games!A465)</f>
        <v/>
      </c>
      <c r="C465" s="57" t="str">
        <f t="shared" si="18"/>
        <v/>
      </c>
      <c r="D465" s="57" t="str">
        <f t="shared" si="19"/>
        <v/>
      </c>
      <c r="E465" s="97" t="str">
        <f>IF(games!I465&lt;&gt;"", games!I465, "")</f>
        <v/>
      </c>
    </row>
    <row r="466" spans="1:5" ht="28.5" customHeight="1">
      <c r="A466" s="73" t="str">
        <f>IF(games!A466="", "", games!A466)</f>
        <v/>
      </c>
      <c r="C466" s="57" t="str">
        <f t="shared" si="18"/>
        <v/>
      </c>
      <c r="D466" s="57" t="str">
        <f t="shared" si="19"/>
        <v/>
      </c>
      <c r="E466" s="97" t="str">
        <f>IF(games!I466&lt;&gt;"", games!I466, "")</f>
        <v/>
      </c>
    </row>
    <row r="467" spans="1:5" ht="28.5" customHeight="1">
      <c r="A467" s="73" t="str">
        <f>IF(games!A467="", "", games!A467)</f>
        <v/>
      </c>
      <c r="C467" s="57" t="str">
        <f t="shared" si="18"/>
        <v/>
      </c>
      <c r="D467" s="57" t="str">
        <f t="shared" si="19"/>
        <v/>
      </c>
      <c r="E467" s="97" t="str">
        <f>IF(games!I467&lt;&gt;"", games!I467, "")</f>
        <v/>
      </c>
    </row>
    <row r="468" spans="1:5" ht="28.5" customHeight="1">
      <c r="A468" s="73" t="str">
        <f>IF(games!A468="", "", games!A468)</f>
        <v/>
      </c>
      <c r="C468" s="57" t="str">
        <f t="shared" si="18"/>
        <v/>
      </c>
      <c r="D468" s="57" t="str">
        <f t="shared" si="19"/>
        <v/>
      </c>
      <c r="E468" s="97" t="str">
        <f>IF(games!I468&lt;&gt;"", games!I468, "")</f>
        <v/>
      </c>
    </row>
    <row r="469" spans="1:5" ht="28.5" customHeight="1">
      <c r="A469" s="73" t="str">
        <f>IF(games!A469="", "", games!A469)</f>
        <v/>
      </c>
      <c r="C469" s="57" t="str">
        <f t="shared" si="18"/>
        <v/>
      </c>
      <c r="D469" s="57" t="str">
        <f t="shared" si="19"/>
        <v/>
      </c>
      <c r="E469" s="97" t="str">
        <f>IF(games!I469&lt;&gt;"", games!I469, "")</f>
        <v/>
      </c>
    </row>
    <row r="470" spans="1:5" ht="28.5" customHeight="1">
      <c r="A470" s="73" t="str">
        <f>IF(games!A470="", "", games!A470)</f>
        <v/>
      </c>
      <c r="C470" s="57" t="str">
        <f t="shared" si="18"/>
        <v/>
      </c>
      <c r="D470" s="57" t="str">
        <f t="shared" si="19"/>
        <v/>
      </c>
      <c r="E470" s="97" t="str">
        <f>IF(games!I470&lt;&gt;"", games!I470, "")</f>
        <v/>
      </c>
    </row>
    <row r="471" spans="1:5" ht="28.5" customHeight="1">
      <c r="A471" s="73" t="str">
        <f>IF(games!A471="", "", games!A471)</f>
        <v/>
      </c>
      <c r="C471" s="57" t="str">
        <f t="shared" si="18"/>
        <v/>
      </c>
      <c r="D471" s="57" t="str">
        <f t="shared" si="19"/>
        <v/>
      </c>
      <c r="E471" s="97" t="str">
        <f>IF(games!I471&lt;&gt;"", games!I471, "")</f>
        <v/>
      </c>
    </row>
    <row r="472" spans="1:5" ht="28.5" customHeight="1">
      <c r="A472" s="73" t="str">
        <f>IF(games!A472="", "", games!A472)</f>
        <v/>
      </c>
      <c r="C472" s="57" t="str">
        <f t="shared" si="18"/>
        <v/>
      </c>
      <c r="D472" s="57" t="str">
        <f t="shared" si="19"/>
        <v/>
      </c>
      <c r="E472" s="97" t="str">
        <f>IF(games!I472&lt;&gt;"", games!I472, "")</f>
        <v/>
      </c>
    </row>
    <row r="473" spans="1:5" ht="28.5" customHeight="1">
      <c r="A473" s="73" t="str">
        <f>IF(games!A473="", "", games!A473)</f>
        <v/>
      </c>
      <c r="C473" s="57" t="str">
        <f t="shared" si="18"/>
        <v/>
      </c>
      <c r="D473" s="57" t="str">
        <f t="shared" si="19"/>
        <v/>
      </c>
      <c r="E473" s="97" t="str">
        <f>IF(games!I473&lt;&gt;"", games!I473, "")</f>
        <v/>
      </c>
    </row>
    <row r="474" spans="1:5" ht="28.5" customHeight="1">
      <c r="A474" s="73" t="str">
        <f>IF(games!A474="", "", games!A474)</f>
        <v/>
      </c>
      <c r="C474" s="57" t="str">
        <f t="shared" si="18"/>
        <v/>
      </c>
      <c r="D474" s="57" t="str">
        <f t="shared" si="19"/>
        <v/>
      </c>
      <c r="E474" s="97" t="str">
        <f>IF(games!I474&lt;&gt;"", games!I474, "")</f>
        <v/>
      </c>
    </row>
    <row r="475" spans="1:5" ht="28.5" customHeight="1">
      <c r="A475" s="73" t="str">
        <f>IF(games!A475="", "", games!A475)</f>
        <v/>
      </c>
      <c r="C475" s="57" t="str">
        <f t="shared" si="18"/>
        <v/>
      </c>
      <c r="D475" s="57" t="str">
        <f t="shared" si="19"/>
        <v/>
      </c>
      <c r="E475" s="97" t="str">
        <f>IF(games!I475&lt;&gt;"", games!I475, "")</f>
        <v/>
      </c>
    </row>
    <row r="476" spans="1:5" ht="28.5" customHeight="1">
      <c r="A476" s="73" t="str">
        <f>IF(games!A476="", "", games!A476)</f>
        <v/>
      </c>
      <c r="C476" s="57" t="str">
        <f t="shared" si="18"/>
        <v/>
      </c>
      <c r="D476" s="57" t="str">
        <f t="shared" si="19"/>
        <v/>
      </c>
      <c r="E476" s="97" t="str">
        <f>IF(games!I476&lt;&gt;"", games!I476, "")</f>
        <v/>
      </c>
    </row>
    <row r="477" spans="1:5" ht="28.5" customHeight="1">
      <c r="A477" s="73" t="str">
        <f>IF(games!A477="", "", games!A477)</f>
        <v/>
      </c>
      <c r="C477" s="57" t="str">
        <f t="shared" si="18"/>
        <v/>
      </c>
      <c r="D477" s="57" t="str">
        <f t="shared" si="19"/>
        <v/>
      </c>
      <c r="E477" s="97" t="str">
        <f>IF(games!I477&lt;&gt;"", games!I477, "")</f>
        <v/>
      </c>
    </row>
    <row r="478" spans="1:5" ht="28.5" customHeight="1">
      <c r="A478" s="73" t="str">
        <f>IF(games!A478="", "", games!A478)</f>
        <v/>
      </c>
      <c r="C478" s="57" t="str">
        <f t="shared" si="18"/>
        <v/>
      </c>
      <c r="D478" s="57" t="str">
        <f t="shared" si="19"/>
        <v/>
      </c>
      <c r="E478" s="97" t="str">
        <f>IF(games!I478&lt;&gt;"", games!I478, "")</f>
        <v/>
      </c>
    </row>
    <row r="479" spans="1:5" ht="28.5" customHeight="1">
      <c r="A479" s="73" t="str">
        <f>IF(games!A479="", "", games!A479)</f>
        <v/>
      </c>
      <c r="C479" s="57" t="str">
        <f t="shared" si="18"/>
        <v/>
      </c>
      <c r="D479" s="57" t="str">
        <f t="shared" si="19"/>
        <v/>
      </c>
      <c r="E479" s="97" t="str">
        <f>IF(games!I479&lt;&gt;"", games!I479, "")</f>
        <v/>
      </c>
    </row>
    <row r="480" spans="1:5" ht="28.5" customHeight="1">
      <c r="A480" s="73" t="str">
        <f>IF(games!A480="", "", games!A480)</f>
        <v/>
      </c>
      <c r="C480" s="57" t="str">
        <f t="shared" si="18"/>
        <v/>
      </c>
      <c r="D480" s="57" t="str">
        <f t="shared" si="19"/>
        <v/>
      </c>
      <c r="E480" s="97" t="str">
        <f>IF(games!I480&lt;&gt;"", games!I480, "")</f>
        <v/>
      </c>
    </row>
    <row r="481" spans="1:5" ht="28.5" customHeight="1">
      <c r="A481" s="73" t="str">
        <f>IF(games!A481="", "", games!A481)</f>
        <v/>
      </c>
      <c r="C481" s="57" t="str">
        <f t="shared" si="18"/>
        <v/>
      </c>
      <c r="D481" s="57" t="str">
        <f t="shared" si="19"/>
        <v/>
      </c>
      <c r="E481" s="97" t="str">
        <f>IF(games!I481&lt;&gt;"", games!I481, "")</f>
        <v/>
      </c>
    </row>
    <row r="482" spans="1:5" ht="28.5" customHeight="1">
      <c r="A482" s="73" t="str">
        <f>IF(games!A482="", "", games!A482)</f>
        <v/>
      </c>
      <c r="C482" s="57" t="str">
        <f t="shared" ref="C482:C545" si="20">IF(A482="","", "giftcodesbanner/" &amp; A482 &amp; "-禮包碼.jpg")</f>
        <v/>
      </c>
      <c r="D482" s="57" t="str">
        <f t="shared" ref="D482:D545" si="21">IF(A482="","", "https://www.ssbuy.tw/gift-codes.html?game="&amp;A482)</f>
        <v/>
      </c>
      <c r="E482" s="97" t="str">
        <f>IF(games!I482&lt;&gt;"", games!I482, "")</f>
        <v/>
      </c>
    </row>
    <row r="483" spans="1:5" ht="28.5" customHeight="1">
      <c r="A483" s="73" t="str">
        <f>IF(games!A483="", "", games!A483)</f>
        <v/>
      </c>
      <c r="C483" s="57" t="str">
        <f t="shared" si="20"/>
        <v/>
      </c>
      <c r="D483" s="57" t="str">
        <f t="shared" si="21"/>
        <v/>
      </c>
      <c r="E483" s="97" t="str">
        <f>IF(games!I483&lt;&gt;"", games!I483, "")</f>
        <v/>
      </c>
    </row>
    <row r="484" spans="1:5" ht="28.5" customHeight="1">
      <c r="A484" s="73" t="str">
        <f>IF(games!A484="", "", games!A484)</f>
        <v/>
      </c>
      <c r="C484" s="57" t="str">
        <f t="shared" si="20"/>
        <v/>
      </c>
      <c r="D484" s="57" t="str">
        <f t="shared" si="21"/>
        <v/>
      </c>
      <c r="E484" s="97" t="str">
        <f>IF(games!I484&lt;&gt;"", games!I484, "")</f>
        <v/>
      </c>
    </row>
    <row r="485" spans="1:5" ht="28.5" customHeight="1">
      <c r="A485" s="73" t="str">
        <f>IF(games!A485="", "", games!A485)</f>
        <v/>
      </c>
      <c r="C485" s="57" t="str">
        <f t="shared" si="20"/>
        <v/>
      </c>
      <c r="D485" s="57" t="str">
        <f t="shared" si="21"/>
        <v/>
      </c>
      <c r="E485" s="97" t="str">
        <f>IF(games!I485&lt;&gt;"", games!I485, "")</f>
        <v/>
      </c>
    </row>
    <row r="486" spans="1:5" ht="28.5" customHeight="1">
      <c r="A486" s="73" t="str">
        <f>IF(games!A486="", "", games!A486)</f>
        <v/>
      </c>
      <c r="C486" s="57" t="str">
        <f t="shared" si="20"/>
        <v/>
      </c>
      <c r="D486" s="57" t="str">
        <f t="shared" si="21"/>
        <v/>
      </c>
      <c r="E486" s="97" t="str">
        <f>IF(games!I486&lt;&gt;"", games!I486, "")</f>
        <v/>
      </c>
    </row>
    <row r="487" spans="1:5" ht="28.5" customHeight="1">
      <c r="A487" s="73" t="str">
        <f>IF(games!A487="", "", games!A487)</f>
        <v/>
      </c>
      <c r="C487" s="57" t="str">
        <f t="shared" si="20"/>
        <v/>
      </c>
      <c r="D487" s="57" t="str">
        <f t="shared" si="21"/>
        <v/>
      </c>
      <c r="E487" s="97" t="str">
        <f>IF(games!I487&lt;&gt;"", games!I487, "")</f>
        <v/>
      </c>
    </row>
    <row r="488" spans="1:5" ht="28.5" customHeight="1">
      <c r="A488" s="73" t="str">
        <f>IF(games!A488="", "", games!A488)</f>
        <v/>
      </c>
      <c r="C488" s="57" t="str">
        <f t="shared" si="20"/>
        <v/>
      </c>
      <c r="D488" s="57" t="str">
        <f t="shared" si="21"/>
        <v/>
      </c>
      <c r="E488" s="97" t="str">
        <f>IF(games!I488&lt;&gt;"", games!I488, "")</f>
        <v/>
      </c>
    </row>
    <row r="489" spans="1:5" ht="28.5" customHeight="1">
      <c r="A489" s="73" t="str">
        <f>IF(games!A489="", "", games!A489)</f>
        <v/>
      </c>
      <c r="C489" s="57" t="str">
        <f t="shared" si="20"/>
        <v/>
      </c>
      <c r="D489" s="57" t="str">
        <f t="shared" si="21"/>
        <v/>
      </c>
      <c r="E489" s="97" t="str">
        <f>IF(games!I489&lt;&gt;"", games!I489, "")</f>
        <v/>
      </c>
    </row>
    <row r="490" spans="1:5" ht="28.5" customHeight="1">
      <c r="A490" s="73" t="str">
        <f>IF(games!A490="", "", games!A490)</f>
        <v/>
      </c>
      <c r="C490" s="57" t="str">
        <f t="shared" si="20"/>
        <v/>
      </c>
      <c r="D490" s="57" t="str">
        <f t="shared" si="21"/>
        <v/>
      </c>
      <c r="E490" s="97" t="str">
        <f>IF(games!I490&lt;&gt;"", games!I490, "")</f>
        <v/>
      </c>
    </row>
    <row r="491" spans="1:5" ht="28.5" customHeight="1">
      <c r="A491" s="73" t="str">
        <f>IF(games!A491="", "", games!A491)</f>
        <v/>
      </c>
      <c r="C491" s="57" t="str">
        <f t="shared" si="20"/>
        <v/>
      </c>
      <c r="D491" s="57" t="str">
        <f t="shared" si="21"/>
        <v/>
      </c>
      <c r="E491" s="97" t="str">
        <f>IF(games!I491&lt;&gt;"", games!I491, "")</f>
        <v/>
      </c>
    </row>
    <row r="492" spans="1:5" ht="28.5" customHeight="1">
      <c r="A492" s="73" t="str">
        <f>IF(games!A492="", "", games!A492)</f>
        <v/>
      </c>
      <c r="C492" s="57" t="str">
        <f t="shared" si="20"/>
        <v/>
      </c>
      <c r="D492" s="57" t="str">
        <f t="shared" si="21"/>
        <v/>
      </c>
      <c r="E492" s="97" t="str">
        <f>IF(games!I492&lt;&gt;"", games!I492, "")</f>
        <v/>
      </c>
    </row>
    <row r="493" spans="1:5" ht="28.5" customHeight="1">
      <c r="A493" s="73" t="str">
        <f>IF(games!A493="", "", games!A493)</f>
        <v/>
      </c>
      <c r="C493" s="57" t="str">
        <f t="shared" si="20"/>
        <v/>
      </c>
      <c r="D493" s="57" t="str">
        <f t="shared" si="21"/>
        <v/>
      </c>
      <c r="E493" s="97" t="str">
        <f>IF(games!I493&lt;&gt;"", games!I493, "")</f>
        <v/>
      </c>
    </row>
    <row r="494" spans="1:5" ht="28.5" customHeight="1">
      <c r="A494" s="73" t="str">
        <f>IF(games!A494="", "", games!A494)</f>
        <v/>
      </c>
      <c r="C494" s="57" t="str">
        <f t="shared" si="20"/>
        <v/>
      </c>
      <c r="D494" s="57" t="str">
        <f t="shared" si="21"/>
        <v/>
      </c>
      <c r="E494" s="97" t="str">
        <f>IF(games!I494&lt;&gt;"", games!I494, "")</f>
        <v/>
      </c>
    </row>
    <row r="495" spans="1:5" ht="28.5" customHeight="1">
      <c r="A495" s="73" t="str">
        <f>IF(games!A495="", "", games!A495)</f>
        <v/>
      </c>
      <c r="C495" s="57" t="str">
        <f t="shared" si="20"/>
        <v/>
      </c>
      <c r="D495" s="57" t="str">
        <f t="shared" si="21"/>
        <v/>
      </c>
      <c r="E495" s="97" t="str">
        <f>IF(games!I495&lt;&gt;"", games!I495, "")</f>
        <v/>
      </c>
    </row>
    <row r="496" spans="1:5" ht="28.5" customHeight="1">
      <c r="A496" s="73" t="str">
        <f>IF(games!A496="", "", games!A496)</f>
        <v/>
      </c>
      <c r="C496" s="57" t="str">
        <f t="shared" si="20"/>
        <v/>
      </c>
      <c r="D496" s="57" t="str">
        <f t="shared" si="21"/>
        <v/>
      </c>
      <c r="E496" s="97" t="str">
        <f>IF(games!I496&lt;&gt;"", games!I496, "")</f>
        <v/>
      </c>
    </row>
    <row r="497" spans="1:5" ht="28.5" customHeight="1">
      <c r="A497" s="73" t="str">
        <f>IF(games!A497="", "", games!A497)</f>
        <v/>
      </c>
      <c r="C497" s="57" t="str">
        <f t="shared" si="20"/>
        <v/>
      </c>
      <c r="D497" s="57" t="str">
        <f t="shared" si="21"/>
        <v/>
      </c>
      <c r="E497" s="97" t="str">
        <f>IF(games!I497&lt;&gt;"", games!I497, "")</f>
        <v/>
      </c>
    </row>
    <row r="498" spans="1:5" ht="28.5" customHeight="1">
      <c r="A498" s="73" t="str">
        <f>IF(games!A498="", "", games!A498)</f>
        <v/>
      </c>
      <c r="C498" s="57" t="str">
        <f t="shared" si="20"/>
        <v/>
      </c>
      <c r="D498" s="57" t="str">
        <f t="shared" si="21"/>
        <v/>
      </c>
      <c r="E498" s="97" t="str">
        <f>IF(games!I498&lt;&gt;"", games!I498, "")</f>
        <v/>
      </c>
    </row>
    <row r="499" spans="1:5" ht="28.5" customHeight="1">
      <c r="A499" s="73" t="str">
        <f>IF(games!A499="", "", games!A499)</f>
        <v/>
      </c>
      <c r="C499" s="57" t="str">
        <f t="shared" si="20"/>
        <v/>
      </c>
      <c r="D499" s="57" t="str">
        <f t="shared" si="21"/>
        <v/>
      </c>
      <c r="E499" s="97" t="str">
        <f>IF(games!I499&lt;&gt;"", games!I499, "")</f>
        <v/>
      </c>
    </row>
    <row r="500" spans="1:5" ht="28.5" customHeight="1">
      <c r="A500" s="73" t="str">
        <f>IF(games!A500="", "", games!A500)</f>
        <v/>
      </c>
      <c r="C500" s="57" t="str">
        <f t="shared" si="20"/>
        <v/>
      </c>
      <c r="D500" s="57" t="str">
        <f t="shared" si="21"/>
        <v/>
      </c>
      <c r="E500" s="97" t="str">
        <f>IF(games!I500&lt;&gt;"", games!I500, "")</f>
        <v/>
      </c>
    </row>
    <row r="501" spans="1:5" ht="28.5" customHeight="1">
      <c r="A501" s="73" t="str">
        <f>IF(games!A501="", "", games!A501)</f>
        <v/>
      </c>
      <c r="C501" s="57" t="str">
        <f t="shared" si="20"/>
        <v/>
      </c>
      <c r="D501" s="57" t="str">
        <f t="shared" si="21"/>
        <v/>
      </c>
      <c r="E501" s="97" t="str">
        <f>IF(games!I501&lt;&gt;"", games!I501, "")</f>
        <v/>
      </c>
    </row>
    <row r="502" spans="1:5" ht="28.5" customHeight="1">
      <c r="A502" s="73" t="str">
        <f>IF(games!A502="", "", games!A502)</f>
        <v/>
      </c>
      <c r="C502" s="57" t="str">
        <f t="shared" si="20"/>
        <v/>
      </c>
      <c r="D502" s="57" t="str">
        <f t="shared" si="21"/>
        <v/>
      </c>
      <c r="E502" s="97" t="str">
        <f>IF(games!I502&lt;&gt;"", games!I502, "")</f>
        <v/>
      </c>
    </row>
    <row r="503" spans="1:5" ht="28.5" customHeight="1">
      <c r="A503" s="73" t="str">
        <f>IF(games!A503="", "", games!A503)</f>
        <v/>
      </c>
      <c r="C503" s="57" t="str">
        <f t="shared" si="20"/>
        <v/>
      </c>
      <c r="D503" s="57" t="str">
        <f t="shared" si="21"/>
        <v/>
      </c>
      <c r="E503" s="97" t="str">
        <f>IF(games!I503&lt;&gt;"", games!I503, "")</f>
        <v/>
      </c>
    </row>
    <row r="504" spans="1:5" ht="28.5" customHeight="1">
      <c r="A504" s="73" t="str">
        <f>IF(games!A504="", "", games!A504)</f>
        <v/>
      </c>
      <c r="C504" s="57" t="str">
        <f t="shared" si="20"/>
        <v/>
      </c>
      <c r="D504" s="57" t="str">
        <f t="shared" si="21"/>
        <v/>
      </c>
      <c r="E504" s="97" t="str">
        <f>IF(games!I504&lt;&gt;"", games!I504, "")</f>
        <v/>
      </c>
    </row>
    <row r="505" spans="1:5" ht="28.5" customHeight="1">
      <c r="A505" s="73" t="str">
        <f>IF(games!A505="", "", games!A505)</f>
        <v/>
      </c>
      <c r="C505" s="57" t="str">
        <f t="shared" si="20"/>
        <v/>
      </c>
      <c r="D505" s="57" t="str">
        <f t="shared" si="21"/>
        <v/>
      </c>
      <c r="E505" s="97" t="str">
        <f>IF(games!I505&lt;&gt;"", games!I505, "")</f>
        <v/>
      </c>
    </row>
    <row r="506" spans="1:5" ht="28.5" customHeight="1">
      <c r="A506" s="73" t="str">
        <f>IF(games!A506="", "", games!A506)</f>
        <v/>
      </c>
      <c r="C506" s="57" t="str">
        <f t="shared" si="20"/>
        <v/>
      </c>
      <c r="D506" s="57" t="str">
        <f t="shared" si="21"/>
        <v/>
      </c>
      <c r="E506" s="97" t="str">
        <f>IF(games!I506&lt;&gt;"", games!I506, "")</f>
        <v/>
      </c>
    </row>
    <row r="507" spans="1:5" ht="28.5" customHeight="1">
      <c r="A507" s="73" t="str">
        <f>IF(games!A507="", "", games!A507)</f>
        <v/>
      </c>
      <c r="C507" s="57" t="str">
        <f t="shared" si="20"/>
        <v/>
      </c>
      <c r="D507" s="57" t="str">
        <f t="shared" si="21"/>
        <v/>
      </c>
      <c r="E507" s="97" t="str">
        <f>IF(games!I507&lt;&gt;"", games!I507, "")</f>
        <v/>
      </c>
    </row>
    <row r="508" spans="1:5" ht="28.5" customHeight="1">
      <c r="A508" s="73" t="str">
        <f>IF(games!A508="", "", games!A508)</f>
        <v/>
      </c>
      <c r="C508" s="57" t="str">
        <f t="shared" si="20"/>
        <v/>
      </c>
      <c r="D508" s="57" t="str">
        <f t="shared" si="21"/>
        <v/>
      </c>
      <c r="E508" s="97" t="str">
        <f>IF(games!I508&lt;&gt;"", games!I508, "")</f>
        <v/>
      </c>
    </row>
    <row r="509" spans="1:5" ht="28.5" customHeight="1">
      <c r="A509" s="73" t="str">
        <f>IF(games!A509="", "", games!A509)</f>
        <v/>
      </c>
      <c r="C509" s="57" t="str">
        <f t="shared" si="20"/>
        <v/>
      </c>
      <c r="D509" s="57" t="str">
        <f t="shared" si="21"/>
        <v/>
      </c>
      <c r="E509" s="97" t="str">
        <f>IF(games!I509&lt;&gt;"", games!I509, "")</f>
        <v/>
      </c>
    </row>
    <row r="510" spans="1:5" ht="28.5" customHeight="1">
      <c r="A510" s="73" t="str">
        <f>IF(games!A510="", "", games!A510)</f>
        <v/>
      </c>
      <c r="C510" s="57" t="str">
        <f t="shared" si="20"/>
        <v/>
      </c>
      <c r="D510" s="57" t="str">
        <f t="shared" si="21"/>
        <v/>
      </c>
      <c r="E510" s="97" t="str">
        <f>IF(games!I510&lt;&gt;"", games!I510, "")</f>
        <v/>
      </c>
    </row>
    <row r="511" spans="1:5" ht="28.5" customHeight="1">
      <c r="A511" s="73" t="str">
        <f>IF(games!A511="", "", games!A511)</f>
        <v/>
      </c>
      <c r="C511" s="57" t="str">
        <f t="shared" si="20"/>
        <v/>
      </c>
      <c r="D511" s="57" t="str">
        <f t="shared" si="21"/>
        <v/>
      </c>
      <c r="E511" s="97" t="str">
        <f>IF(games!I511&lt;&gt;"", games!I511, "")</f>
        <v/>
      </c>
    </row>
    <row r="512" spans="1:5" ht="28.5" customHeight="1">
      <c r="A512" s="73" t="str">
        <f>IF(games!A512="", "", games!A512)</f>
        <v/>
      </c>
      <c r="C512" s="57" t="str">
        <f t="shared" si="20"/>
        <v/>
      </c>
      <c r="D512" s="57" t="str">
        <f t="shared" si="21"/>
        <v/>
      </c>
      <c r="E512" s="97" t="str">
        <f>IF(games!I512&lt;&gt;"", games!I512, "")</f>
        <v/>
      </c>
    </row>
    <row r="513" spans="1:5" ht="28.5" customHeight="1">
      <c r="A513" s="73" t="str">
        <f>IF(games!A513="", "", games!A513)</f>
        <v/>
      </c>
      <c r="C513" s="57" t="str">
        <f t="shared" si="20"/>
        <v/>
      </c>
      <c r="D513" s="57" t="str">
        <f t="shared" si="21"/>
        <v/>
      </c>
      <c r="E513" s="97" t="str">
        <f>IF(games!I513&lt;&gt;"", games!I513, "")</f>
        <v/>
      </c>
    </row>
    <row r="514" spans="1:5" ht="28.5" customHeight="1">
      <c r="A514" s="73" t="str">
        <f>IF(games!A514="", "", games!A514)</f>
        <v/>
      </c>
      <c r="C514" s="57" t="str">
        <f t="shared" si="20"/>
        <v/>
      </c>
      <c r="D514" s="57" t="str">
        <f t="shared" si="21"/>
        <v/>
      </c>
      <c r="E514" s="97" t="str">
        <f>IF(games!I514&lt;&gt;"", games!I514, "")</f>
        <v/>
      </c>
    </row>
    <row r="515" spans="1:5" ht="28.5" customHeight="1">
      <c r="A515" s="73" t="str">
        <f>IF(games!A515="", "", games!A515)</f>
        <v/>
      </c>
      <c r="C515" s="57" t="str">
        <f t="shared" si="20"/>
        <v/>
      </c>
      <c r="D515" s="57" t="str">
        <f t="shared" si="21"/>
        <v/>
      </c>
      <c r="E515" s="97" t="str">
        <f>IF(games!I515&lt;&gt;"", games!I515, "")</f>
        <v/>
      </c>
    </row>
    <row r="516" spans="1:5" ht="28.5" customHeight="1">
      <c r="A516" s="73" t="str">
        <f>IF(games!A516="", "", games!A516)</f>
        <v/>
      </c>
      <c r="C516" s="57" t="str">
        <f t="shared" si="20"/>
        <v/>
      </c>
      <c r="D516" s="57" t="str">
        <f t="shared" si="21"/>
        <v/>
      </c>
      <c r="E516" s="97" t="str">
        <f>IF(games!I516&lt;&gt;"", games!I516, "")</f>
        <v/>
      </c>
    </row>
    <row r="517" spans="1:5" ht="28.5" customHeight="1">
      <c r="A517" s="73" t="str">
        <f>IF(games!A517="", "", games!A517)</f>
        <v/>
      </c>
      <c r="C517" s="57" t="str">
        <f t="shared" si="20"/>
        <v/>
      </c>
      <c r="D517" s="57" t="str">
        <f t="shared" si="21"/>
        <v/>
      </c>
      <c r="E517" s="97" t="str">
        <f>IF(games!I517&lt;&gt;"", games!I517, "")</f>
        <v/>
      </c>
    </row>
    <row r="518" spans="1:5" ht="28.5" customHeight="1">
      <c r="A518" s="73" t="str">
        <f>IF(games!A518="", "", games!A518)</f>
        <v/>
      </c>
      <c r="C518" s="57" t="str">
        <f t="shared" si="20"/>
        <v/>
      </c>
      <c r="D518" s="57" t="str">
        <f t="shared" si="21"/>
        <v/>
      </c>
      <c r="E518" s="97" t="str">
        <f>IF(games!I518&lt;&gt;"", games!I518, "")</f>
        <v/>
      </c>
    </row>
    <row r="519" spans="1:5" ht="28.5" customHeight="1">
      <c r="A519" s="73" t="str">
        <f>IF(games!A519="", "", games!A519)</f>
        <v/>
      </c>
      <c r="C519" s="57" t="str">
        <f t="shared" si="20"/>
        <v/>
      </c>
      <c r="D519" s="57" t="str">
        <f t="shared" si="21"/>
        <v/>
      </c>
      <c r="E519" s="97" t="str">
        <f>IF(games!I519&lt;&gt;"", games!I519, "")</f>
        <v/>
      </c>
    </row>
    <row r="520" spans="1:5" ht="28.5" customHeight="1">
      <c r="A520" s="73" t="str">
        <f>IF(games!A520="", "", games!A520)</f>
        <v/>
      </c>
      <c r="C520" s="57" t="str">
        <f t="shared" si="20"/>
        <v/>
      </c>
      <c r="D520" s="57" t="str">
        <f t="shared" si="21"/>
        <v/>
      </c>
      <c r="E520" s="97" t="str">
        <f>IF(games!I520&lt;&gt;"", games!I520, "")</f>
        <v/>
      </c>
    </row>
    <row r="521" spans="1:5" ht="28.5" customHeight="1">
      <c r="A521" s="73" t="str">
        <f>IF(games!A521="", "", games!A521)</f>
        <v/>
      </c>
      <c r="C521" s="57" t="str">
        <f t="shared" si="20"/>
        <v/>
      </c>
      <c r="D521" s="57" t="str">
        <f t="shared" si="21"/>
        <v/>
      </c>
      <c r="E521" s="97" t="str">
        <f>IF(games!I521&lt;&gt;"", games!I521, "")</f>
        <v/>
      </c>
    </row>
    <row r="522" spans="1:5" ht="28.5" customHeight="1">
      <c r="A522" s="73" t="str">
        <f>IF(games!A522="", "", games!A522)</f>
        <v/>
      </c>
      <c r="C522" s="57" t="str">
        <f t="shared" si="20"/>
        <v/>
      </c>
      <c r="D522" s="57" t="str">
        <f t="shared" si="21"/>
        <v/>
      </c>
      <c r="E522" s="97" t="str">
        <f>IF(games!I522&lt;&gt;"", games!I522, "")</f>
        <v/>
      </c>
    </row>
    <row r="523" spans="1:5" ht="28.5" customHeight="1">
      <c r="A523" s="73" t="str">
        <f>IF(games!A523="", "", games!A523)</f>
        <v/>
      </c>
      <c r="C523" s="57" t="str">
        <f t="shared" si="20"/>
        <v/>
      </c>
      <c r="D523" s="57" t="str">
        <f t="shared" si="21"/>
        <v/>
      </c>
      <c r="E523" s="97" t="str">
        <f>IF(games!I523&lt;&gt;"", games!I523, "")</f>
        <v/>
      </c>
    </row>
    <row r="524" spans="1:5" ht="28.5" customHeight="1">
      <c r="A524" s="73" t="str">
        <f>IF(games!A524="", "", games!A524)</f>
        <v/>
      </c>
      <c r="C524" s="57" t="str">
        <f t="shared" si="20"/>
        <v/>
      </c>
      <c r="D524" s="57" t="str">
        <f t="shared" si="21"/>
        <v/>
      </c>
      <c r="E524" s="97" t="str">
        <f>IF(games!I524&lt;&gt;"", games!I524, "")</f>
        <v/>
      </c>
    </row>
    <row r="525" spans="1:5" ht="28.5" customHeight="1">
      <c r="A525" s="73" t="str">
        <f>IF(games!A525="", "", games!A525)</f>
        <v/>
      </c>
      <c r="C525" s="57" t="str">
        <f t="shared" si="20"/>
        <v/>
      </c>
      <c r="D525" s="57" t="str">
        <f t="shared" si="21"/>
        <v/>
      </c>
      <c r="E525" s="97" t="str">
        <f>IF(games!I525&lt;&gt;"", games!I525, "")</f>
        <v/>
      </c>
    </row>
    <row r="526" spans="1:5" ht="28.5" customHeight="1">
      <c r="A526" s="73" t="str">
        <f>IF(games!A526="", "", games!A526)</f>
        <v/>
      </c>
      <c r="C526" s="57" t="str">
        <f t="shared" si="20"/>
        <v/>
      </c>
      <c r="D526" s="57" t="str">
        <f t="shared" si="21"/>
        <v/>
      </c>
      <c r="E526" s="97" t="str">
        <f>IF(games!I526&lt;&gt;"", games!I526, "")</f>
        <v/>
      </c>
    </row>
    <row r="527" spans="1:5" ht="28.5" customHeight="1">
      <c r="A527" s="73" t="str">
        <f>IF(games!A527="", "", games!A527)</f>
        <v/>
      </c>
      <c r="C527" s="57" t="str">
        <f t="shared" si="20"/>
        <v/>
      </c>
      <c r="D527" s="57" t="str">
        <f t="shared" si="21"/>
        <v/>
      </c>
      <c r="E527" s="97" t="str">
        <f>IF(games!I527&lt;&gt;"", games!I527, "")</f>
        <v/>
      </c>
    </row>
    <row r="528" spans="1:5" ht="28.5" customHeight="1">
      <c r="A528" s="73" t="str">
        <f>IF(games!A528="", "", games!A528)</f>
        <v/>
      </c>
      <c r="C528" s="57" t="str">
        <f t="shared" si="20"/>
        <v/>
      </c>
      <c r="D528" s="57" t="str">
        <f t="shared" si="21"/>
        <v/>
      </c>
      <c r="E528" s="97" t="str">
        <f>IF(games!I528&lt;&gt;"", games!I528, "")</f>
        <v/>
      </c>
    </row>
    <row r="529" spans="1:5" ht="28.5" customHeight="1">
      <c r="A529" s="73" t="str">
        <f>IF(games!A529="", "", games!A529)</f>
        <v/>
      </c>
      <c r="C529" s="57" t="str">
        <f t="shared" si="20"/>
        <v/>
      </c>
      <c r="D529" s="57" t="str">
        <f t="shared" si="21"/>
        <v/>
      </c>
      <c r="E529" s="97" t="str">
        <f>IF(games!I529&lt;&gt;"", games!I529, "")</f>
        <v/>
      </c>
    </row>
    <row r="530" spans="1:5" ht="28.5" customHeight="1">
      <c r="A530" s="73" t="str">
        <f>IF(games!A530="", "", games!A530)</f>
        <v/>
      </c>
      <c r="C530" s="57" t="str">
        <f t="shared" si="20"/>
        <v/>
      </c>
      <c r="D530" s="57" t="str">
        <f t="shared" si="21"/>
        <v/>
      </c>
      <c r="E530" s="97" t="str">
        <f>IF(games!I530&lt;&gt;"", games!I530, "")</f>
        <v/>
      </c>
    </row>
    <row r="531" spans="1:5" ht="28.5" customHeight="1">
      <c r="A531" s="73" t="str">
        <f>IF(games!A531="", "", games!A531)</f>
        <v/>
      </c>
      <c r="C531" s="57" t="str">
        <f t="shared" si="20"/>
        <v/>
      </c>
      <c r="D531" s="57" t="str">
        <f t="shared" si="21"/>
        <v/>
      </c>
      <c r="E531" s="97" t="str">
        <f>IF(games!I531&lt;&gt;"", games!I531, "")</f>
        <v/>
      </c>
    </row>
    <row r="532" spans="1:5" ht="28.5" customHeight="1">
      <c r="A532" s="73" t="str">
        <f>IF(games!A532="", "", games!A532)</f>
        <v/>
      </c>
      <c r="C532" s="57" t="str">
        <f t="shared" si="20"/>
        <v/>
      </c>
      <c r="D532" s="57" t="str">
        <f t="shared" si="21"/>
        <v/>
      </c>
      <c r="E532" s="97" t="str">
        <f>IF(games!I532&lt;&gt;"", games!I532, "")</f>
        <v/>
      </c>
    </row>
    <row r="533" spans="1:5" ht="28.5" customHeight="1">
      <c r="A533" s="73" t="str">
        <f>IF(games!A533="", "", games!A533)</f>
        <v/>
      </c>
      <c r="C533" s="57" t="str">
        <f t="shared" si="20"/>
        <v/>
      </c>
      <c r="D533" s="57" t="str">
        <f t="shared" si="21"/>
        <v/>
      </c>
      <c r="E533" s="97" t="str">
        <f>IF(games!I533&lt;&gt;"", games!I533, "")</f>
        <v/>
      </c>
    </row>
    <row r="534" spans="1:5" ht="28.5" customHeight="1">
      <c r="A534" s="73" t="str">
        <f>IF(games!A534="", "", games!A534)</f>
        <v/>
      </c>
      <c r="C534" s="57" t="str">
        <f t="shared" si="20"/>
        <v/>
      </c>
      <c r="D534" s="57" t="str">
        <f t="shared" si="21"/>
        <v/>
      </c>
      <c r="E534" s="97" t="str">
        <f>IF(games!I534&lt;&gt;"", games!I534, "")</f>
        <v/>
      </c>
    </row>
    <row r="535" spans="1:5" ht="28.5" customHeight="1">
      <c r="A535" s="73" t="str">
        <f>IF(games!A535="", "", games!A535)</f>
        <v/>
      </c>
      <c r="C535" s="57" t="str">
        <f t="shared" si="20"/>
        <v/>
      </c>
      <c r="D535" s="57" t="str">
        <f t="shared" si="21"/>
        <v/>
      </c>
      <c r="E535" s="97" t="str">
        <f>IF(games!I535&lt;&gt;"", games!I535, "")</f>
        <v/>
      </c>
    </row>
    <row r="536" spans="1:5" ht="28.5" customHeight="1">
      <c r="A536" s="73" t="str">
        <f>IF(games!A536="", "", games!A536)</f>
        <v/>
      </c>
      <c r="C536" s="57" t="str">
        <f t="shared" si="20"/>
        <v/>
      </c>
      <c r="D536" s="57" t="str">
        <f t="shared" si="21"/>
        <v/>
      </c>
      <c r="E536" s="97" t="str">
        <f>IF(games!I536&lt;&gt;"", games!I536, "")</f>
        <v/>
      </c>
    </row>
    <row r="537" spans="1:5" ht="28.5" customHeight="1">
      <c r="A537" s="73" t="str">
        <f>IF(games!A537="", "", games!A537)</f>
        <v/>
      </c>
      <c r="C537" s="57" t="str">
        <f t="shared" si="20"/>
        <v/>
      </c>
      <c r="D537" s="57" t="str">
        <f t="shared" si="21"/>
        <v/>
      </c>
      <c r="E537" s="97" t="str">
        <f>IF(games!I537&lt;&gt;"", games!I537, "")</f>
        <v/>
      </c>
    </row>
    <row r="538" spans="1:5" ht="28.5" customHeight="1">
      <c r="A538" s="73" t="str">
        <f>IF(games!A538="", "", games!A538)</f>
        <v/>
      </c>
      <c r="C538" s="57" t="str">
        <f t="shared" si="20"/>
        <v/>
      </c>
      <c r="D538" s="57" t="str">
        <f t="shared" si="21"/>
        <v/>
      </c>
      <c r="E538" s="97" t="str">
        <f>IF(games!I538&lt;&gt;"", games!I538, "")</f>
        <v/>
      </c>
    </row>
    <row r="539" spans="1:5" ht="28.5" customHeight="1">
      <c r="A539" s="73" t="str">
        <f>IF(games!A539="", "", games!A539)</f>
        <v/>
      </c>
      <c r="C539" s="57" t="str">
        <f t="shared" si="20"/>
        <v/>
      </c>
      <c r="D539" s="57" t="str">
        <f t="shared" si="21"/>
        <v/>
      </c>
      <c r="E539" s="97" t="str">
        <f>IF(games!I539&lt;&gt;"", games!I539, "")</f>
        <v/>
      </c>
    </row>
    <row r="540" spans="1:5" ht="28.5" customHeight="1">
      <c r="A540" s="73" t="str">
        <f>IF(games!A540="", "", games!A540)</f>
        <v/>
      </c>
      <c r="C540" s="57" t="str">
        <f t="shared" si="20"/>
        <v/>
      </c>
      <c r="D540" s="57" t="str">
        <f t="shared" si="21"/>
        <v/>
      </c>
      <c r="E540" s="97" t="str">
        <f>IF(games!I540&lt;&gt;"", games!I540, "")</f>
        <v/>
      </c>
    </row>
    <row r="541" spans="1:5" ht="28.5" customHeight="1">
      <c r="A541" s="73" t="str">
        <f>IF(games!A541="", "", games!A541)</f>
        <v/>
      </c>
      <c r="C541" s="57" t="str">
        <f t="shared" si="20"/>
        <v/>
      </c>
      <c r="D541" s="57" t="str">
        <f t="shared" si="21"/>
        <v/>
      </c>
      <c r="E541" s="97" t="str">
        <f>IF(games!I541&lt;&gt;"", games!I541, "")</f>
        <v/>
      </c>
    </row>
    <row r="542" spans="1:5" ht="28.5" customHeight="1">
      <c r="A542" s="73" t="str">
        <f>IF(games!A542="", "", games!A542)</f>
        <v/>
      </c>
      <c r="C542" s="57" t="str">
        <f t="shared" si="20"/>
        <v/>
      </c>
      <c r="D542" s="57" t="str">
        <f t="shared" si="21"/>
        <v/>
      </c>
      <c r="E542" s="97" t="str">
        <f>IF(games!I542&lt;&gt;"", games!I542, "")</f>
        <v/>
      </c>
    </row>
    <row r="543" spans="1:5" ht="28.5" customHeight="1">
      <c r="A543" s="73" t="str">
        <f>IF(games!A543="", "", games!A543)</f>
        <v/>
      </c>
      <c r="C543" s="57" t="str">
        <f t="shared" si="20"/>
        <v/>
      </c>
      <c r="D543" s="57" t="str">
        <f t="shared" si="21"/>
        <v/>
      </c>
      <c r="E543" s="97" t="str">
        <f>IF(games!I543&lt;&gt;"", games!I543, "")</f>
        <v/>
      </c>
    </row>
    <row r="544" spans="1:5" ht="28.5" customHeight="1">
      <c r="A544" s="73" t="str">
        <f>IF(games!A544="", "", games!A544)</f>
        <v/>
      </c>
      <c r="C544" s="57" t="str">
        <f t="shared" si="20"/>
        <v/>
      </c>
      <c r="D544" s="57" t="str">
        <f t="shared" si="21"/>
        <v/>
      </c>
      <c r="E544" s="97" t="str">
        <f>IF(games!I544&lt;&gt;"", games!I544, "")</f>
        <v/>
      </c>
    </row>
    <row r="545" spans="1:5" ht="28.5" customHeight="1">
      <c r="A545" s="73" t="str">
        <f>IF(games!A545="", "", games!A545)</f>
        <v/>
      </c>
      <c r="C545" s="57" t="str">
        <f t="shared" si="20"/>
        <v/>
      </c>
      <c r="D545" s="57" t="str">
        <f t="shared" si="21"/>
        <v/>
      </c>
      <c r="E545" s="97" t="str">
        <f>IF(games!I545&lt;&gt;"", games!I545, "")</f>
        <v/>
      </c>
    </row>
    <row r="546" spans="1:5" ht="28.5" customHeight="1">
      <c r="A546" s="73" t="str">
        <f>IF(games!A546="", "", games!A546)</f>
        <v/>
      </c>
      <c r="C546" s="57" t="str">
        <f t="shared" ref="C546:C581" si="22">IF(A546="","", "giftcodesbanner/" &amp; A546 &amp; "-禮包碼.jpg")</f>
        <v/>
      </c>
      <c r="D546" s="57" t="str">
        <f t="shared" ref="D546:D581" si="23">IF(A546="","", "https://www.ssbuy.tw/gift-codes.html?game="&amp;A546)</f>
        <v/>
      </c>
      <c r="E546" s="97" t="str">
        <f>IF(games!I546&lt;&gt;"", games!I546, "")</f>
        <v/>
      </c>
    </row>
    <row r="547" spans="1:5" ht="28.5" customHeight="1">
      <c r="A547" s="73" t="str">
        <f>IF(games!A547="", "", games!A547)</f>
        <v/>
      </c>
      <c r="C547" s="57" t="str">
        <f t="shared" si="22"/>
        <v/>
      </c>
      <c r="D547" s="57" t="str">
        <f t="shared" si="23"/>
        <v/>
      </c>
      <c r="E547" s="97" t="str">
        <f>IF(games!I547&lt;&gt;"", games!I547, "")</f>
        <v/>
      </c>
    </row>
    <row r="548" spans="1:5" ht="28.5" customHeight="1">
      <c r="A548" s="73" t="str">
        <f>IF(games!A548="", "", games!A548)</f>
        <v/>
      </c>
      <c r="C548" s="57" t="str">
        <f t="shared" si="22"/>
        <v/>
      </c>
      <c r="D548" s="57" t="str">
        <f t="shared" si="23"/>
        <v/>
      </c>
      <c r="E548" s="97" t="str">
        <f>IF(games!I548&lt;&gt;"", games!I548, "")</f>
        <v/>
      </c>
    </row>
    <row r="549" spans="1:5" ht="28.5" customHeight="1">
      <c r="A549" s="73" t="str">
        <f>IF(games!A549="", "", games!A549)</f>
        <v/>
      </c>
      <c r="C549" s="57" t="str">
        <f t="shared" si="22"/>
        <v/>
      </c>
      <c r="D549" s="57" t="str">
        <f t="shared" si="23"/>
        <v/>
      </c>
      <c r="E549" s="97" t="str">
        <f>IF(games!I549&lt;&gt;"", games!I549, "")</f>
        <v/>
      </c>
    </row>
    <row r="550" spans="1:5" ht="28.5" customHeight="1">
      <c r="A550" s="73" t="str">
        <f>IF(games!A550="", "", games!A550)</f>
        <v/>
      </c>
      <c r="C550" s="57" t="str">
        <f t="shared" si="22"/>
        <v/>
      </c>
      <c r="D550" s="57" t="str">
        <f t="shared" si="23"/>
        <v/>
      </c>
      <c r="E550" s="97" t="str">
        <f>IF(games!I550&lt;&gt;"", games!I550, "")</f>
        <v/>
      </c>
    </row>
    <row r="551" spans="1:5" ht="28.5" customHeight="1">
      <c r="A551" s="73" t="str">
        <f>IF(games!A551="", "", games!A551)</f>
        <v/>
      </c>
      <c r="C551" s="57" t="str">
        <f t="shared" si="22"/>
        <v/>
      </c>
      <c r="D551" s="57" t="str">
        <f t="shared" si="23"/>
        <v/>
      </c>
      <c r="E551" s="97" t="str">
        <f>IF(games!I551&lt;&gt;"", games!I551, "")</f>
        <v/>
      </c>
    </row>
    <row r="552" spans="1:5" ht="28.5" customHeight="1">
      <c r="A552" s="73" t="str">
        <f>IF(games!A552="", "", games!A552)</f>
        <v/>
      </c>
      <c r="C552" s="57" t="str">
        <f t="shared" si="22"/>
        <v/>
      </c>
      <c r="D552" s="57" t="str">
        <f t="shared" si="23"/>
        <v/>
      </c>
      <c r="E552" s="97" t="str">
        <f>IF(games!I552&lt;&gt;"", games!I552, "")</f>
        <v/>
      </c>
    </row>
    <row r="553" spans="1:5" ht="28.5" customHeight="1">
      <c r="A553" s="73" t="str">
        <f>IF(games!A553="", "", games!A553)</f>
        <v/>
      </c>
      <c r="C553" s="57" t="str">
        <f t="shared" si="22"/>
        <v/>
      </c>
      <c r="D553" s="57" t="str">
        <f t="shared" si="23"/>
        <v/>
      </c>
      <c r="E553" s="97" t="str">
        <f>IF(games!I553&lt;&gt;"", games!I553, "")</f>
        <v/>
      </c>
    </row>
    <row r="554" spans="1:5" ht="28.5" customHeight="1">
      <c r="A554" s="73" t="str">
        <f>IF(games!A554="", "", games!A554)</f>
        <v/>
      </c>
      <c r="C554" s="57" t="str">
        <f t="shared" si="22"/>
        <v/>
      </c>
      <c r="D554" s="57" t="str">
        <f t="shared" si="23"/>
        <v/>
      </c>
      <c r="E554" s="97" t="str">
        <f>IF(games!I554&lt;&gt;"", games!I554, "")</f>
        <v/>
      </c>
    </row>
    <row r="555" spans="1:5" ht="28.5" customHeight="1">
      <c r="A555" s="73" t="str">
        <f>IF(games!A555="", "", games!A555)</f>
        <v/>
      </c>
      <c r="C555" s="57" t="str">
        <f t="shared" si="22"/>
        <v/>
      </c>
      <c r="D555" s="57" t="str">
        <f t="shared" si="23"/>
        <v/>
      </c>
      <c r="E555" s="97" t="str">
        <f>IF(games!I555&lt;&gt;"", games!I555, "")</f>
        <v/>
      </c>
    </row>
    <row r="556" spans="1:5" ht="28.5" customHeight="1">
      <c r="A556" s="73" t="str">
        <f>IF(games!A556="", "", games!A556)</f>
        <v/>
      </c>
      <c r="C556" s="57" t="str">
        <f t="shared" si="22"/>
        <v/>
      </c>
      <c r="D556" s="57" t="str">
        <f t="shared" si="23"/>
        <v/>
      </c>
      <c r="E556" s="97" t="str">
        <f>IF(games!I556&lt;&gt;"", games!I556, "")</f>
        <v/>
      </c>
    </row>
    <row r="557" spans="1:5" ht="28.5" customHeight="1">
      <c r="A557" s="73" t="str">
        <f>IF(games!A557="", "", games!A557)</f>
        <v/>
      </c>
      <c r="C557" s="57" t="str">
        <f t="shared" si="22"/>
        <v/>
      </c>
      <c r="D557" s="57" t="str">
        <f t="shared" si="23"/>
        <v/>
      </c>
      <c r="E557" s="97" t="str">
        <f>IF(games!I557&lt;&gt;"", games!I557, "")</f>
        <v/>
      </c>
    </row>
    <row r="558" spans="1:5" ht="28.5" customHeight="1">
      <c r="A558" s="73" t="str">
        <f>IF(games!A558="", "", games!A558)</f>
        <v/>
      </c>
      <c r="C558" s="57" t="str">
        <f t="shared" si="22"/>
        <v/>
      </c>
      <c r="D558" s="57" t="str">
        <f t="shared" si="23"/>
        <v/>
      </c>
      <c r="E558" s="97" t="str">
        <f>IF(games!I558&lt;&gt;"", games!I558, "")</f>
        <v/>
      </c>
    </row>
    <row r="559" spans="1:5" ht="28.5" customHeight="1">
      <c r="A559" s="73" t="str">
        <f>IF(games!A559="", "", games!A559)</f>
        <v/>
      </c>
      <c r="C559" s="57" t="str">
        <f t="shared" si="22"/>
        <v/>
      </c>
      <c r="D559" s="57" t="str">
        <f t="shared" si="23"/>
        <v/>
      </c>
      <c r="E559" s="97" t="str">
        <f>IF(games!I559&lt;&gt;"", games!I559, "")</f>
        <v/>
      </c>
    </row>
    <row r="560" spans="1:5" ht="28.5" customHeight="1">
      <c r="A560" s="73" t="str">
        <f>IF(games!A560="", "", games!A560)</f>
        <v/>
      </c>
      <c r="C560" s="57" t="str">
        <f t="shared" si="22"/>
        <v/>
      </c>
      <c r="D560" s="57" t="str">
        <f t="shared" si="23"/>
        <v/>
      </c>
      <c r="E560" s="97" t="str">
        <f>IF(games!I560&lt;&gt;"", games!I560, "")</f>
        <v/>
      </c>
    </row>
    <row r="561" spans="1:5" ht="28.5" customHeight="1">
      <c r="A561" s="73" t="str">
        <f>IF(games!A561="", "", games!A561)</f>
        <v/>
      </c>
      <c r="C561" s="57" t="str">
        <f t="shared" si="22"/>
        <v/>
      </c>
      <c r="D561" s="57" t="str">
        <f t="shared" si="23"/>
        <v/>
      </c>
      <c r="E561" s="97" t="str">
        <f>IF(games!I561&lt;&gt;"", games!I561, "")</f>
        <v/>
      </c>
    </row>
    <row r="562" spans="1:5" ht="28.5" customHeight="1">
      <c r="A562" s="73" t="str">
        <f>IF(games!A562="", "", games!A562)</f>
        <v/>
      </c>
      <c r="C562" s="57" t="str">
        <f t="shared" si="22"/>
        <v/>
      </c>
      <c r="D562" s="57" t="str">
        <f t="shared" si="23"/>
        <v/>
      </c>
      <c r="E562" s="97" t="str">
        <f>IF(games!I562&lt;&gt;"", games!I562, "")</f>
        <v/>
      </c>
    </row>
    <row r="563" spans="1:5" ht="28.5" customHeight="1">
      <c r="A563" s="73" t="str">
        <f>IF(games!A563="", "", games!A563)</f>
        <v/>
      </c>
      <c r="C563" s="57" t="str">
        <f t="shared" si="22"/>
        <v/>
      </c>
      <c r="D563" s="57" t="str">
        <f t="shared" si="23"/>
        <v/>
      </c>
      <c r="E563" s="97" t="str">
        <f>IF(games!I563&lt;&gt;"", games!I563, "")</f>
        <v/>
      </c>
    </row>
    <row r="564" spans="1:5" ht="28.5" customHeight="1">
      <c r="A564" s="73" t="str">
        <f>IF(games!A564="", "", games!A564)</f>
        <v/>
      </c>
      <c r="C564" s="57" t="str">
        <f t="shared" si="22"/>
        <v/>
      </c>
      <c r="D564" s="57" t="str">
        <f t="shared" si="23"/>
        <v/>
      </c>
      <c r="E564" s="97" t="str">
        <f>IF(games!I564&lt;&gt;"", games!I564, "")</f>
        <v/>
      </c>
    </row>
    <row r="565" spans="1:5" ht="28.5" customHeight="1">
      <c r="A565" s="73" t="str">
        <f>IF(games!A565="", "", games!A565)</f>
        <v/>
      </c>
      <c r="C565" s="57" t="str">
        <f t="shared" si="22"/>
        <v/>
      </c>
      <c r="D565" s="57" t="str">
        <f t="shared" si="23"/>
        <v/>
      </c>
      <c r="E565" s="97" t="str">
        <f>IF(games!I565&lt;&gt;"", games!I565, "")</f>
        <v/>
      </c>
    </row>
    <row r="566" spans="1:5" ht="28.5" customHeight="1">
      <c r="A566" s="73" t="str">
        <f>IF(games!A566="", "", games!A566)</f>
        <v/>
      </c>
      <c r="C566" s="57" t="str">
        <f t="shared" si="22"/>
        <v/>
      </c>
      <c r="D566" s="57" t="str">
        <f t="shared" si="23"/>
        <v/>
      </c>
      <c r="E566" s="97" t="str">
        <f>IF(games!I566&lt;&gt;"", games!I566, "")</f>
        <v/>
      </c>
    </row>
    <row r="567" spans="1:5" ht="28.5" customHeight="1">
      <c r="A567" s="73" t="str">
        <f>IF(games!A567="", "", games!A567)</f>
        <v/>
      </c>
      <c r="C567" s="57" t="str">
        <f t="shared" si="22"/>
        <v/>
      </c>
      <c r="D567" s="57" t="str">
        <f t="shared" si="23"/>
        <v/>
      </c>
      <c r="E567" s="97" t="str">
        <f>IF(games!I567&lt;&gt;"", games!I567, "")</f>
        <v/>
      </c>
    </row>
    <row r="568" spans="1:5" ht="28.5" customHeight="1">
      <c r="A568" s="73" t="str">
        <f>IF(games!A568="", "", games!A568)</f>
        <v/>
      </c>
      <c r="C568" s="57" t="str">
        <f t="shared" si="22"/>
        <v/>
      </c>
      <c r="D568" s="57" t="str">
        <f t="shared" si="23"/>
        <v/>
      </c>
      <c r="E568" s="97" t="str">
        <f>IF(games!I568&lt;&gt;"", games!I568, "")</f>
        <v/>
      </c>
    </row>
    <row r="569" spans="1:5" ht="28.5" customHeight="1">
      <c r="A569" s="73" t="str">
        <f>IF(games!A569="", "", games!A569)</f>
        <v/>
      </c>
      <c r="C569" s="57" t="str">
        <f t="shared" si="22"/>
        <v/>
      </c>
      <c r="D569" s="57" t="str">
        <f t="shared" si="23"/>
        <v/>
      </c>
      <c r="E569" s="97" t="str">
        <f>IF(games!I569&lt;&gt;"", games!I569, "")</f>
        <v/>
      </c>
    </row>
    <row r="570" spans="1:5" ht="28.5" customHeight="1">
      <c r="A570" s="73" t="str">
        <f>IF(games!A570="", "", games!A570)</f>
        <v/>
      </c>
      <c r="C570" s="57" t="str">
        <f t="shared" si="22"/>
        <v/>
      </c>
      <c r="D570" s="57" t="str">
        <f t="shared" si="23"/>
        <v/>
      </c>
      <c r="E570" s="97" t="str">
        <f>IF(games!I570&lt;&gt;"", games!I570, "")</f>
        <v/>
      </c>
    </row>
    <row r="571" spans="1:5" ht="28.5" customHeight="1">
      <c r="A571" s="73" t="str">
        <f>IF(games!A571="", "", games!A571)</f>
        <v/>
      </c>
      <c r="C571" s="57" t="str">
        <f t="shared" si="22"/>
        <v/>
      </c>
      <c r="D571" s="57" t="str">
        <f t="shared" si="23"/>
        <v/>
      </c>
      <c r="E571" s="97" t="str">
        <f>IF(games!I571&lt;&gt;"", games!I571, "")</f>
        <v/>
      </c>
    </row>
    <row r="572" spans="1:5" ht="28.5" customHeight="1">
      <c r="A572" s="73" t="str">
        <f>IF(games!A572="", "", games!A572)</f>
        <v/>
      </c>
      <c r="C572" s="57" t="str">
        <f t="shared" si="22"/>
        <v/>
      </c>
      <c r="D572" s="57" t="str">
        <f t="shared" si="23"/>
        <v/>
      </c>
      <c r="E572" s="97" t="str">
        <f>IF(games!I572&lt;&gt;"", games!I572, "")</f>
        <v/>
      </c>
    </row>
    <row r="573" spans="1:5" ht="28.5" customHeight="1">
      <c r="A573" s="73" t="str">
        <f>IF(games!A573="", "", games!A573)</f>
        <v/>
      </c>
      <c r="C573" s="57" t="str">
        <f t="shared" si="22"/>
        <v/>
      </c>
      <c r="D573" s="57" t="str">
        <f t="shared" si="23"/>
        <v/>
      </c>
      <c r="E573" s="97" t="str">
        <f>IF(games!I573&lt;&gt;"", games!I573, "")</f>
        <v/>
      </c>
    </row>
    <row r="574" spans="1:5">
      <c r="A574" s="73" t="str">
        <f>IF(games!A574="", "", games!A574)</f>
        <v/>
      </c>
      <c r="C574" s="57" t="str">
        <f t="shared" si="22"/>
        <v/>
      </c>
      <c r="D574" s="57" t="str">
        <f t="shared" si="23"/>
        <v/>
      </c>
      <c r="E574" s="97" t="str">
        <f>IF(games!I574&lt;&gt;"", games!I574, "")</f>
        <v/>
      </c>
    </row>
    <row r="575" spans="1:5">
      <c r="A575" s="73" t="str">
        <f>IF(games!A575="", "", games!A575)</f>
        <v/>
      </c>
      <c r="C575" s="57" t="str">
        <f t="shared" si="22"/>
        <v/>
      </c>
      <c r="D575" s="57" t="str">
        <f t="shared" si="23"/>
        <v/>
      </c>
      <c r="E575" s="97" t="str">
        <f>IF(games!I575&lt;&gt;"", games!I575, "")</f>
        <v/>
      </c>
    </row>
    <row r="576" spans="1:5">
      <c r="A576" s="73" t="str">
        <f>IF(games!A576="", "", games!A576)</f>
        <v/>
      </c>
      <c r="C576" s="57" t="str">
        <f t="shared" si="22"/>
        <v/>
      </c>
      <c r="D576" s="57" t="str">
        <f t="shared" si="23"/>
        <v/>
      </c>
      <c r="E576" s="97" t="str">
        <f>IF(games!I576&lt;&gt;"", games!I576, "")</f>
        <v/>
      </c>
    </row>
    <row r="577" spans="1:5">
      <c r="A577" s="73" t="str">
        <f>IF(games!A577="", "", games!A577)</f>
        <v/>
      </c>
      <c r="C577" s="57" t="str">
        <f t="shared" si="22"/>
        <v/>
      </c>
      <c r="D577" s="57" t="str">
        <f t="shared" si="23"/>
        <v/>
      </c>
      <c r="E577" s="97" t="str">
        <f>IF(games!I577&lt;&gt;"", games!I577, "")</f>
        <v/>
      </c>
    </row>
    <row r="578" spans="1:5">
      <c r="A578" s="73" t="str">
        <f>IF(games!A578="", "", games!A578)</f>
        <v/>
      </c>
      <c r="C578" s="57" t="str">
        <f t="shared" si="22"/>
        <v/>
      </c>
      <c r="D578" s="57" t="str">
        <f t="shared" si="23"/>
        <v/>
      </c>
      <c r="E578" s="97" t="str">
        <f>IF(games!I578&lt;&gt;"", games!I578, "")</f>
        <v/>
      </c>
    </row>
    <row r="579" spans="1:5">
      <c r="A579" s="73" t="str">
        <f>IF(games!A579="", "", games!A579)</f>
        <v/>
      </c>
      <c r="C579" s="57" t="str">
        <f t="shared" si="22"/>
        <v/>
      </c>
      <c r="D579" s="57" t="str">
        <f t="shared" si="23"/>
        <v/>
      </c>
      <c r="E579" s="97" t="str">
        <f>IF(games!I579&lt;&gt;"", games!I579, "")</f>
        <v/>
      </c>
    </row>
    <row r="580" spans="1:5">
      <c r="A580" s="73" t="str">
        <f>IF(games!A580="", "", games!A580)</f>
        <v/>
      </c>
      <c r="C580" s="57" t="str">
        <f t="shared" si="22"/>
        <v/>
      </c>
      <c r="D580" s="57" t="str">
        <f t="shared" si="23"/>
        <v/>
      </c>
      <c r="E580" s="97" t="str">
        <f>IF(games!I580&lt;&gt;"", games!I580, "")</f>
        <v/>
      </c>
    </row>
    <row r="581" spans="1:5">
      <c r="A581" s="73" t="str">
        <f>IF(games!A581="", "", games!A581)</f>
        <v/>
      </c>
      <c r="C581" s="57" t="str">
        <f t="shared" si="22"/>
        <v/>
      </c>
      <c r="D581" s="57" t="str">
        <f t="shared" si="23"/>
        <v/>
      </c>
      <c r="E581" s="97" t="str">
        <f>IF(games!I581&lt;&gt;"", games!I581, "")</f>
        <v/>
      </c>
    </row>
    <row r="582" spans="1:5">
      <c r="A582" s="73" t="str">
        <f>IF(games!A582="", "", games!A582)</f>
        <v/>
      </c>
    </row>
    <row r="583" spans="1:5">
      <c r="A583" s="73"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s>
  <pageMargins left="0.7" right="0.7" top="0.75" bottom="0.75" header="0.3" footer="0.3"/>
  <pageSetup paperSize="9" orientation="portrait"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2026-03-18T10:48:26Z</dcterms:modified>
</cp:coreProperties>
</file>