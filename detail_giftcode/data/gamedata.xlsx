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616" i="3" l="1"/>
  <c r="E617" i="3"/>
  <c r="E618" i="3"/>
  <c r="E619" i="3"/>
  <c r="E620" i="3"/>
  <c r="E621" i="3"/>
  <c r="E622" i="3"/>
  <c r="E623" i="3"/>
  <c r="E624" i="3"/>
  <c r="E625" i="3"/>
  <c r="E626" i="3"/>
  <c r="E627" i="3"/>
  <c r="E628" i="3"/>
  <c r="E629" i="3"/>
  <c r="E630" i="3"/>
  <c r="E631" i="3"/>
  <c r="E632" i="3"/>
  <c r="E633" i="3"/>
  <c r="E634" i="3"/>
  <c r="E635" i="3"/>
  <c r="E636" i="3"/>
  <c r="E637" i="3"/>
  <c r="E638" i="3"/>
  <c r="E639" i="3"/>
  <c r="E640" i="3"/>
  <c r="E641" i="3"/>
  <c r="E642" i="3"/>
  <c r="E643" i="3"/>
  <c r="E644" i="3"/>
  <c r="E645" i="3"/>
  <c r="E646" i="3"/>
  <c r="E647" i="3"/>
  <c r="E648" i="3"/>
  <c r="E649" i="3"/>
  <c r="E650" i="3"/>
  <c r="E651" i="3"/>
  <c r="E652" i="3"/>
  <c r="E653" i="3"/>
  <c r="E654" i="3"/>
  <c r="E655" i="3"/>
  <c r="E656" i="3"/>
  <c r="E657" i="3"/>
  <c r="E658" i="3"/>
  <c r="E659" i="3"/>
  <c r="E660" i="3"/>
  <c r="E661" i="3"/>
  <c r="E662" i="3"/>
  <c r="E663" i="3"/>
  <c r="E664" i="3"/>
  <c r="E665" i="3"/>
  <c r="E666" i="3"/>
  <c r="E667" i="3"/>
  <c r="E668" i="3"/>
  <c r="E669" i="3"/>
  <c r="E670" i="3"/>
  <c r="E671" i="3"/>
  <c r="F616" i="3"/>
  <c r="F619" i="3"/>
  <c r="F620" i="3"/>
  <c r="F622" i="3"/>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606" i="3"/>
  <c r="F415" i="3"/>
  <c r="F414" i="3"/>
  <c r="F413" i="3"/>
  <c r="F427" i="3"/>
  <c r="F441" i="3"/>
  <c r="F439" i="3"/>
  <c r="F438" i="3"/>
  <c r="F437" i="3"/>
  <c r="F434" i="3"/>
  <c r="F433" i="3"/>
  <c r="F431" i="3"/>
  <c r="F430" i="3"/>
  <c r="F446" i="3"/>
  <c r="F452" i="3"/>
  <c r="F457" i="3"/>
  <c r="F456" i="3"/>
  <c r="F455" i="3"/>
  <c r="F465" i="3"/>
  <c r="F464" i="3"/>
  <c r="F463" i="3"/>
  <c r="F467" i="3"/>
  <c r="F472" i="3"/>
  <c r="F476" i="3"/>
  <c r="F475" i="3"/>
  <c r="F474" i="3"/>
  <c r="F484" i="3"/>
  <c r="F487" i="3"/>
  <c r="F488" i="3"/>
  <c r="F492" i="3"/>
  <c r="F491" i="3"/>
  <c r="F495" i="3"/>
  <c r="F498" i="3"/>
  <c r="F497" i="3"/>
  <c r="F507" i="3"/>
  <c r="F508" i="3"/>
  <c r="F512" i="3"/>
  <c r="F514" i="3"/>
  <c r="F516" i="3"/>
  <c r="F518" i="3"/>
  <c r="F523" i="3"/>
  <c r="F525" i="3"/>
  <c r="F527" i="3"/>
  <c r="F535" i="3"/>
  <c r="F534" i="3"/>
  <c r="F531" i="3"/>
  <c r="F530" i="3"/>
  <c r="F529" i="3"/>
  <c r="F542" i="3"/>
  <c r="F541" i="3"/>
  <c r="F547" i="3"/>
  <c r="F546" i="3"/>
  <c r="F545" i="3"/>
  <c r="F544" i="3"/>
  <c r="F549" i="3"/>
  <c r="F555" i="3"/>
  <c r="F554" i="3"/>
  <c r="F564" i="3"/>
  <c r="F561" i="3"/>
  <c r="F560" i="3"/>
  <c r="F559" i="3"/>
  <c r="F569" i="3"/>
  <c r="F577" i="3"/>
  <c r="F576" i="3"/>
  <c r="F580" i="3"/>
  <c r="F583" i="3"/>
  <c r="F586" i="3"/>
  <c r="F585" i="3"/>
  <c r="F590" i="3"/>
  <c r="F589" i="3"/>
  <c r="F588" i="3"/>
  <c r="F594" i="3"/>
  <c r="F593" i="3"/>
  <c r="F597" i="3"/>
  <c r="F601" i="3"/>
  <c r="F600" i="3"/>
  <c r="F604" i="3"/>
  <c r="F607" i="3"/>
  <c r="F608" i="3"/>
  <c r="F609" i="3"/>
  <c r="F615" i="3"/>
  <c r="F615" i="1"/>
  <c r="H615" i="1"/>
  <c r="F614" i="1"/>
  <c r="H614" i="1"/>
  <c r="F613" i="1"/>
  <c r="H613" i="1"/>
  <c r="F612" i="1"/>
  <c r="H612" i="1"/>
  <c r="F611" i="1"/>
  <c r="F610" i="1"/>
  <c r="F609" i="1"/>
  <c r="F608" i="1"/>
  <c r="F607" i="1"/>
  <c r="F606" i="1"/>
  <c r="F605" i="1"/>
  <c r="F604" i="1"/>
  <c r="F603" i="1"/>
  <c r="F602" i="1"/>
  <c r="F601" i="1"/>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E580" i="3" l="1"/>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C617" i="3"/>
  <c r="D617" i="3"/>
  <c r="C618" i="3"/>
  <c r="D618" i="3"/>
  <c r="C619" i="3"/>
  <c r="D619" i="3"/>
  <c r="C620" i="3"/>
  <c r="D620" i="3"/>
  <c r="C621" i="3"/>
  <c r="D621" i="3"/>
  <c r="C622" i="3"/>
  <c r="D622" i="3"/>
  <c r="C623" i="3"/>
  <c r="D623" i="3"/>
  <c r="C624" i="3"/>
  <c r="D624" i="3"/>
  <c r="C625" i="3"/>
  <c r="D625" i="3"/>
  <c r="C626" i="3"/>
  <c r="D626" i="3"/>
  <c r="C627" i="3"/>
  <c r="D627" i="3"/>
  <c r="C628" i="3"/>
  <c r="D628" i="3"/>
  <c r="C629" i="3"/>
  <c r="D629" i="3"/>
  <c r="C630" i="3"/>
  <c r="D630" i="3"/>
  <c r="C631" i="3"/>
  <c r="D631" i="3"/>
  <c r="C632" i="3"/>
  <c r="D632" i="3"/>
  <c r="C633" i="3"/>
  <c r="D633" i="3"/>
  <c r="C634" i="3"/>
  <c r="D634" i="3"/>
  <c r="C635" i="3"/>
  <c r="D635" i="3"/>
  <c r="C636" i="3"/>
  <c r="D636" i="3"/>
  <c r="C637" i="3"/>
  <c r="D637" i="3"/>
  <c r="C638" i="3"/>
  <c r="D638" i="3"/>
  <c r="C639" i="3"/>
  <c r="D639" i="3"/>
  <c r="C640" i="3"/>
  <c r="D640" i="3"/>
  <c r="C641" i="3"/>
  <c r="D641" i="3"/>
  <c r="C642" i="3"/>
  <c r="D642" i="3"/>
  <c r="C643" i="3"/>
  <c r="D643" i="3"/>
  <c r="C644" i="3"/>
  <c r="D644" i="3"/>
  <c r="C645" i="3"/>
  <c r="D645" i="3"/>
  <c r="C646" i="3"/>
  <c r="D646" i="3"/>
  <c r="C647" i="3"/>
  <c r="D647" i="3"/>
  <c r="C648" i="3"/>
  <c r="D648" i="3"/>
  <c r="C649" i="3"/>
  <c r="D649" i="3"/>
  <c r="C650" i="3"/>
  <c r="D650" i="3"/>
  <c r="C651" i="3"/>
  <c r="D651" i="3"/>
  <c r="C652" i="3"/>
  <c r="D652" i="3"/>
  <c r="C653" i="3"/>
  <c r="D653" i="3"/>
  <c r="C654" i="3"/>
  <c r="D654" i="3"/>
  <c r="C655" i="3"/>
  <c r="D655" i="3"/>
  <c r="C656" i="3"/>
  <c r="D656" i="3"/>
  <c r="C657" i="3"/>
  <c r="D657" i="3"/>
  <c r="C658" i="3"/>
  <c r="D658" i="3"/>
  <c r="C659" i="3"/>
  <c r="D659" i="3"/>
  <c r="C660" i="3"/>
  <c r="D660" i="3"/>
  <c r="C661" i="3"/>
  <c r="D661" i="3"/>
  <c r="C662" i="3"/>
  <c r="D662" i="3"/>
  <c r="C663" i="3"/>
  <c r="D663" i="3"/>
  <c r="C664" i="3"/>
  <c r="D664" i="3"/>
  <c r="C665" i="3"/>
  <c r="D665" i="3"/>
  <c r="C666" i="3"/>
  <c r="D666" i="3"/>
  <c r="C667" i="3"/>
  <c r="D667" i="3"/>
  <c r="C668" i="3"/>
  <c r="D668" i="3"/>
  <c r="C669" i="3"/>
  <c r="D669" i="3"/>
  <c r="C670" i="3"/>
  <c r="D670" i="3"/>
  <c r="C671" i="3"/>
  <c r="D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0" i="3" l="1"/>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<sst xmlns="http://schemas.openxmlformats.org/spreadsheetml/2006/main" count="16503" uniqueCount="10203">
  <si>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</si>
  <si>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</si>
  <si>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</si>
  <si>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</si>
  <si>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</si>
  <si>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</si>
  <si>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</si>
  <si>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</si>
  <si>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</si>
  <si>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</si>
  <si>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</si>
  <si>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</si>
  <si>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</si>
  <si>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</si>
  <si>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</si>
  <si>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</si>
  <si>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</si>
  <si>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</si>
  <si>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</si>
  <si>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</si>
  <si>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</si>
  <si>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</si>
  <si>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</si>
  <si>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</si>
  <si>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</si>
  <si>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</si>
  <si>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</si>
  <si>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</si>
  <si>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</si>
  <si>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</si>
  <si>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</si>
  <si>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</si>
  <si>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</si>
  <si>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</si>
  <si>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</si>
  <si>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</si>
  <si>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</si>
  <si>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</si>
  <si>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</si>
  <si>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</si>
  <si>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</si>
  <si>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</si>
  <si>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</si>
  <si>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</si>
  <si>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</si>
  <si>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</si>
  <si>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</si>
  <si>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</si>
  <si>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</si>
  <si>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</si>
  <si>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</si>
  <si>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</si>
  <si>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</si>
  <si>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</si>
  <si>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</si>
  <si>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</si>
  <si>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</si>
  <si>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</si>
  <si>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</si>
  <si>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</si>
  <si>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</si>
  <si>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</si>
  <si>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</si>
  <si>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</si>
  <si>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</si>
  <si>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</si>
  <si>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</si>
  <si>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</si>
  <si>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</si>
  <si>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</si>
  <si>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</si>
  <si>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</si>
  <si>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</si>
  <si>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</si>
  <si>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</si>
  <si>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</si>
  <si>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</si>
  <si>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</si>
  <si>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</si>
  <si>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</si>
  <si>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</si>
  <si>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</si>
  <si>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</si>
  <si>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</si>
  <si>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</si>
  <si>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</si>
  <si>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</si>
  <si>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</si>
  <si>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</si>
  <si>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</si>
  <si>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</si>
  <si>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</si>
  <si>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</si>
  <si>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</si>
  <si>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</si>
  <si>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</si>
  <si>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</si>
  <si>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</si>
  <si>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</si>
  <si>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</si>
  <si>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</si>
  <si>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</si>
  <si>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</si>
  <si>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</si>
  <si>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</si>
  <si>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</si>
  <si>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</si>
  <si>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</si>
  <si>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</si>
  <si>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</si>
  <si>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</si>
  <si>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</si>
  <si>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</si>
  <si>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</si>
  <si>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</si>
  <si>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</si>
  <si>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</si>
  <si>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</si>
  <si>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</si>
  <si>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</si>
  <si>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</si>
  <si>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</si>
  <si>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</si>
  <si>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</si>
  <si>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</si>
  <si>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</si>
  <si>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</si>
  <si>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</si>
  <si>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</si>
  <si>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</si>
  <si>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</si>
  <si>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</si>
  <si>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</si>
  <si>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</si>
  <si>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</si>
  <si>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</si>
  <si>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</si>
  <si>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</si>
  <si>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</si>
  <si>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</si>
  <si>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</si>
  <si>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</si>
  <si>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</si>
  <si>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</si>
  <si>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</si>
  <si>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</si>
  <si>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</si>
  <si>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</si>
  <si>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</si>
  <si>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</si>
  <si>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</si>
  <si>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</si>
  <si>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</si>
  <si>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</si>
  <si>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</si>
  <si>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</si>
  <si>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</si>
  <si>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</si>
  <si>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</si>
  <si>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</si>
  <si>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</si>
  <si>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</si>
  <si>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</si>
  <si>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</si>
  <si>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</si>
  <si>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</si>
  <si>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</si>
  <si>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</si>
  <si>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</si>
  <si>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</si>
  <si>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</si>
  <si>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</si>
  <si>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</si>
  <si>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</si>
  <si>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</si>
  <si>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</si>
  <si>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</si>
  <si>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</si>
  <si>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</si>
  <si>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</si>
  <si>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</si>
  <si>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</si>
  <si>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</si>
  <si>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</si>
  <si>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</si>
  <si>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</si>
  <si>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</si>
  <si>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</si>
  <si>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</si>
  <si>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</si>
  <si>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</si>
  <si>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</si>
  <si>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</si>
  <si>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</si>
  <si>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</si>
  <si>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</si>
  <si>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</si>
  <si>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</si>
  <si>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</si>
  <si>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</si>
  <si>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</si>
  <si>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</si>
  <si>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</si>
  <si>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</si>
  <si>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</si>
  <si>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</si>
  <si>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</si>
  <si>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</si>
  <si>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</si>
  <si>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</si>
  <si>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</si>
  <si>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</si>
  <si>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</si>
  <si>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</si>
  <si>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</si>
  <si>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</si>
  <si>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</si>
  <si>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</si>
  <si>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</si>
  <si>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</si>
  <si>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</si>
  <si>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</si>
  <si>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</si>
  <si>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</si>
  <si>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</si>
  <si>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</si>
  <si>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</si>
  <si>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</si>
  <si>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</si>
  <si>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</si>
  <si>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</si>
  <si>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</si>
  <si>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</si>
  <si>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</si>
  <si>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</si>
  <si>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</si>
  <si>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</si>
  <si>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</si>
  <si>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</si>
  <si>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</si>
  <si>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</si>
  <si>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</si>
  <si>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</si>
  <si>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</si>
  <si>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</si>
  <si>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</si>
  <si>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</si>
  <si>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</si>
  <si>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</si>
  <si>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</si>
  <si>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</si>
  <si>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</si>
  <si>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</si>
  <si>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</si>
  <si>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</si>
  <si>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</si>
  <si>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</si>
  <si>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</si>
  <si>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</si>
  <si>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</si>
  <si>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</si>
  <si>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</si>
  <si>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</si>
  <si>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</si>
  <si>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</si>
  <si>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</si>
  <si>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</si>
  <si>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</si>
  <si>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</si>
  <si>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</si>
  <si>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</si>
  <si>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</si>
  <si>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</si>
  <si>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</si>
  <si>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</si>
  <si>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</si>
  <si>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</si>
  <si>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</si>
  <si>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</si>
  <si>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</si>
  <si>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</si>
  <si>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</si>
  <si>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</si>
  <si>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</si>
  <si>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</si>
  <si>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</si>
  <si>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</si>
  <si>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</si>
  <si>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</si>
  <si>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</si>
  <si>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</si>
  <si>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</si>
  <si>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</si>
  <si>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</si>
  <si>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</si>
  <si>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</si>
  <si>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</si>
  <si>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</si>
  <si>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</si>
  <si>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</si>
  <si>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</si>
  <si>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</si>
  <si>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</si>
  <si>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</si>
  <si>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</si>
  <si>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</si>
  <si>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</si>
  <si>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</si>
  <si>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</si>
  <si>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</si>
  <si>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</si>
  <si>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</si>
  <si>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</si>
  <si>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</si>
  <si>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</si>
  <si>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</si>
  <si>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</si>
  <si>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</si>
  <si>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</si>
  <si>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</si>
  <si>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</si>
  <si>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</si>
  <si>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</si>
  <si>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</si>
  <si>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</si>
  <si>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</si>
  <si>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</si>
  <si>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</si>
  <si>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</si>
  <si>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</si>
  <si>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</si>
  <si>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</si>
  <si>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</si>
  <si>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</si>
  <si>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</si>
  <si>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</si>
  <si>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</si>
  <si>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</si>
  <si>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</si>
  <si>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</si>
  <si>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</si>
  <si>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</si>
  <si>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</si>
  <si>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</si>
  <si>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</si>
  <si>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</si>
  <si>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</si>
  <si>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</si>
  <si>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</si>
  <si>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</si>
  <si>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</si>
  <si>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</si>
  <si>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</si>
  <si>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</si>
  <si>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</si>
  <si>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</si>
  <si>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</si>
  <si>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</si>
  <si>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</si>
  <si>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</si>
  <si>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</si>
  <si>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</si>
  <si>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</si>
  <si>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</si>
  <si>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</si>
  <si>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</si>
  <si>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</si>
  <si>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</si>
  <si>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</si>
  <si>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</si>
  <si>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</si>
  <si>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</si>
  <si>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</si>
  <si>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</si>
  <si>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</si>
  <si>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</si>
  <si>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</si>
  <si>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</si>
  <si>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</si>
  <si>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</si>
  <si>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</si>
  <si>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</si>
  <si>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</si>
  <si>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</si>
  <si>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</si>
  <si>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</si>
  <si>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</si>
  <si>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</si>
  <si>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</si>
  <si>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</si>
  <si>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</si>
  <si>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</si>
  <si>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</si>
  <si>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</si>
  <si>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</si>
  <si>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</si>
  <si>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</si>
  <si>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</si>
  <si>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</si>
  <si>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</si>
  <si>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</si>
  <si>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</si>
  <si>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</si>
  <si>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</si>
  <si>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</si>
  <si>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</si>
  <si>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</si>
  <si>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</si>
  <si>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</si>
  <si>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</si>
  <si>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</si>
  <si>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</si>
  <si>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</si>
  <si>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</si>
  <si>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</si>
  <si>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</si>
  <si>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</si>
  <si>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</si>
  <si>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</si>
  <si>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</si>
  <si>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</si>
  <si>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</si>
  <si>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</si>
  <si>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</si>
  <si>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</si>
  <si>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</si>
  <si>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</si>
  <si>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</si>
  <si>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</si>
  <si>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</si>
  <si>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</si>
  <si>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</si>
  <si>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</si>
  <si>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</si>
  <si>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</si>
  <si>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</si>
  <si>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</si>
  <si>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</si>
  <si>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</si>
  <si>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</si>
  <si>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</si>
  <si>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</si>
  <si>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</si>
  <si>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</si>
  <si>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</si>
  <si>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</si>
  <si>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</si>
  <si>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</si>
  <si>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</si>
  <si>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</si>
  <si>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</si>
  <si>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</si>
  <si>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</si>
  <si>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</si>
  <si>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</si>
  <si>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</si>
  <si>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</si>
  <si>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</si>
  <si>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</si>
  <si>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</si>
  <si>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</si>
  <si>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</si>
  <si>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</si>
  <si>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</si>
  <si>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</si>
  <si>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</si>
  <si>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</si>
  <si>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</si>
  <si>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</si>
  <si>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</si>
  <si>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</si>
  <si>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</si>
  <si>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</si>
  <si>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</si>
  <si>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</si>
  <si>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</si>
  <si>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</si>
  <si>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</si>
  <si>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</si>
  <si>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</si>
  <si>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</si>
  <si>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</si>
  <si>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</si>
  <si>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</si>
  <si>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</si>
  <si>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</si>
  <si>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</si>
  <si>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</si>
  <si>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</si>
  <si>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</si>
  <si>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</si>
  <si>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</si>
  <si>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</si>
  <si>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</si>
  <si>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</si>
  <si>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</si>
  <si>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</si>
  <si>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</si>
  <si>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</si>
  <si>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</si>
  <si>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</si>
  <si>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</si>
  <si>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</si>
  <si>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</si>
  <si>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</si>
  <si>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</si>
  <si>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</si>
  <si>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</si>
  <si>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</si>
  <si>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</si>
  <si>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</si>
  <si>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</si>
  <si>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</si>
  <si>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</si>
  <si>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</si>
  <si>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</si>
  <si>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</si>
  <si>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</si>
  <si>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</si>
  <si>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</si>
  <si>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</si>
  <si>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</si>
  <si>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</si>
  <si>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</si>
  <si>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</si>
  <si>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</si>
  <si>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</si>
  <si>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</si>
  <si>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</si>
  <si>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</si>
  <si>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</si>
  <si>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</si>
  <si>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</si>
  <si>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</si>
  <si>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</si>
  <si>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</si>
  <si>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</si>
  <si>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</si>
  <si>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</si>
  <si>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</si>
  <si>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</si>
  <si>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</si>
  <si>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</si>
  <si>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</si>
  <si>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</si>
  <si>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</si>
  <si>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</si>
  <si>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</si>
  <si>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</si>
  <si>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</si>
  <si>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</si>
  <si>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</si>
  <si>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</si>
  <si>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</si>
  <si>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</si>
  <si>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</si>
  <si>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</si>
  <si>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</si>
  <si>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</si>
  <si>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</si>
  <si>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</si>
  <si>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</si>
  <si>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</si>
  <si>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</si>
  <si>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</si>
  <si>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</si>
  <si>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</si>
  <si>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</si>
  <si>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</si>
  <si>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</si>
  <si>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</si>
  <si>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</si>
  <si>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</si>
  <si>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</si>
  <si>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</si>
  <si>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</si>
  <si>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</si>
  <si>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</si>
  <si>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</si>
  <si>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</si>
  <si>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</si>
  <si>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</si>
  <si>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</si>
  <si>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</si>
  <si>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</si>
  <si>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</si>
  <si>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</si>
  <si>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</si>
  <si>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</si>
  <si>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</si>
  <si>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</si>
  <si>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</si>
  <si>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</si>
  <si>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</si>
  <si>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</si>
  <si>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</si>
  <si>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</si>
  <si>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</si>
  <si>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</si>
  <si>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</si>
  <si>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</si>
  <si>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</si>
  <si>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</si>
  <si>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</si>
  <si>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</si>
  <si>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</si>
  <si>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</si>
  <si>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</si>
  <si>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</si>
  <si>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</si>
  <si>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</si>
  <si>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</si>
  <si>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</si>
  <si>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</si>
  <si>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</si>
  <si>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</si>
  <si>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</si>
  <si>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</si>
  <si>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</si>
  <si>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</si>
  <si>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</si>
  <si>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</si>
  <si>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</si>
  <si>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</si>
  <si>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</si>
  <si>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</si>
  <si>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</si>
  <si>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</si>
  <si>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</si>
  <si>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</si>
  <si>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</si>
  <si>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</si>
  <si>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</si>
  <si>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</si>
  <si>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</si>
  <si>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</si>
  <si>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</si>
  <si>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</si>
  <si>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</si>
  <si>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</si>
  <si>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</si>
  <si>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</si>
  <si>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</si>
  <si>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</si>
  <si>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</si>
  <si>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</si>
  <si>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</si>
  <si>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</si>
  <si>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</si>
  <si>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</si>
  <si>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</si>
  <si>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</si>
  <si>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</si>
  <si>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</si>
  <si>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</si>
  <si>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</si>
  <si>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</si>
  <si>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</si>
  <si>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</si>
  <si>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</si>
  <si>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</si>
  <si>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</si>
  <si>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</si>
  <si>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</si>
  <si>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</si>
  <si>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</si>
  <si>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</si>
  <si>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</si>
  <si>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</si>
  <si>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</si>
  <si>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</si>
  <si>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</si>
  <si>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</si>
  <si>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</si>
  <si>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</si>
  <si>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</si>
  <si>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</si>
  <si>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</si>
  <si>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</si>
  <si>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</si>
  <si>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</si>
  <si>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</si>
  <si>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</si>
  <si>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</si>
  <si>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</si>
  <si>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</si>
  <si>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</si>
  <si>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</si>
  <si>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</si>
  <si>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</si>
  <si>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</si>
  <si>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</si>
  <si>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</si>
  <si>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</si>
  <si>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</si>
  <si>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</si>
  <si>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</si>
  <si>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</si>
  <si>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</si>
  <si>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</si>
  <si>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</si>
  <si>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</si>
  <si>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</si>
  <si>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</si>
  <si>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</si>
  <si>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</si>
  <si>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</si>
  <si>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</si>
  <si>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</si>
  <si>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</si>
  <si>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</si>
  <si>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</si>
  <si>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</si>
  <si>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</si>
  <si>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</si>
  <si>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</si>
  <si>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</si>
  <si>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</si>
  <si>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</si>
  <si>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</si>
  <si>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</si>
  <si>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</si>
  <si>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</si>
  <si>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</si>
  <si>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</si>
  <si>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</si>
  <si>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</si>
  <si>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</si>
  <si>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</si>
  <si>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</si>
  <si>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</si>
  <si>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</si>
  <si>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</si>
  <si>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</si>
  <si>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</si>
  <si>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</si>
  <si>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</si>
  <si>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</si>
  <si>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</si>
  <si>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</si>
  <si>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</si>
  <si>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</si>
  <si>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</si>
  <si>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</si>
  <si>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</si>
  <si>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</si>
  <si>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</si>
  <si>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</si>
  <si>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</si>
  <si>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</si>
  <si>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</si>
  <si>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</si>
  <si>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</si>
  <si>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</si>
  <si>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</si>
  <si>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</si>
  <si>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</si>
  <si>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</si>
  <si>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</si>
  <si>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</si>
  <si>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</si>
  <si>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</si>
  <si>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</si>
  <si>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</si>
  <si>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</si>
  <si>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</si>
  <si>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</si>
  <si>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</si>
  <si>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</si>
  <si>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</si>
  <si>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</si>
  <si>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</si>
  <si>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</si>
  <si>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</si>
  <si>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</si>
  <si>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</si>
  <si>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</si>
  <si>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</si>
  <si>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</si>
  <si>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</si>
  <si>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</si>
  <si>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</si>
  <si>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</si>
  <si>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</si>
  <si>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</si>
  <si>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</si>
  <si>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</si>
  <si>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</si>
  <si>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</si>
  <si>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</si>
  <si>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</si>
  <si>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</si>
  <si>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</si>
  <si>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</si>
  <si>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</si>
  <si>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</si>
  <si>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</si>
  <si>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</si>
  <si>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</si>
  <si>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</si>
  <si>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</si>
  <si>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</si>
  <si>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</si>
  <si>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</si>
  <si>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</si>
  <si>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</si>
  <si>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</si>
  <si>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</si>
  <si>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</si>
  <si>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</si>
  <si>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</si>
  <si>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</si>
  <si>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</si>
  <si>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</si>
  <si>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</si>
  <si>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</si>
  <si>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</si>
  <si>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</si>
  <si>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</si>
  <si>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</si>
  <si>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</si>
  <si>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</si>
  <si>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</si>
  <si>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</si>
  <si>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</si>
  <si>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</si>
  <si>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</si>
  <si>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</si>
  <si>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</si>
  <si>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</si>
  <si>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</si>
  <si>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</si>
  <si>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</si>
  <si>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</si>
  <si>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</si>
  <si>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</si>
  <si>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</si>
  <si>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</si>
  <si>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</si>
  <si>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</si>
  <si>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</si>
  <si>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</si>
  <si>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</si>
  <si>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</si>
  <si>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</si>
  <si>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</si>
  <si>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</si>
  <si>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</si>
  <si>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</si>
  <si>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</si>
  <si>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</si>
  <si>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</si>
  <si>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</si>
  <si>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</si>
  <si>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</si>
  <si>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</si>
  <si>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</si>
  <si>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</si>
  <si>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</si>
  <si>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</si>
  <si>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</si>
  <si>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</si>
  <si>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</si>
  <si>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</si>
  <si>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</si>
  <si>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</si>
  <si>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</si>
  <si>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</si>
  <si>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</si>
  <si>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</si>
  <si>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</si>
  <si>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</si>
  <si>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</si>
  <si>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</si>
  <si>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</si>
  <si>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</si>
  <si>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</si>
  <si>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</si>
  <si>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</si>
  <si>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</si>
  <si>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</si>
  <si>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</si>
  <si>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</si>
  <si>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</si>
  <si>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</si>
  <si>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</si>
  <si>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</si>
  <si>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</si>
  <si>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</si>
  <si>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</si>
  <si>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</si>
  <si>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</si>
  <si>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</si>
  <si>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</si>
  <si>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</si>
  <si>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</si>
  <si>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</si>
  <si>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</si>
  <si>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</si>
  <si>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</si>
  <si>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</si>
  <si>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</si>
  <si>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</si>
  <si>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</si>
  <si>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</si>
  <si>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</si>
  <si>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</si>
  <si>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</si>
  <si>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</si>
  <si>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</si>
  <si>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</si>
  <si>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</si>
  <si>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</si>
  <si>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</si>
  <si>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</si>
  <si>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</si>
  <si>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</si>
  <si>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</si>
  <si>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</si>
  <si>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</si>
  <si>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</si>
  <si>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</si>
  <si>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</si>
  <si>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</si>
  <si>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</si>
  <si>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</si>
  <si>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</si>
  <si>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</si>
  <si>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</si>
  <si>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</si>
  <si>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</si>
  <si>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</si>
  <si>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</si>
  <si>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</si>
  <si>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</si>
  <si>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</si>
  <si>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</si>
  <si>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</si>
  <si>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</si>
  <si>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</si>
  <si>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</si>
  <si>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</si>
  <si>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</si>
  <si>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</si>
  <si>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</si>
  <si>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</si>
  <si>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</si>
  <si>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</si>
  <si>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</si>
  <si>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</si>
  <si>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</si>
  <si>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</si>
  <si>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</si>
  <si>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</si>
  <si>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</si>
  <si>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</si>
  <si>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</si>
  <si>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</si>
  <si>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</si>
  <si>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</si>
  <si>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</si>
  <si>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</si>
  <si>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</si>
  <si>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</si>
  <si>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</si>
  <si>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</si>
  <si>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</si>
  <si>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</si>
  <si>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</si>
  <si>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</si>
  <si>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</si>
  <si>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</si>
  <si>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</si>
  <si>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</si>
  <si>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</si>
  <si>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</si>
  <si>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</si>
  <si>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</si>
  <si>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</si>
  <si>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</si>
  <si>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</si>
  <si>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</si>
  <si>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</si>
  <si>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</si>
  <si>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</si>
  <si>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</si>
  <si>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</si>
  <si>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</si>
  <si>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</si>
  <si>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</si>
  <si>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</si>
  <si>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</si>
  <si>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</si>
  <si>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</si>
  <si>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</si>
  <si>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</si>
  <si>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</si>
  <si>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</si>
  <si>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</si>
  <si>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</si>
  <si>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</si>
  <si>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</si>
  <si>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</si>
  <si>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</si>
  <si>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</si>
  <si>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</si>
  <si>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</si>
  <si>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</si>
  <si>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</si>
  <si>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</si>
  <si>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</si>
  <si>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</si>
  <si>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</si>
  <si>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</si>
  <si>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</si>
  <si>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</si>
  <si>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</si>
  <si>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</si>
  <si>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</si>
  <si>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</si>
  <si>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</si>
  <si>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</si>
  <si>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</si>
  <si>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</si>
  <si>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</si>
  <si>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</si>
  <si>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</si>
  <si>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</si>
  <si>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</si>
  <si>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</si>
  <si>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</si>
  <si>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</si>
  <si>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</si>
  <si>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</si>
  <si>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</si>
  <si>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</si>
  <si>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</si>
  <si>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</si>
  <si>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</si>
  <si>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</si>
  <si>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</si>
  <si>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</si>
  <si>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</si>
  <si>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</si>
  <si>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</si>
  <si>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</si>
  <si>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</si>
  <si>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</si>
  <si>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</si>
  <si>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</si>
  <si>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</si>
  <si>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</si>
  <si>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</si>
  <si>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</si>
  <si>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</si>
  <si>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</si>
  <si>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</si>
  <si>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</si>
  <si>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</si>
  <si>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</si>
  <si>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</si>
  <si>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</si>
  <si>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</si>
  <si>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</si>
  <si>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</si>
  <si>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</si>
  <si>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</si>
  <si>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</si>
  <si>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</si>
  <si>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</si>
  <si>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</si>
  <si>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</si>
  <si>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</si>
  <si>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</si>
  <si>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</si>
  <si>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</si>
  <si>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</si>
  <si>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</si>
  <si>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</si>
  <si>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</si>
  <si>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</si>
  <si>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</si>
  <si>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</si>
  <si>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</si>
  <si>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</si>
  <si>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</si>
  <si>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</si>
  <si>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</si>
  <si>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</si>
  <si>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</si>
  <si>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</si>
  <si>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</si>
  <si>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</si>
  <si>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</si>
  <si>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</si>
  <si>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</si>
  <si>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</si>
  <si>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</si>
  <si>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</si>
  <si>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</si>
  <si>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</si>
  <si>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</si>
  <si>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</si>
  <si>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</si>
  <si>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</si>
  <si>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</si>
  <si>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</si>
  <si>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</si>
  <si>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</si>
  <si>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</si>
  <si>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</si>
  <si>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</si>
  <si>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</si>
  <si>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</si>
  <si>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</si>
  <si>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</si>
  <si>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</si>
  <si>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</si>
  <si>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</si>
  <si>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</si>
  <si>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</si>
  <si>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</si>
  <si>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</si>
  <si>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</si>
  <si>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</si>
  <si>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</si>
  <si>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</si>
  <si>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</si>
  <si>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</si>
  <si>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</si>
  <si>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</si>
  <si>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</si>
  <si>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</si>
  <si>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</si>
  <si>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</si>
  <si>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</si>
  <si>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</si>
  <si>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</si>
  <si>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</si>
  <si>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</si>
  <si>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</si>
  <si>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</si>
  <si>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</si>
  <si>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</si>
  <si>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</si>
  <si>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</si>
  <si>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</si>
  <si>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</si>
  <si>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</si>
  <si>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</si>
  <si>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</si>
  <si>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</si>
  <si>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</si>
  <si>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</si>
  <si>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</si>
  <si>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</si>
  <si>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</si>
  <si>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</si>
  <si>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</si>
  <si>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</si>
  <si>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</si>
  <si>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</si>
  <si>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</si>
  <si>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</si>
  <si>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</si>
  <si>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</si>
  <si>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</si>
  <si>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</si>
  <si>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</si>
  <si>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</si>
  <si>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</si>
  <si>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</si>
  <si>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</si>
  <si>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</si>
  <si>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</si>
  <si>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</si>
  <si>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</si>
  <si>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</si>
  <si>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</si>
  <si>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</si>
  <si>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</si>
  <si>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</si>
  <si>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</si>
  <si>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</si>
  <si>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</si>
  <si>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</si>
  <si>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</si>
  <si>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</si>
  <si>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</si>
  <si>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</si>
  <si>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</si>
  <si>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</si>
  <si>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</si>
  <si>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</si>
  <si>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</si>
  <si>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</si>
  <si>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</si>
  <si>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</si>
  <si>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</si>
  <si>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</si>
  <si>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</si>
  <si>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</si>
  <si>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</si>
  <si>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</si>
  <si>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</si>
  <si>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</si>
  <si>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</si>
  <si>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</si>
  <si>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</si>
  <si>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</si>
  <si>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</si>
  <si>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</si>
  <si>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</si>
  <si>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</si>
  <si>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</si>
  <si>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</si>
  <si>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</si>
  <si>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</si>
  <si>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</si>
  <si>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</si>
  <si>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</si>
  <si>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</si>
  <si>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</si>
  <si>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</si>
  <si>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</si>
  <si>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</si>
  <si>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</si>
  <si>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</si>
  <si>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</si>
  <si>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</si>
  <si>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</si>
  <si>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</si>
  <si>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</si>
  <si>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</si>
  <si>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</si>
  <si>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</si>
  <si>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</si>
  <si>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</si>
  <si>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</si>
  <si>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</si>
  <si>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</si>
  <si>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</si>
  <si>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</si>
  <si>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</si>
  <si>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</si>
  <si>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</si>
  <si>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</si>
  <si>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</si>
  <si>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</si>
  <si>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</si>
  <si>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</si>
  <si>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</si>
  <si>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</si>
  <si>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</si>
  <si>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</si>
  <si>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</si>
  <si>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</si>
  <si>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</si>
  <si>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</si>
  <si>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</si>
  <si>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</si>
  <si>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</si>
  <si>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</si>
  <si>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</si>
  <si>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</si>
  <si>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</si>
  <si>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</si>
  <si>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</si>
  <si>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</si>
  <si>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</si>
  <si>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</si>
  <si>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</si>
  <si>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</si>
  <si>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</si>
  <si>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</si>
  <si>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</si>
  <si>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</si>
  <si>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</si>
  <si>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</si>
  <si>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</si>
  <si>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</si>
  <si>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</si>
  <si>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</si>
  <si>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</si>
  <si>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</si>
  <si>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</si>
  <si>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</si>
  <si>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</si>
  <si>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</si>
  <si>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</si>
  <si>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</si>
  <si>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</si>
  <si>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</si>
  <si>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</si>
  <si>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</si>
  <si>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</si>
  <si>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</si>
  <si>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</si>
  <si>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</si>
  <si>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</si>
  <si>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</si>
  <si>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</si>
  <si>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</si>
  <si>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</si>
  <si>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</si>
  <si>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</si>
  <si>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</si>
  <si>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</si>
  <si>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</si>
  <si>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</si>
  <si>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</si>
  <si>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</si>
  <si>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</si>
  <si>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</si>
  <si>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</si>
  <si>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</si>
  <si>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</si>
  <si>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</si>
  <si>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</si>
  <si>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</si>
  <si>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</si>
  <si>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</si>
  <si>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</si>
  <si>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</si>
  <si>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</si>
  <si>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</si>
  <si>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</si>
  <si>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</si>
  <si>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</si>
  <si>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</si>
  <si>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</si>
  <si>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</si>
  <si>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</si>
  <si>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</si>
  <si>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</si>
  <si>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</si>
  <si>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</si>
  <si>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</si>
  <si>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</si>
  <si>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</si>
  <si>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</si>
  <si>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</si>
  <si>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</si>
  <si>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</si>
  <si>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</si>
  <si>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</si>
  <si>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</si>
  <si>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</si>
  <si>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</si>
  <si>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</si>
  <si>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</si>
  <si>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</si>
  <si>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</si>
  <si>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</si>
  <si>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</si>
  <si>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</si>
  <si>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</si>
  <si>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</si>
  <si>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</si>
  <si>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</si>
  <si>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</si>
  <si>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</si>
  <si>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</si>
  <si>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</si>
  <si>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</si>
  <si>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</si>
  <si>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</si>
  <si>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</si>
  <si>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</si>
  <si>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</si>
  <si>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</si>
  <si>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</si>
  <si>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</si>
  <si>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</si>
  <si>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</si>
  <si>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</si>
  <si>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</si>
  <si>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</si>
  <si>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</si>
  <si>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</si>
  <si>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</si>
  <si>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</si>
  <si>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</si>
  <si>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</si>
  <si>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</si>
  <si>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</si>
  <si>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</si>
  <si>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</si>
  <si>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</si>
  <si>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</si>
  <si>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</si>
  <si>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</si>
  <si>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</si>
  <si>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</si>
  <si>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</si>
  <si>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</si>
  <si>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</si>
  <si>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</si>
  <si>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</si>
  <si>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</si>
  <si>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</si>
  <si>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</si>
  <si>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</si>
  <si>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</si>
  <si>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</si>
  <si>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</si>
  <si>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</si>
  <si>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</si>
  <si>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</si>
  <si>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</si>
  <si>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</si>
  <si>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</si>
  <si>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</si>
  <si>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</si>
  <si>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</si>
  <si>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</si>
  <si>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</si>
  <si>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</si>
  <si>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</si>
  <si>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</si>
  <si>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</si>
  <si>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</si>
  <si>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</si>
  <si>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</si>
  <si>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</si>
  <si>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</si>
  <si>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</si>
  <si>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</si>
  <si>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</si>
  <si>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</si>
  <si>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</si>
  <si>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</si>
  <si>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</si>
  <si>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</si>
  <si>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</si>
  <si>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</si>
  <si>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</si>
  <si>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</si>
  <si>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</si>
  <si>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</si>
  <si>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</si>
  <si>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</si>
  <si>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</si>
  <si>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</si>
  <si>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</si>
  <si>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</si>
  <si>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</si>
  <si>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</si>
  <si>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</si>
  <si>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</si>
  <si>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</si>
  <si>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</si>
  <si>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</si>
  <si>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</si>
  <si>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</si>
  <si>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</si>
  <si>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</si>
  <si>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</si>
  <si>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</si>
  <si>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</si>
  <si>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</si>
  <si>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</si>
  <si>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</si>
  <si>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</si>
  <si>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</si>
  <si>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</si>
  <si>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</si>
  <si>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</si>
  <si>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</si>
  <si>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</si>
  <si>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</si>
  <si>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</si>
  <si>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</si>
  <si>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</si>
  <si>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</si>
  <si>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</si>
  <si>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</si>
  <si>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</si>
  <si>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</si>
  <si>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</si>
  <si>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</si>
  <si>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</si>
  <si>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</si>
  <si>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</si>
  <si>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</si>
  <si>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</si>
  <si>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</si>
  <si>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</si>
  <si>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</si>
  <si>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</si>
  <si>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</si>
  <si>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</si>
  <si>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</si>
  <si>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</si>
  <si>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</si>
  <si>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</si>
  <si>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</si>
  <si>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</si>
  <si>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</si>
  <si>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</si>
  <si>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</si>
  <si>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</si>
  <si>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</si>
  <si>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</si>
  <si>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</si>
  <si>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</si>
  <si>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</si>
  <si>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</si>
  <si>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</si>
  <si>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</si>
  <si>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</si>
  <si>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</si>
  <si>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</si>
  <si>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</si>
  <si>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</si>
  <si>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</si>
  <si>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</si>
  <si>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</si>
  <si>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</si>
  <si>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</si>
  <si>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</si>
  <si>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</si>
  <si>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</si>
  <si>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</si>
  <si>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</si>
  <si>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</si>
  <si>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</si>
  <si>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</si>
  <si>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</si>
  <si>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</si>
  <si>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</si>
  <si>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</si>
  <si>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</si>
  <si>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</si>
  <si>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</si>
  <si>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</si>
  <si>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</si>
  <si>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</si>
  <si>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</si>
  <si>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</si>
  <si>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</si>
  <si>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</si>
  <si>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</si>
  <si>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</si>
  <si>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</si>
  <si>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</si>
  <si>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</si>
  <si>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</si>
  <si>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</si>
  <si>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</si>
  <si>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</si>
  <si>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</si>
  <si>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</si>
  <si>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</si>
  <si>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</si>
  <si>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</si>
  <si>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</si>
  <si>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</si>
  <si>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</si>
  <si>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</si>
  <si>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</si>
  <si>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</si>
  <si>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</si>
  <si>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</si>
  <si>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</si>
  <si>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</si>
  <si>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</si>
  <si>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</si>
  <si>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</si>
  <si>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</si>
  <si>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</si>
  <si>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</si>
  <si>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</si>
  <si>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</si>
  <si>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</si>
  <si>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</si>
  <si>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</si>
  <si>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</si>
  <si>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</si>
  <si>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</si>
  <si>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</si>
  <si>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</si>
  <si>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</si>
  <si>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</si>
  <si>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</si>
  <si>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</si>
  <si>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</si>
  <si>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</si>
  <si>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</si>
  <si>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</si>
  <si>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</si>
  <si>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</si>
  <si>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</si>
  <si>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</si>
  <si>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</si>
  <si>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</si>
  <si>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</si>
  <si>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</si>
  <si>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</si>
  <si>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</si>
  <si>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</si>
  <si>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</si>
  <si>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</si>
  <si>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</si>
  <si>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</si>
  <si>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</si>
  <si>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</si>
  <si>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</si>
  <si>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</si>
  <si>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</si>
  <si>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</si>
  <si>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</si>
  <si>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</si>
  <si>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</si>
  <si>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</si>
  <si>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</si>
  <si>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</si>
  <si>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</si>
  <si>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</si>
  <si>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</si>
  <si>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</si>
  <si>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</si>
  <si>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</si>
  <si>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</si>
  <si>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</si>
  <si>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</si>
  <si>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</si>
  <si>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</si>
  <si>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</si>
  <si>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</si>
  <si>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</si>
  <si>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</si>
  <si>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</si>
  <si>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</si>
  <si>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</si>
  <si>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</si>
  <si>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</si>
  <si>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</si>
  <si>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</si>
  <si>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</si>
  <si>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</si>
  <si>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</si>
  <si>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</si>
  <si>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</si>
  <si>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</si>
  <si>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</si>
  <si>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</si>
  <si>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</si>
  <si>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</si>
  <si>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</si>
  <si>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</si>
  <si>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</si>
  <si>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</si>
  <si>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</si>
  <si>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</si>
  <si>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</si>
  <si>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</si>
  <si>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</si>
  <si>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</si>
  <si>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</si>
  <si>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</si>
  <si>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</si>
  <si>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</si>
  <si>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</si>
  <si>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</si>
  <si>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</si>
  <si>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</si>
  <si>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</si>
  <si>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</si>
  <si>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</si>
  <si>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</si>
  <si>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</si>
  <si>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</si>
  <si>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</si>
  <si>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</si>
  <si>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</si>
  <si>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</si>
  <si>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</si>
  <si>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</si>
  <si>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</si>
  <si>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</si>
  <si>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</si>
  <si>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</si>
  <si>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</si>
  <si>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</si>
  <si>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</si>
  <si>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</si>
  <si>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</si>
  <si>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</si>
  <si>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</si>
  <si>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</si>
  <si>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</si>
  <si>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</si>
  <si>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</si>
  <si>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</si>
  <si>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</si>
  <si>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</si>
  <si>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</si>
  <si>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</si>
  <si>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</si>
  <si>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</si>
  <si>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</si>
  <si>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</si>
  <si>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</si>
  <si>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</si>
  <si>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</si>
  <si>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</si>
  <si>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</si>
  <si>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</si>
  <si>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</si>
  <si>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</si>
  <si>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</si>
  <si>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</si>
  <si>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</si>
  <si>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</si>
  <si>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</si>
  <si>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</si>
  <si>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</si>
  <si>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</si>
  <si>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</si>
  <si>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</si>
  <si>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</si>
  <si>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</si>
  <si>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</si>
  <si>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</si>
  <si>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</si>
  <si>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</si>
  <si>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</si>
  <si>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</si>
  <si>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</si>
  <si>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</si>
  <si>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</si>
  <si>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</si>
  <si>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</si>
  <si>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</si>
  <si>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</si>
  <si>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</si>
  <si>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</si>
  <si>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</si>
  <si>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</si>
  <si>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</si>
  <si>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</si>
  <si>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</si>
  <si>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</si>
  <si>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</si>
  <si>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</si>
  <si>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</si>
  <si>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</si>
  <si>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</si>
  <si>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</si>
  <si>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</si>
  <si>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</si>
  <si>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</si>
  <si>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</si>
  <si>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</si>
  <si>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</si>
  <si>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</si>
  <si>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</si>
  <si>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</si>
  <si>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</si>
  <si>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</si>
  <si>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</si>
  <si>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</si>
  <si>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</si>
  <si>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</si>
  <si>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</si>
  <si>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</si>
  <si>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</si>
  <si>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</si>
  <si>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</si>
  <si>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</si>
  <si>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</si>
  <si>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</si>
  <si>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</si>
  <si>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</si>
  <si>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</si>
  <si>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</si>
  <si>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</si>
  <si>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</si>
  <si>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</si>
  <si>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</si>
  <si>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</si>
  <si>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</si>
  <si>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</si>
  <si>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</si>
  <si>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</si>
  <si>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</si>
  <si>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</si>
  <si>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</si>
  <si>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</si>
  <si>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</si>
  <si>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</si>
  <si>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</si>
  <si>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</si>
  <si>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</si>
  <si>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</si>
  <si>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</si>
  <si>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</si>
  <si>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</si>
  <si>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</si>
  <si>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</si>
  <si>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</si>
  <si>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</si>
  <si>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</si>
  <si>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</si>
  <si>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</si>
  <si>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</si>
  <si>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</si>
  <si>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</si>
  <si>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</si>
  <si>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</si>
  <si>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</si>
  <si>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</si>
  <si>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</si>
  <si>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</si>
  <si>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</si>
  <si>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</si>
  <si>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</si>
  <si>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</si>
  <si>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</si>
  <si>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</si>
  <si>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</si>
  <si>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</si>
  <si>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</si>
  <si>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</si>
  <si>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</si>
  <si>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</si>
  <si>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</si>
  <si>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</si>
  <si>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</si>
  <si>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</si>
  <si>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</si>
  <si>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</si>
  <si>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</si>
  <si>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</si>
  <si>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</si>
  <si>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</si>
  <si>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</si>
  <si>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</si>
  <si>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</si>
  <si>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</si>
  <si>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</si>
  <si>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</si>
  <si>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</si>
  <si>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</si>
  <si>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</si>
  <si>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</si>
  <si>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</si>
  <si>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</si>
  <si>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</si>
  <si>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</si>
  <si>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</si>
  <si>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</si>
  <si>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</si>
  <si>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</si>
  <si>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</si>
  <si>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</si>
  <si>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</si>
  <si>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</si>
  <si>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</si>
  <si>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</si>
  <si>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</si>
  <si>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</si>
  <si>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</si>
  <si>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</si>
  <si>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</si>
  <si>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</si>
  <si>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</si>
  <si>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</si>
  <si>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</si>
  <si>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</si>
  <si>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</si>
  <si>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</si>
  <si>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</si>
  <si>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</si>
  <si>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</si>
  <si>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</si>
  <si>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</si>
  <si>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</si>
  <si>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</si>
  <si>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</si>
  <si>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</si>
  <si>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</si>
  <si>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</si>
  <si>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</si>
  <si>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</si>
  <si>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</si>
  <si>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</si>
  <si>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</si>
  <si>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</si>
  <si>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</si>
  <si>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</si>
  <si>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</si>
  <si>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</si>
  <si>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</si>
  <si>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</si>
  <si>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</si>
  <si>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</si>
  <si>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</si>
  <si>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</si>
  <si>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</si>
  <si>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</si>
  <si>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</si>
  <si>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</si>
  <si>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</si>
  <si>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</si>
  <si>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</si>
  <si>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</si>
  <si>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</si>
  <si>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</si>
  <si>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</si>
  <si>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</si>
  <si>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</si>
  <si>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</si>
  <si>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</si>
  <si>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</si>
  <si>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</si>
  <si>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</si>
  <si>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</si>
  <si>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</si>
  <si>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</si>
  <si>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</si>
  <si>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</si>
  <si>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</si>
  <si>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</si>
  <si>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</si>
  <si>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</si>
  <si>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</si>
  <si>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</si>
  <si>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</si>
  <si>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</si>
  <si>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</si>
  <si>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</si>
  <si>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</si>
  <si>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</si>
  <si>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</si>
  <si>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</si>
  <si>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</si>
  <si>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</si>
  <si>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</si>
  <si>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</si>
  <si>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</si>
  <si>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</si>
  <si>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</si>
  <si>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</si>
  <si>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</si>
  <si>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</si>
  <si>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</si>
  <si>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</si>
  <si>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</si>
  <si>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</si>
  <si>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</si>
  <si>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</si>
  <si>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</si>
  <si>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</si>
  <si>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</si>
  <si>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</si>
  <si>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</si>
  <si>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</si>
  <si>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</si>
  <si>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</si>
  <si>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</si>
  <si>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</si>
  <si>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</si>
  <si>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</si>
  <si>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</si>
  <si>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</si>
  <si>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</si>
  <si>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</si>
  <si>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</si>
  <si>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</si>
  <si>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</si>
  <si>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</si>
  <si>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</si>
  <si>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</si>
  <si>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</si>
  <si>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</si>
  <si>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</si>
  <si>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</si>
  <si>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</si>
  <si>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</si>
  <si>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</si>
  <si>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</si>
  <si>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</si>
  <si>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</si>
  <si>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</si>
  <si>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</si>
  <si>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</si>
  <si>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</si>
  <si>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</si>
  <si>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</si>
  <si>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</si>
  <si>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</si>
  <si>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</si>
  <si>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</si>
  <si>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</si>
  <si>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</si>
  <si>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</si>
  <si>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</si>
  <si>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</si>
  <si>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</si>
  <si>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</si>
  <si>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</si>
  <si>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</si>
  <si>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</si>
  <si>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</si>
  <si>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</si>
  <si>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</si>
  <si>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</si>
  <si>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</si>
  <si>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</si>
  <si>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</si>
  <si>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</si>
  <si>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</si>
  <si>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</si>
  <si>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</si>
  <si>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</si>
  <si>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</si>
  <si>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</si>
  <si>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</si>
  <si>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</si>
  <si>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</si>
  <si>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</si>
  <si>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</si>
  <si>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</si>
  <si>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</si>
  <si>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</si>
  <si>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</si>
  <si>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</si>
  <si>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</si>
  <si>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</si>
  <si>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</si>
  <si>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</si>
  <si>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</si>
  <si>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</si>
  <si>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</si>
  <si>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</si>
  <si>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</si>
  <si>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</si>
  <si>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</si>
  <si>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</si>
  <si>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</si>
  <si>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</si>
  <si>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</si>
  <si>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</si>
  <si>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</si>
  <si>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</si>
  <si>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</si>
  <si>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</si>
  <si>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</si>
  <si>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</si>
  <si>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</si>
  <si>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</si>
  <si>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</si>
  <si>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</si>
  <si>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</si>
  <si>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</si>
  <si>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</si>
  <si>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</si>
  <si>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</si>
  <si>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</si>
  <si>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</si>
  <si>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</si>
  <si>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</si>
  <si>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</si>
  <si>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</si>
  <si>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</si>
  <si>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</si>
  <si>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</si>
  <si>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</si>
  <si>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</si>
  <si>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</si>
  <si>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</si>
  <si>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</si>
  <si>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</si>
  <si>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</si>
  <si>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</si>
  <si>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</si>
  <si>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</si>
  <si>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</si>
  <si>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</si>
  <si>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</si>
  <si>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</si>
  <si>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</si>
  <si>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</si>
  <si>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</si>
  <si>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</si>
  <si>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</si>
  <si>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</si>
  <si>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</si>
  <si>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</si>
  <si>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</si>
  <si>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</si>
  <si>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</si>
  <si>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</si>
  <si>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</si>
  <si>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</si>
  <si>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</si>
  <si>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</si>
  <si>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</si>
  <si>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</si>
  <si>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</si>
  <si>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</si>
  <si>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</si>
  <si>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</si>
  <si>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</si>
  <si>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</si>
  <si>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</si>
  <si>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</si>
  <si>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</si>
  <si>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</si>
  <si>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</si>
  <si>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</si>
  <si>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</si>
  <si>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</si>
  <si>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</si>
  <si>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</si>
  <si>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</si>
  <si>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</si>
  <si>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</si>
  <si>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</si>
  <si>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</si>
  <si>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</si>
  <si>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</si>
  <si>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</si>
  <si>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</si>
  <si>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</si>
  <si>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</si>
  <si>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</si>
  <si>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</si>
  <si>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</si>
  <si>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</si>
  <si>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</si>
  <si>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</si>
  <si>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</si>
  <si>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</si>
  <si>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</si>
  <si>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</si>
  <si>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</si>
  <si>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</si>
  <si>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</si>
  <si>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</si>
  <si>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</si>
  <si>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</si>
  <si>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</si>
  <si>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</si>
  <si>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</si>
  <si>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</si>
  <si>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</si>
  <si>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</si>
  <si>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</si>
  <si>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</si>
  <si>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</si>
  <si>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</si>
  <si>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</si>
  <si>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</si>
  <si>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</si>
  <si>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</si>
  <si>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</si>
  <si>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</si>
  <si>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</si>
  <si>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</si>
  <si>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</si>
  <si>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</si>
  <si>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</si>
  <si>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</si>
  <si>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</si>
  <si>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</si>
  <si>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</si>
  <si>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</si>
  <si>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</si>
  <si>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</si>
  <si>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</si>
  <si>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</si>
  <si>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</si>
  <si>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</si>
  <si>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</si>
  <si>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</si>
  <si>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</si>
  <si>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</si>
  <si>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</si>
  <si>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</si>
  <si>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</si>
  <si>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</si>
  <si>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</si>
  <si>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</si>
  <si>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</si>
  <si>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</si>
  <si>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</si>
  <si>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</si>
  <si>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</si>
  <si>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</si>
  <si>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</si>
  <si>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</si>
  <si>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</si>
  <si>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</si>
  <si>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</si>
  <si>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</si>
  <si>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</si>
  <si>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</si>
  <si>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</si>
  <si>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</si>
  <si>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</si>
  <si>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</si>
  <si>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</si>
  <si>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</si>
  <si>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</si>
  <si>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</si>
  <si>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</si>
  <si>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</si>
  <si>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</si>
  <si>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</si>
  <si>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</si>
  <si>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</si>
  <si>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</si>
  <si>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</si>
  <si>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</si>
  <si>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</si>
  <si>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</si>
  <si>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</si>
  <si>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</si>
  <si>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</si>
  <si>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</si>
  <si>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</si>
  <si>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</si>
  <si>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</si>
  <si>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</si>
  <si>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</si>
  <si>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</si>
  <si>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</si>
  <si>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</si>
  <si>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</si>
  <si>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</si>
  <si>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</si>
  <si>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</si>
  <si>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</si>
  <si>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</si>
  <si>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</si>
  <si>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</si>
  <si>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</si>
  <si>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</si>
  <si>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</si>
  <si>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</si>
  <si>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</si>
  <si>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</si>
  <si>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</si>
  <si>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</si>
  <si>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</si>
  <si>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</si>
  <si>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</si>
  <si>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</si>
  <si>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</si>
  <si>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</si>
  <si>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</si>
  <si>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</si>
  <si>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</si>
  <si>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</si>
  <si>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</si>
  <si>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</si>
  <si>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</si>
  <si>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</si>
  <si>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</si>
  <si>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</si>
  <si>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</si>
  <si>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</si>
  <si>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</si>
  <si>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</si>
  <si>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</si>
  <si>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</si>
  <si>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</si>
  <si>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</si>
  <si>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</si>
  <si>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</si>
  <si>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</si>
  <si>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</si>
  <si>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</si>
  <si>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</si>
  <si>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</si>
  <si>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</si>
  <si>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</si>
  <si>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</si>
  <si>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</si>
  <si>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</si>
  <si>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</si>
  <si>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</si>
  <si>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</si>
  <si>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</si>
  <si>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</si>
  <si>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</si>
  <si>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</si>
  <si>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</si>
  <si>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</si>
  <si>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</si>
  <si>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</si>
  <si>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</si>
  <si>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</si>
  <si>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</si>
  <si>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</si>
  <si>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</si>
  <si>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</si>
  <si>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</si>
  <si>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</si>
  <si>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</si>
  <si>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</si>
  <si>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</si>
  <si>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</si>
  <si>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</si>
  <si>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</si>
  <si>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</si>
  <si>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</si>
  <si>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</si>
  <si>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</si>
  <si>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</si>
  <si>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</si>
  <si>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</si>
  <si>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</si>
  <si>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</si>
  <si>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</si>
  <si>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</si>
  <si>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</si>
  <si>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</si>
  <si>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</si>
  <si>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</si>
  <si>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</si>
  <si>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</si>
  <si>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</si>
  <si>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</si>
  <si>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</si>
  <si>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</si>
  <si>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</si>
  <si>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</si>
  <si>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</si>
  <si>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</si>
  <si>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</si>
  <si>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</si>
  <si>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</si>
  <si>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</si>
  <si>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</si>
  <si>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</si>
  <si>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</si>
  <si>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</si>
  <si>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</si>
  <si>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</si>
  <si>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</si>
  <si>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</si>
  <si>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</si>
  <si>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</si>
  <si>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</si>
  <si>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</si>
  <si>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</si>
  <si>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</si>
  <si>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</si>
  <si>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</si>
  <si>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</si>
  <si>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</si>
  <si>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</si>
  <si>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</si>
  <si>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</si>
  <si>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</si>
  <si>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</si>
  <si>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</si>
  <si>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</si>
  <si>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</si>
  <si>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</si>
  <si>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</si>
  <si>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</si>
  <si>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</si>
  <si>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</si>
  <si>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</si>
  <si>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</si>
  <si>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</si>
  <si>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</si>
  <si>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</si>
  <si>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</si>
  <si>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</si>
  <si>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</si>
  <si>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</si>
  <si>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</si>
  <si>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</si>
  <si>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</si>
  <si>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</si>
  <si>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</si>
  <si>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</si>
  <si>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</si>
  <si>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</si>
  <si>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</si>
  <si>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</si>
  <si>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</si>
  <si>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</si>
  <si>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</si>
  <si>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</si>
  <si>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</si>
  <si>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</si>
  <si>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</si>
  <si>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</si>
  <si>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</si>
  <si>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</si>
  <si>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</si>
  <si>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</si>
  <si>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</si>
  <si>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</si>
  <si>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</si>
  <si>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</si>
  <si>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</si>
  <si>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</si>
  <si>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</si>
  <si>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</si>
  <si>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</si>
  <si>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</si>
  <si>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</si>
  <si>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</si>
  <si>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</si>
  <si>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</si>
  <si>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</si>
  <si>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</si>
  <si>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</si>
  <si>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</si>
  <si>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</si>
  <si>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</si>
  <si>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</si>
  <si>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</si>
  <si>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</si>
  <si>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</si>
  <si>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</si>
  <si>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</si>
  <si>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</si>
  <si>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</si>
  <si>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</si>
  <si>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</si>
  <si>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</si>
  <si>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</si>
  <si>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</si>
  <si>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</si>
  <si>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</si>
  <si>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</si>
  <si>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</si>
  <si>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</si>
  <si>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</si>
  <si>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</si>
  <si>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</si>
  <si>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</si>
  <si>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</si>
  <si>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</si>
  <si>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</si>
  <si>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</si>
  <si>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</si>
  <si>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</si>
  <si>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</si>
  <si>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</si>
  <si>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</si>
  <si>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</si>
  <si>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</si>
  <si>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</si>
  <si>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</si>
  <si>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</si>
  <si>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</si>
  <si>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</si>
  <si>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</si>
  <si>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</si>
  <si>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</si>
  <si>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</si>
  <si>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</si>
  <si>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</si>
  <si>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</si>
  <si>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</si>
  <si>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</si>
  <si>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</si>
  <si>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</si>
  <si>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</si>
  <si>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</si>
  <si>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</si>
  <si>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</si>
  <si>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</si>
  <si>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</si>
  <si>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</si>
  <si>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</si>
  <si>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</si>
  <si>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</si>
  <si>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</si>
  <si>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</si>
  <si>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</si>
  <si>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</si>
  <si>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</si>
  <si>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</si>
  <si>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</si>
  <si>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</si>
  <si>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</si>
  <si>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</si>
  <si>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</si>
  <si>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</si>
  <si>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</si>
  <si>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</si>
  <si>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</si>
  <si>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</si>
  <si>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</si>
  <si>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</si>
  <si>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</si>
  <si>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</si>
  <si>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</si>
  <si>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</si>
  <si>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</si>
  <si>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</si>
  <si>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</si>
  <si>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</si>
  <si>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</si>
  <si>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</si>
  <si>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</si>
  <si>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</si>
  <si>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</si>
  <si>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</si>
  <si>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</si>
  <si>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</si>
  <si>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</si>
  <si>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</si>
  <si>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</si>
  <si>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</si>
  <si>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</si>
  <si>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</si>
  <si>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</si>
  <si>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</si>
  <si>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</si>
  <si>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</si>
  <si>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</si>
  <si>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</si>
  <si>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</si>
  <si>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</si>
  <si>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</si>
  <si>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</si>
  <si>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</si>
  <si>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</si>
  <si>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</si>
  <si>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</si>
  <si>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</si>
  <si>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</si>
  <si>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</si>
  <si>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</si>
  <si>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</si>
  <si>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</si>
  <si>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</si>
  <si>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</si>
  <si>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</si>
  <si>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</si>
  <si>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</si>
  <si>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</si>
  <si>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</si>
  <si>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</si>
  <si>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</si>
  <si>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</si>
  <si>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</si>
  <si>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</si>
  <si>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</si>
  <si>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</si>
  <si>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</si>
  <si>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</si>
  <si>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</si>
  <si>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</si>
  <si>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</si>
  <si>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</si>
  <si>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</si>
  <si>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</si>
  <si>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</si>
  <si>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</si>
  <si>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</si>
  <si>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</si>
  <si>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</si>
  <si>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</si>
  <si>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</si>
  <si>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</si>
  <si>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</si>
  <si>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</si>
  <si>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</si>
  <si>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</si>
  <si>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</si>
  <si>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</si>
  <si>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</si>
  <si>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</si>
  <si>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</si>
  <si>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</si>
  <si>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</si>
  <si>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</si>
  <si>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</si>
  <si>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</si>
  <si>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</si>
  <si>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</si>
  <si>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</si>
  <si>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</si>
  <si>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</si>
  <si>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</si>
  <si>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</si>
  <si>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</si>
  <si>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</si>
  <si>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</si>
  <si>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</si>
  <si>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</si>
  <si>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</si>
  <si>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</si>
  <si>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</si>
  <si>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</si>
  <si>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</si>
  <si>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</si>
  <si>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</si>
  <si>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</si>
  <si>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</si>
  <si>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</si>
  <si>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</si>
  <si>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</si>
  <si>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</si>
  <si>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</si>
  <si>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</si>
  <si>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</si>
  <si>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</si>
  <si>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</si>
  <si>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</si>
  <si>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</si>
  <si>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</si>
  <si>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</si>
  <si>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</si>
  <si>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</si>
  <si>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</si>
  <si>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</si>
  <si>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</si>
  <si>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</si>
  <si>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</si>
  <si>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</si>
  <si>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</si>
  <si>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</si>
  <si>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</si>
  <si>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</si>
  <si>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</si>
  <si>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</si>
  <si>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</si>
  <si>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</si>
  <si>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</si>
  <si>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</si>
  <si>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</si>
  <si>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</si>
  <si>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</si>
  <si>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</si>
  <si>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</si>
  <si>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</si>
  <si>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</si>
  <si>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</si>
  <si>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</si>
  <si>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</si>
  <si>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</si>
  <si>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</si>
  <si>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</si>
  <si>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</si>
  <si>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</si>
  <si>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</si>
  <si>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</si>
  <si>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</si>
  <si>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</si>
  <si>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</si>
  <si>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</si>
  <si>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</si>
  <si>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</si>
  <si>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</si>
  <si>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</si>
  <si>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</si>
  <si>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</si>
  <si>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</si>
  <si>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</si>
  <si>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</si>
  <si>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</si>
  <si>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</si>
  <si>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</si>
  <si>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</si>
  <si>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</si>
  <si>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</si>
  <si>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</si>
  <si>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</si>
  <si>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</si>
  <si>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</si>
  <si>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</si>
  <si>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</si>
  <si>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</si>
  <si>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</si>
  <si>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</si>
  <si>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</si>
  <si>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</si>
  <si>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</si>
  <si>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</si>
  <si>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</si>
  <si>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</si>
  <si>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</si>
  <si>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</si>
  <si>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</si>
  <si>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</si>
  <si>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</si>
  <si>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</si>
  <si>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</si>
  <si>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</si>
  <si>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</si>
  <si>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</si>
  <si>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</si>
  <si>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</si>
  <si>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</si>
  <si>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</si>
  <si>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</si>
  <si>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</si>
  <si>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</si>
  <si>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</si>
  <si>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</si>
  <si>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</si>
  <si>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</si>
  <si>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</si>
  <si>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</si>
  <si>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</si>
  <si>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</si>
  <si>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</si>
  <si>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</si>
  <si>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</si>
  <si>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</si>
  <si>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</si>
  <si>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</si>
  <si>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</si>
  <si>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</si>
  <si>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</si>
  <si>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</si>
  <si>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</si>
  <si>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</si>
  <si>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</si>
  <si>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</si>
  <si>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</si>
  <si>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</si>
  <si>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</si>
  <si>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</si>
  <si>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</si>
  <si>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</si>
  <si>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</si>
  <si>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</si>
  <si>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</si>
  <si>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</si>
  <si>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</si>
  <si>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</si>
  <si>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</si>
  <si>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</si>
  <si>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</si>
  <si>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</si>
  <si>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</si>
  <si>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</si>
  <si>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</si>
  <si>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</si>
  <si>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</si>
  <si>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</si>
  <si>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</si>
  <si>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</si>
  <si>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</si>
  <si>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</si>
  <si>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</si>
  <si>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</si>
  <si>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</si>
  <si>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</si>
  <si>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</si>
  <si>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</si>
  <si>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</si>
  <si>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</si>
  <si>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</si>
  <si>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</si>
  <si>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</si>
  <si>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</si>
  <si>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</si>
  <si>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</si>
  <si>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</si>
  <si>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</si>
  <si>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</si>
  <si>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</si>
  <si>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</si>
  <si>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</si>
  <si>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</si>
  <si>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</si>
  <si>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</si>
  <si>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</si>
  <si>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</si>
  <si>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</si>
  <si>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</si>
  <si>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</si>
  <si>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</si>
  <si>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</si>
  <si>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</si>
  <si>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</si>
  <si>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</si>
  <si>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</si>
  <si>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</si>
  <si>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</si>
  <si>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</si>
  <si>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</si>
  <si>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</si>
  <si>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</si>
  <si>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</si>
  <si>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</si>
  <si>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</si>
  <si>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</si>
  <si>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</si>
  <si>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</si>
  <si>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</si>
  <si>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</si>
  <si>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</si>
  <si>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</si>
  <si>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</si>
  <si>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</si>
  <si>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</si>
  <si>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</si>
  <si>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</si>
  <si>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</si>
  <si>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</si>
  <si>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</si>
  <si>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</si>
  <si>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</si>
  <si>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</si>
  <si>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</si>
  <si>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</si>
  <si>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</si>
  <si>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</si>
  <si>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</si>
  <si>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</si>
  <si>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</si>
  <si>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</si>
  <si>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</si>
  <si>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</si>
  <si>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</si>
  <si>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</si>
  <si>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</si>
  <si>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</si>
  <si>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</si>
  <si>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</si>
  <si>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</si>
  <si>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</si>
  <si>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</si>
  <si>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</si>
  <si>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</si>
  <si>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</si>
  <si>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</si>
  <si>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</si>
  <si>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</si>
  <si>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</si>
  <si>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</si>
  <si>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</si>
  <si>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</si>
  <si>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</si>
  <si>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</si>
  <si>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</si>
  <si>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</si>
  <si>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</si>
  <si>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</si>
  <si>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</si>
  <si>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</si>
  <si>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</si>
  <si>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</si>
  <si>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</si>
  <si>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</si>
  <si>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</si>
  <si>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</si>
  <si>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</si>
  <si>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</si>
  <si>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</si>
  <si>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</si>
  <si>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</si>
  <si>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</si>
  <si>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</si>
  <si>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</si>
  <si>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</si>
  <si>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</si>
  <si>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</si>
  <si>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</si>
  <si>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</si>
  <si>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</si>
  <si>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</si>
  <si>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</si>
  <si>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</si>
  <si>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</si>
  <si>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</si>
  <si>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</si>
  <si>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</si>
  <si>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</si>
  <si>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</si>
  <si>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</si>
  <si>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</si>
  <si>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</si>
  <si>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</si>
  <si>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</si>
  <si>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</si>
  <si>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</si>
  <si>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</si>
  <si>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</si>
  <si>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</si>
  <si>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</si>
  <si>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</si>
  <si>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</si>
  <si>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</si>
  <si>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</si>
  <si>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</si>
  <si>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</si>
  <si>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</si>
  <si>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</si>
  <si>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</si>
  <si>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</si>
  <si>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</si>
  <si>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</si>
  <si>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</si>
  <si>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</si>
  <si>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</si>
  <si>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</si>
  <si>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</si>
  <si>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</si>
  <si>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</si>
  <si>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</si>
  <si>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</si>
  <si>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</si>
  <si>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</si>
  <si>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</si>
  <si>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</si>
  <si>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</si>
  <si>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</si>
  <si>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</si>
  <si>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</si>
  <si>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</si>
  <si>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</si>
  <si>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</si>
  <si>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</si>
  <si>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</si>
  <si>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</si>
  <si>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</si>
  <si>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</si>
  <si>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</si>
  <si>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</si>
  <si>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</si>
  <si>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</si>
  <si>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</si>
  <si>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</si>
  <si>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</si>
  <si>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</si>
  <si>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</si>
  <si>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</si>
  <si>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</si>
  <si>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</si>
  <si>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</si>
  <si>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</si>
  <si>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</si>
  <si>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</si>
  <si>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</si>
  <si>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</si>
  <si>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</si>
  <si>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</si>
  <si>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</si>
  <si>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</si>
  <si>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</si>
  <si>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</si>
  <si>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</si>
  <si>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</si>
  <si>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</si>
  <si>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</si>
  <si>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</si>
  <si>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</si>
  <si>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</si>
  <si>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</si>
  <si>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</si>
  <si>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</si>
  <si>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</si>
  <si>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</si>
  <si>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</si>
  <si>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</si>
  <si>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</si>
  <si>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</si>
  <si>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</si>
  <si>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</si>
  <si>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</si>
  <si>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</si>
  <si>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</si>
  <si>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</si>
  <si>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</si>
  <si>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</si>
  <si>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</si>
  <si>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</si>
  <si>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</si>
  <si>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</si>
  <si>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</si>
  <si>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</si>
  <si>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</si>
  <si>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</si>
  <si>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</si>
  <si>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</si>
  <si>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</si>
  <si>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</si>
  <si>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</si>
  <si>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</si>
  <si>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</si>
  <si>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</si>
  <si>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</si>
  <si>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</si>
  <si>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</si>
  <si>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</si>
  <si>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</si>
  <si>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</si>
  <si>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</si>
  <si>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</si>
  <si>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</si>
  <si>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</si>
  <si>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</si>
  <si>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</si>
  <si>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</si>
  <si>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</si>
  <si>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</si>
  <si>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</si>
  <si>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</si>
  <si>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</si>
  <si>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</si>
  <si>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</si>
  <si>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</si>
  <si>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</si>
  <si>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</si>
  <si>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</si>
  <si>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</si>
  <si>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</si>
  <si>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</si>
  <si>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</si>
  <si>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</si>
  <si>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</si>
  <si>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</si>
  <si>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</si>
  <si>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</si>
  <si>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</si>
  <si>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</si>
  <si>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</si>
  <si>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</si>
  <si>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</si>
  <si>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</si>
  <si>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</si>
  <si>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</si>
  <si>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</si>
  <si>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</si>
  <si>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</si>
  <si>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</si>
  <si>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</si>
  <si>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</si>
  <si>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</si>
  <si>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</si>
  <si>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</si>
  <si>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</si>
  <si>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</si>
  <si>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</si>
  <si>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</si>
  <si>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</si>
  <si>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</si>
  <si>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</si>
  <si>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</si>
  <si>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</si>
  <si>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</si>
  <si>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</si>
  <si>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</si>
  <si>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</si>
  <si>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</si>
  <si>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</si>
  <si>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</si>
  <si>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</si>
  <si>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</si>
  <si>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</si>
  <si>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</si>
  <si>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</si>
  <si>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</si>
  <si>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</si>
  <si>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</si>
  <si>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</si>
  <si>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</si>
  <si>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</si>
  <si>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</si>
  <si>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</si>
  <si>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</si>
  <si>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</si>
  <si>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</si>
  <si>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</si>
  <si>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</si>
  <si>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</si>
  <si>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</si>
  <si>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</si>
  <si>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</si>
  <si>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</si>
  <si>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</si>
  <si>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</si>
  <si>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</si>
  <si>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</si>
  <si>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</si>
  <si>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</si>
  <si>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</si>
  <si>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</si>
  <si>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</si>
  <si>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</si>
  <si>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</si>
  <si>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</si>
  <si>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</si>
  <si>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</si>
  <si>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</si>
  <si>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</si>
  <si>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</si>
  <si>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</si>
  <si>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</si>
  <si>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</si>
  <si>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</si>
  <si>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</si>
  <si>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</si>
  <si>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</si>
  <si>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</si>
  <si>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</si>
  <si>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</si>
  <si>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</si>
  <si>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</si>
  <si>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</si>
  <si>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</si>
  <si>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</si>
  <si>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</si>
  <si>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</si>
  <si>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</si>
  <si>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</si>
  <si>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</si>
  <si>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</si>
  <si>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</si>
  <si>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</si>
  <si>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</si>
  <si>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</si>
  <si>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</si>
  <si>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</si>
  <si>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</si>
  <si>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</si>
  <si>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</si>
  <si>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</si>
  <si>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</si>
  <si>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</si>
  <si>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</si>
  <si>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</si>
  <si>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</si>
  <si>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</si>
  <si>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</si>
  <si>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</si>
  <si>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</si>
  <si>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</si>
  <si>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</si>
  <si>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</si>
  <si>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</si>
  <si>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</si>
  <si>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</si>
  <si>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</si>
  <si>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</si>
  <si>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</si>
  <si>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</si>
  <si>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</si>
  <si>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</si>
  <si>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</si>
  <si>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</si>
  <si>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</si>
  <si>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</si>
  <si>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</si>
  <si>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</si>
  <si>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</si>
  <si>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</si>
  <si>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</si>
  <si>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</si>
  <si>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</si>
  <si>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</si>
  <si>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</si>
  <si>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</si>
  <si>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</si>
  <si>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</si>
  <si>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</si>
  <si>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</si>
  <si>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</si>
  <si>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</si>
  <si>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</si>
  <si>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</si>
  <si>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</si>
  <si>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</si>
  <si>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</si>
  <si>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</si>
  <si>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</si>
  <si>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</si>
  <si>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</si>
  <si>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</si>
  <si>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</si>
  <si>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</si>
  <si>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</si>
  <si>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</si>
  <si>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</si>
  <si>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</si>
  <si>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</si>
  <si>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</si>
  <si>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</si>
  <si>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</si>
  <si>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</si>
  <si>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</si>
  <si>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</si>
  <si>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</si>
  <si>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</si>
  <si>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</si>
  <si>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</si>
  <si>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</si>
  <si>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</si>
  <si>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</si>
  <si>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</si>
  <si>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</si>
  <si>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</si>
  <si>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</si>
  <si>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</si>
  <si>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</si>
  <si>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</si>
  <si>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</si>
  <si>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</si>
  <si>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</si>
  <si>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</si>
  <si>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</si>
  <si>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</si>
  <si>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</si>
  <si>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</si>
  <si>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</si>
  <si>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</si>
  <si>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</si>
  <si>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</si>
  <si>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</si>
  <si>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</si>
  <si>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</si>
  <si>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</si>
  <si>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</si>
  <si>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</si>
  <si>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</si>
  <si>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</si>
  <si>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</si>
  <si>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</si>
  <si>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</si>
  <si>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</si>
  <si>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</si>
  <si>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</si>
  <si>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</si>
  <si>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</si>
  <si>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</si>
  <si>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</si>
  <si>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</si>
  <si>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</si>
  <si>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</si>
  <si>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</si>
  <si>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</si>
  <si>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</si>
  <si>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</si>
  <si>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</si>
  <si>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</si>
  <si>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</si>
  <si>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</si>
  <si>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</si>
  <si>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</si>
  <si>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</si>
  <si>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</si>
  <si>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</si>
  <si>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</si>
  <si>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</si>
  <si>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</si>
  <si>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</si>
  <si>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</si>
  <si>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</si>
  <si>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</si>
  <si>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</si>
  <si>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</si>
  <si>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</si>
  <si>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</si>
  <si>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</si>
  <si>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</si>
  <si>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</si>
  <si>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</si>
  <si>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</si>
  <si>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</si>
  <si>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</si>
  <si>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</si>
  <si>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</si>
  <si>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</si>
  <si>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</si>
  <si>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</si>
  <si>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</si>
  <si>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</si>
  <si>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</si>
  <si>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</si>
  <si>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</si>
  <si>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</si>
  <si>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</si>
  <si>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</si>
  <si>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</si>
  <si>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</si>
  <si>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</si>
  <si>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</si>
  <si>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</si>
  <si>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</si>
  <si>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</si>
  <si>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</si>
  <si>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</si>
  <si>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</si>
  <si>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</si>
  <si>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</si>
  <si>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</si>
  <si>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</si>
  <si>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</si>
  <si>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</si>
  <si>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</si>
  <si>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</si>
  <si>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</si>
  <si>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</si>
  <si>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</si>
  <si>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</si>
  <si>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</si>
  <si>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</si>
  <si>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</si>
  <si>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</si>
  <si>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</si>
  <si>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</si>
  <si>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</si>
  <si>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</si>
  <si>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</si>
  <si>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</si>
  <si>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</si>
  <si>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</si>
  <si>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</si>
  <si>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</si>
  <si>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</si>
  <si>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</si>
  <si>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</si>
  <si>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</si>
  <si>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</si>
  <si>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</si>
  <si>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</si>
  <si>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</si>
  <si>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</si>
  <si>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</si>
  <si>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</si>
  <si>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</si>
  <si>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</si>
  <si>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</si>
  <si>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</si>
  <si>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</si>
  <si>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</si>
  <si>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</si>
  <si>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</si>
  <si>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</si>
  <si>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</si>
  <si>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</si>
  <si>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</si>
  <si>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</si>
  <si>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</si>
  <si>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</si>
  <si>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</si>
  <si>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</si>
  <si>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</si>
  <si>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</si>
  <si>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</si>
  <si>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</si>
  <si>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</si>
  <si>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</si>
  <si>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</si>
  <si>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</si>
  <si>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</si>
  <si>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</si>
  <si>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</si>
  <si>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</si>
  <si>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</si>
  <si>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</si>
  <si>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</si>
  <si>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</si>
  <si>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</si>
  <si>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</si>
  <si>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</si>
  <si>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</si>
  <si>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</si>
  <si>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</si>
  <si>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</si>
  <si>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</si>
  <si>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</si>
  <si>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</si>
  <si>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</si>
  <si>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</si>
  <si>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</si>
  <si>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</si>
  <si>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</si>
  <si>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</si>
  <si>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</si>
  <si>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</si>
  <si>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</si>
  <si>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</si>
  <si>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</si>
  <si>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</si>
  <si>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</si>
  <si>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</si>
  <si>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</si>
  <si>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</si>
  <si>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</si>
  <si>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</si>
  <si>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</si>
  <si>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</si>
  <si>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</si>
  <si>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</si>
  <si>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</si>
  <si>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</si>
  <si>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</si>
  <si>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</si>
  <si>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</si>
  <si>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</si>
  <si>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</si>
  <si>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</si>
  <si>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</si>
  <si>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</si>
  <si>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</si>
  <si>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</si>
  <si>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</si>
  <si>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</si>
  <si>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</si>
  <si>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</si>
  <si>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</si>
  <si>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</si>
  <si>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</si>
  <si>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</si>
  <si>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</si>
  <si>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</si>
  <si>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</si>
  <si>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</si>
  <si>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</si>
  <si>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</si>
  <si>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</si>
  <si>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</si>
  <si>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</si>
  <si>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</si>
  <si>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</si>
  <si>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</si>
  <si>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</si>
  <si>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</si>
  <si>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</si>
  <si>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</si>
  <si>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</si>
  <si>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</si>
  <si>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</si>
  <si>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</si>
  <si>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</si>
  <si>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</si>
  <si>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</si>
  <si>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</si>
  <si>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</si>
  <si>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</si>
  <si>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</si>
  <si>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</si>
  <si>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</si>
  <si>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</si>
  <si>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</si>
  <si>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</si>
  <si>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</si>
  <si>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</si>
  <si>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</si>
  <si>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</si>
  <si>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</si>
  <si>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</si>
  <si>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</si>
  <si>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</si>
  <si>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</si>
  <si>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</si>
  <si>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</si>
  <si>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</si>
  <si>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</si>
  <si>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</si>
  <si>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</si>
  <si>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</si>
  <si>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</si>
  <si>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</si>
  <si>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</si>
  <si>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</si>
  <si>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</si>
  <si>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</si>
  <si>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</si>
  <si>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</si>
  <si>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</si>
  <si>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</si>
  <si>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</si>
  <si>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</si>
  <si>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</si>
  <si>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</si>
  <si>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</si>
  <si>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</si>
  <si>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</si>
  <si>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</si>
  <si>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</si>
  <si>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</si>
  <si>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</si>
  <si>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</si>
  <si>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</si>
  <si>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</si>
  <si>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</si>
  <si>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</si>
  <si>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</si>
  <si>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</si>
  <si>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</si>
  <si>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</si>
  <si>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</si>
  <si>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</si>
  <si>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</si>
  <si>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</si>
  <si>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</si>
  <si>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</si>
  <si>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</si>
  <si>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</si>
  <si>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</si>
  <si>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</si>
  <si>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</si>
  <si>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</si>
  <si>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</si>
  <si>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</si>
  <si>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</si>
  <si>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</si>
  <si>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</si>
  <si>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</si>
  <si>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</si>
  <si>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</si>
  <si>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</si>
  <si>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</si>
  <si>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</si>
  <si>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</si>
  <si>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</si>
  <si>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</si>
  <si>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</si>
  <si>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</si>
  <si>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</si>
  <si>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</si>
  <si>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</si>
  <si>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</si>
  <si>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</si>
  <si>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</si>
  <si>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</si>
  <si>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</si>
  <si>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</si>
  <si>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</si>
  <si>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</si>
  <si>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</si>
  <si>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</si>
  <si>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</si>
  <si>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</si>
  <si>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</si>
  <si>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</si>
  <si>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</si>
  <si>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</si>
  <si>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</si>
  <si>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</si>
  <si>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</si>
  <si>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</si>
  <si>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</si>
  <si>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</si>
  <si>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</si>
  <si>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</si>
  <si>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</si>
  <si>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</si>
  <si>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</si>
  <si>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</si>
  <si>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</si>
  <si>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</si>
  <si>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</si>
  <si>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</si>
  <si>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</si>
  <si>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</si>
  <si>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</si>
  <si>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</si>
  <si>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</si>
  <si>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</si>
  <si>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</si>
  <si>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</si>
  <si>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</si>
  <si>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</si>
  <si>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</si>
  <si>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</si>
  <si>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</si>
  <si>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</si>
  <si>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</si>
  <si>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</si>
  <si>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</si>
  <si>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</si>
  <si>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</si>
  <si>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</si>
  <si>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</si>
  <si>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</si>
  <si>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</si>
  <si>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</si>
  <si>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</si>
  <si>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</si>
  <si>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</si>
  <si>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</si>
  <si>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</si>
  <si>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</si>
  <si>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</si>
  <si>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</si>
  <si>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</si>
  <si>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</si>
  <si>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</si>
  <si>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</si>
  <si>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</si>
  <si>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</si>
  <si>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</si>
  <si>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</si>
  <si>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</si>
  <si>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</si>
  <si>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</si>
  <si>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</si>
  <si>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</si>
  <si>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</si>
  <si>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</si>
  <si>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</si>
  <si>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</si>
  <si>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</si>
  <si>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</si>
  <si>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</si>
  <si>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</si>
  <si>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</si>
  <si>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</si>
  <si>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</si>
  <si>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</si>
  <si>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</si>
  <si>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</si>
  <si>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</si>
  <si>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</si>
  <si>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</si>
  <si>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</si>
  <si>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</si>
  <si>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</si>
  <si>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</si>
  <si>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</si>
  <si>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</si>
  <si>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</si>
  <si>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</si>
  <si>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</si>
  <si>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</si>
  <si>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</si>
  <si>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</si>
  <si>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</si>
  <si>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</si>
  <si>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</si>
  <si>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</si>
  <si>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</si>
  <si>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</si>
  <si>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</si>
  <si>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</si>
  <si>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</si>
  <si>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</si>
  <si>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</si>
  <si>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</si>
  <si>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</si>
  <si>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</si>
  <si>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</si>
  <si>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</si>
  <si>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</si>
  <si>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</si>
  <si>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</si>
  <si>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</si>
  <si>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</si>
  <si>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</si>
  <si>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</si>
  <si>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</si>
  <si>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</si>
  <si>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</si>
  <si>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</si>
  <si>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</si>
  <si>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</si>
  <si>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</si>
  <si>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</si>
  <si>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</si>
  <si>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</si>
  <si>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</si>
  <si>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</si>
  <si>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</si>
  <si>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</si>
  <si>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</si>
  <si>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</si>
  <si>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</si>
  <si>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</si>
  <si>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</si>
  <si>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</si>
  <si>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</si>
  <si>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</si>
  <si>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</si>
  <si>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</si>
  <si>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</si>
  <si>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</si>
  <si>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</si>
  <si>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</si>
  <si>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</si>
  <si>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</si>
  <si>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</si>
  <si>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</si>
  <si>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</si>
  <si>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</si>
  <si>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</si>
  <si>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</si>
  <si>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</si>
  <si>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</si>
  <si>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</si>
  <si>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</si>
  <si>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</si>
  <si>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</si>
  <si>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</si>
  <si>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</si>
  <si>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</si>
  <si>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</si>
  <si>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</si>
  <si>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</si>
  <si>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</si>
  <si>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</si>
  <si>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</si>
  <si>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</si>
  <si>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</si>
  <si>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</si>
  <si>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</si>
  <si>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</si>
  <si>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</si>
  <si>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</si>
  <si>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</si>
  <si>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</si>
  <si>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</si>
  <si>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</si>
  <si>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</si>
  <si>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</si>
  <si>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</si>
  <si>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</si>
  <si>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</si>
  <si>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</si>
  <si>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</si>
  <si>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</si>
  <si>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</si>
  <si>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</si>
  <si>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</si>
  <si>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</si>
  <si>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</si>
  <si>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</si>
  <si>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</si>
  <si>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</si>
  <si>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</si>
  <si>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</si>
  <si>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</si>
  <si>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</si>
  <si>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</si>
  <si>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</si>
  <si>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</si>
  <si>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</si>
  <si>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</si>
  <si>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</si>
  <si>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</si>
  <si>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</si>
  <si>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</si>
  <si>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</si>
  <si>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</si>
  <si>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</si>
  <si>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</si>
  <si>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</si>
  <si>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</si>
  <si>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</si>
  <si>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</si>
  <si>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</si>
  <si>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</si>
  <si>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</si>
  <si>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</si>
  <si>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</si>
  <si>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</si>
  <si>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</si>
  <si>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</si>
  <si>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</si>
  <si>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</si>
  <si>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</si>
  <si>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</si>
  <si>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</si>
  <si>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</si>
  <si>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</si>
  <si>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</si>
  <si>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</si>
  <si>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</si>
  <si>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</si>
  <si>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</si>
  <si>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</si>
  <si>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</si>
  <si>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</si>
  <si>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</si>
  <si>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</si>
  <si>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</si>
  <si>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</si>
  <si>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</si>
  <si>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</si>
  <si>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</si>
  <si>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</si>
  <si>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</si>
  <si>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</si>
  <si>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</si>
  <si>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</si>
  <si>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</si>
  <si>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</si>
  <si>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</si>
  <si>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</si>
  <si>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</si>
  <si>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</si>
  <si>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</si>
  <si>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</si>
  <si>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</si>
  <si>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</si>
  <si>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</si>
  <si>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</si>
  <si>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</si>
  <si>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</si>
  <si>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</si>
  <si>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</si>
  <si>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</si>
  <si>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</si>
  <si>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</si>
  <si>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</si>
  <si>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</si>
  <si>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</si>
  <si>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</si>
  <si>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</si>
  <si>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</si>
  <si>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</si>
  <si>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</si>
  <si>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</si>
  <si>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</si>
  <si>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</si>
  <si>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</si>
  <si>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</si>
  <si>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</si>
  <si>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</si>
  <si>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</si>
  <si>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</si>
  <si>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</si>
  <si>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</si>
  <si>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</si>
  <si>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</si>
  <si>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</si>
  <si>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</si>
  <si>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</si>
  <si>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</si>
  <si>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</si>
  <si>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</si>
  <si>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</si>
  <si>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</si>
  <si>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</si>
  <si>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</si>
  <si>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</si>
  <si>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</si>
  <si>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</si>
  <si>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</si>
  <si>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</si>
  <si>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</si>
  <si>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</si>
  <si>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</si>
  <si>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</si>
  <si>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</si>
  <si>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</si>
  <si>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</si>
  <si>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</si>
  <si>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</si>
  <si>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</si>
  <si>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</si>
  <si>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</si>
  <si>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</si>
  <si>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</si>
  <si>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</si>
  <si>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</si>
  <si>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</si>
  <si>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</si>
  <si>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</si>
  <si>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</si>
  <si>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</si>
  <si>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</si>
  <si>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</si>
  <si>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</si>
  <si>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</si>
  <si>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</si>
  <si>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</si>
  <si>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</si>
  <si>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</si>
  <si>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</si>
  <si>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</si>
  <si>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</si>
  <si>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</si>
  <si>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</si>
  <si>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</si>
  <si>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</si>
  <si>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</si>
  <si>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</si>
  <si>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</si>
  <si>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</si>
  <si>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</si>
  <si>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</si>
  <si>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</si>
  <si>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</si>
  <si>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</si>
  <si>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</si>
  <si>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</si>
  <si>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</si>
  <si>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</si>
  <si>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</si>
  <si>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</si>
  <si>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</si>
  <si>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</si>
  <si>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</si>
  <si>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</si>
  <si>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</si>
  <si>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</si>
  <si>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</si>
  <si>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</si>
  <si>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</si>
  <si>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</si>
  <si>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</si>
  <si>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</si>
  <si>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</si>
  <si>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</si>
  <si>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</si>
  <si>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</si>
  <si>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</si>
  <si>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</si>
  <si>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</si>
  <si>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</si>
  <si>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</si>
  <si>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</si>
  <si>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</si>
  <si>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</si>
  <si>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</si>
  <si>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</si>
  <si>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</si>
  <si>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</si>
  <si>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</si>
  <si>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</si>
  <si>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</si>
  <si>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</si>
  <si>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</si>
  <si>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</si>
  <si>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</si>
  <si>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</si>
  <si>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</si>
  <si>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</si>
  <si>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</si>
  <si>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</si>
  <si>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</si>
  <si>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</si>
  <si>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</si>
  <si>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</si>
  <si>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</si>
  <si>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</si>
  <si>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</si>
  <si>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</si>
  <si>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</si>
  <si>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</si>
  <si>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</si>
  <si>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</si>
  <si>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</si>
  <si>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</si>
  <si>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</si>
  <si>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</si>
  <si>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</si>
  <si>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</si>
  <si>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</si>
  <si>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</si>
  <si>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</si>
  <si>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</si>
  <si>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</si>
  <si>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</si>
  <si>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</si>
  <si>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</si>
  <si>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</si>
  <si>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</si>
  <si>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</si>
  <si>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</si>
  <si>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</si>
  <si>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</si>
  <si>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</si>
  <si>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</si>
  <si>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</si>
  <si>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</si>
  <si>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</si>
  <si>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</si>
  <si>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</si>
  <si>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</si>
  <si>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</si>
  <si>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</si>
  <si>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</si>
  <si>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</si>
  <si>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</si>
  <si>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</si>
  <si>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</si>
  <si>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</si>
  <si>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</si>
  <si>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</si>
  <si>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</si>
  <si>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</si>
  <si>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</si>
  <si>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</si>
  <si>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</si>
  <si>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</si>
  <si>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</si>
  <si>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</si>
  <si>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</si>
  <si>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</si>
  <si>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</si>
  <si>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</si>
  <si>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</si>
  <si>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</si>
  <si>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</si>
  <si>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</si>
  <si>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</si>
  <si>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</si>
  <si>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</si>
  <si>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</si>
  <si>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</si>
  <si>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</si>
  <si>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</si>
  <si>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</si>
  <si>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</si>
  <si>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</si>
  <si>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</si>
  <si>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</si>
  <si>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</si>
  <si>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</si>
  <si>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</si>
  <si>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</si>
  <si>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</si>
  <si>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</si>
  <si>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</si>
  <si>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</si>
  <si>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</si>
  <si>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</si>
  <si>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</si>
  <si>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</si>
  <si>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</si>
  <si>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</si>
  <si>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</si>
  <si>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</si>
  <si>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</si>
  <si>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</si>
  <si>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</si>
  <si>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</si>
  <si>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</si>
  <si>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</si>
  <si>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</si>
  <si>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</si>
  <si>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</si>
  <si>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</si>
  <si>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</si>
  <si>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</si>
  <si>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</si>
  <si>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</si>
  <si>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</si>
  <si>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</si>
  <si>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</si>
  <si>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</si>
  <si>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</si>
  <si>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</si>
  <si>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</si>
  <si>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</si>
  <si>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</si>
  <si>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</si>
  <si>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</si>
  <si>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</si>
  <si>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</si>
  <si>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</si>
  <si>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</si>
  <si>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</si>
  <si>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</si>
  <si>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</si>
  <si>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</si>
  <si>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</si>
  <si>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</si>
  <si>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</si>
  <si>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</si>
  <si>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</si>
  <si>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</si>
  <si>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</si>
  <si>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</si>
  <si>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</si>
  <si>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</si>
  <si>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</si>
  <si>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</si>
  <si>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</si>
  <si>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</si>
  <si>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</si>
  <si>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</si>
  <si>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</si>
  <si>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</si>
  <si>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</si>
  <si>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</si>
  <si>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</si>
  <si>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</si>
  <si>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</si>
  <si>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</si>
  <si>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</si>
  <si>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</si>
  <si>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</si>
  <si>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</si>
  <si>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</si>
  <si>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</si>
  <si>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</si>
  <si>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</si>
  <si>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</si>
  <si>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</si>
  <si>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</si>
  <si>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</si>
  <si>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</si>
  <si>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</si>
  <si>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</si>
  <si>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</si>
  <si>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</si>
  <si>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</si>
  <si>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</si>
  <si>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</si>
  <si>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</si>
  <si>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</si>
  <si>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</si>
  <si>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</si>
  <si>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</si>
  <si>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</si>
  <si>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</si>
  <si>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</si>
  <si>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</si>
  <si>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</si>
  <si>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</si>
  <si>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</si>
  <si>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</si>
  <si>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</si>
  <si>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</si>
  <si>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</si>
  <si>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</si>
  <si>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</si>
  <si>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</si>
  <si>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</si>
  <si>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</si>
  <si>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</si>
  <si>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</si>
  <si>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</si>
  <si>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</si>
  <si>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</si>
  <si>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</si>
  <si>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</si>
  <si>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</si>
  <si>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</si>
  <si>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</si>
  <si>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</si>
  <si>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</si>
  <si>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</si>
  <si>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</si>
  <si>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</si>
  <si>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</si>
  <si>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</si>
  <si>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</si>
  <si>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</si>
  <si>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</si>
  <si>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</si>
  <si>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</si>
  <si>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</si>
  <si>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</si>
  <si>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</si>
  <si>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</si>
  <si>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</si>
  <si>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</si>
  <si>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</si>
  <si>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</si>
  <si>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</si>
  <si>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</si>
  <si>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</si>
  <si>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</si>
  <si>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</si>
  <si>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</si>
  <si>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</si>
  <si>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</si>
  <si>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</si>
  <si>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</si>
  <si>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</si>
  <si>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</si>
  <si>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</si>
  <si>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</si>
  <si>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</si>
  <si>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</si>
  <si>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</si>
  <si>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</si>
  <si>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</si>
  <si>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</si>
  <si>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</si>
  <si>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</si>
  <si>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</si>
  <si>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</si>
  <si>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</si>
  <si>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</si>
  <si>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</si>
  <si>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</si>
  <si>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</si>
  <si>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</si>
  <si>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</si>
  <si>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</si>
  <si>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</si>
  <si>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</si>
  <si>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</si>
  <si>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</si>
  <si>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</si>
  <si>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</si>
  <si>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</si>
  <si>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</si>
  <si>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</si>
  <si>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</si>
  <si>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</si>
  <si>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</si>
  <si>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</si>
  <si>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</si>
  <si>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</si>
  <si>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</si>
  <si>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</si>
  <si>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</si>
  <si>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</si>
  <si>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</si>
  <si>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</si>
  <si>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</si>
  <si>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</si>
  <si>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</si>
  <si>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</si>
  <si>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</si>
  <si>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</si>
  <si>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</si>
  <si>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</si>
  <si>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</si>
  <si>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</si>
  <si>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</si>
  <si>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</si>
  <si>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</si>
  <si>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</si>
  <si>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</si>
  <si>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</si>
  <si>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</si>
  <si>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</si>
  <si>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</si>
  <si>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</si>
  <si>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</si>
  <si>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</si>
  <si>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</si>
  <si>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</si>
  <si>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</si>
  <si>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</si>
  <si>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</si>
  <si>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</si>
  <si>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</si>
  <si>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</si>
  <si>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</si>
  <si>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</si>
  <si>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</si>
  <si>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</si>
  <si>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</si>
  <si>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</si>
  <si>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</si>
  <si>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</si>
  <si>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</si>
  <si>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</si>
  <si>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</si>
  <si>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</si>
  <si>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</si>
  <si>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</si>
  <si>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</si>
  <si>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</si>
  <si>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</si>
  <si>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</si>
  <si>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</si>
  <si>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</si>
  <si>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</si>
  <si>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</si>
  <si>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</si>
  <si>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</si>
  <si>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</si>
  <si>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</si>
  <si>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</si>
  <si>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</si>
  <si>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</si>
  <si>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</si>
  <si>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</si>
  <si>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</si>
  <si>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</si>
  <si>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</si>
  <si>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</si>
  <si>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</si>
  <si>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</si>
  <si>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</si>
  <si>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</si>
  <si>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</si>
  <si>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</si>
  <si>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</si>
  <si>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</si>
  <si>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</si>
  <si>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</si>
  <si>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</si>
  <si>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</si>
  <si>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</si>
  <si>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</si>
  <si>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</si>
  <si>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</si>
  <si>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</si>
  <si>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</si>
  <si>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</si>
  <si>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</si>
  <si>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</si>
  <si>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</si>
  <si>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</si>
  <si>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</si>
  <si>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</si>
  <si>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</si>
  <si>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</si>
  <si>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</si>
  <si>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</si>
  <si>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</si>
  <si>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</si>
  <si>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</si>
  <si>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</si>
  <si>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</si>
  <si>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</si>
  <si>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</si>
  <si>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</si>
  <si>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</si>
  <si>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</si>
  <si>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</si>
  <si>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</si>
  <si>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</si>
  <si>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</si>
  <si>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</si>
  <si>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</si>
  <si>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</si>
  <si>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</si>
  <si>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</si>
  <si>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</si>
  <si>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</si>
  <si>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</si>
  <si>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</si>
  <si>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</si>
  <si>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</si>
  <si>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</si>
  <si>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</si>
  <si>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</si>
  <si>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</si>
  <si>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</si>
  <si>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</si>
  <si>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</si>
  <si>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</si>
  <si>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</si>
  <si>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</si>
  <si>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</si>
  <si>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</si>
  <si>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</si>
  <si>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</si>
  <si>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</si>
  <si>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</si>
  <si>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</si>
  <si>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</si>
  <si>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</si>
  <si>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</si>
  <si>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</si>
  <si>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</si>
  <si>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</si>
  <si>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</si>
  <si>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</si>
  <si>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</si>
  <si>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</si>
  <si>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</si>
  <si>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</si>
  <si>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</si>
  <si>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</si>
  <si>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</si>
  <si>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</si>
  <si>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</si>
  <si>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</si>
  <si>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</si>
  <si>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</si>
  <si>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</si>
  <si>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</si>
  <si>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</si>
  <si>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</si>
  <si>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</si>
  <si>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</si>
  <si>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</si>
  <si>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</si>
  <si>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</si>
  <si>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</si>
  <si>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</si>
  <si>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</si>
  <si>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</si>
  <si>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</si>
  <si>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</si>
  <si>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</si>
  <si>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</si>
  <si>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</si>
  <si>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</si>
  <si>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</si>
  <si>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</si>
  <si>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</si>
  <si>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</si>
  <si>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</si>
  <si>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</si>
  <si>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</si>
  <si>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</si>
  <si>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</si>
  <si>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</si>
  <si>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</si>
  <si>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</si>
  <si>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</si>
  <si>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</si>
  <si>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</si>
  <si>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</si>
  <si>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</si>
  <si>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</si>
  <si>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</si>
  <si>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</si>
  <si>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</si>
  <si>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</si>
  <si>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</si>
  <si>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</si>
  <si>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</si>
  <si>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</si>
  <si>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</si>
  <si>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</si>
  <si>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</si>
  <si>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</si>
  <si>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</si>
  <si>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</si>
  <si>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</si>
  <si>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</si>
  <si>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</si>
  <si>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</si>
  <si>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</si>
  <si>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</si>
  <si>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</si>
  <si>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</si>
  <si>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</si>
  <si>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</si>
  <si>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</si>
  <si>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</si>
  <si>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</si>
  <si>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</si>
  <si>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</si>
  <si>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</si>
  <si>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</si>
  <si>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</si>
  <si>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</si>
  <si>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</si>
  <si>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</si>
  <si>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</si>
  <si>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</si>
  <si>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</si>
  <si>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</si>
  <si>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</si>
  <si>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</si>
  <si>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</si>
  <si>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</si>
  <si>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</si>
  <si>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</si>
  <si>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</si>
  <si>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</si>
  <si>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</si>
  <si>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</si>
  <si>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</si>
  <si>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</si>
  <si>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</si>
  <si>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</si>
  <si>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</si>
  <si>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</si>
  <si>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</si>
  <si>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</si>
  <si>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</si>
  <si>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</si>
  <si>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</si>
  <si>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</si>
  <si>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</si>
  <si>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</si>
  <si>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</si>
  <si>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</si>
  <si>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</si>
  <si>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</si>
  <si>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</si>
  <si>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</si>
  <si>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</si>
  <si>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</si>
  <si>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</si>
  <si>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</si>
  <si>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</si>
  <si>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</si>
  <si>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</si>
  <si>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</si>
  <si>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</si>
  <si>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</si>
  <si>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</si>
  <si>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</si>
  <si>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</si>
  <si>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</si>
  <si>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</si>
  <si>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</si>
  <si>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</si>
  <si>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</si>
  <si>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</si>
  <si>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</si>
  <si>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</si>
  <si>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</si>
  <si>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</si>
  <si>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</si>
  <si>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</si>
  <si>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</si>
  <si>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</si>
  <si>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</si>
  <si>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</si>
  <si>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</si>
  <si>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</si>
  <si>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</si>
  <si>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</si>
  <si>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</si>
  <si>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</si>
  <si>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</si>
  <si>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</si>
  <si>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</si>
  <si>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</si>
  <si>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</si>
  <si>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</si>
  <si>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</si>
  <si>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</si>
  <si>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</si>
  <si>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</si>
  <si>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</si>
  <si>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</si>
  <si>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</si>
  <si>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</si>
  <si>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</si>
  <si>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</si>
  <si>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</si>
  <si>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</si>
  <si>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</si>
  <si>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</si>
  <si>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</si>
  <si>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</si>
  <si>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</si>
  <si>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</si>
  <si>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</si>
  <si>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</si>
  <si>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</si>
  <si>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</si>
  <si>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</si>
  <si>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</si>
  <si>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</si>
  <si>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</si>
  <si>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</si>
  <si>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</si>
  <si>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</si>
  <si>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</si>
  <si>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</si>
  <si>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</si>
  <si>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</si>
  <si>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</si>
  <si>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</si>
  <si>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</si>
  <si>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</si>
  <si>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</si>
  <si>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</si>
  <si>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</si>
  <si>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</si>
  <si>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</si>
  <si>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</si>
  <si>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</si>
  <si>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</si>
  <si>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</si>
  <si>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</si>
  <si>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</si>
  <si>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</si>
  <si>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</si>
  <si>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</si>
  <si>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</si>
  <si>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</si>
  <si>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</si>
  <si>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</si>
  <si>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</si>
  <si>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</si>
  <si>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</si>
  <si>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</si>
  <si>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</si>
  <si>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</si>
  <si>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</si>
  <si>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</si>
  <si>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</si>
  <si>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</si>
  <si>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</si>
  <si>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</si>
  <si>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</si>
  <si>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</si>
  <si>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</si>
  <si>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</si>
  <si>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</si>
  <si>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</si>
  <si>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</si>
  <si>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</si>
  <si>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</si>
  <si>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</si>
  <si>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</si>
  <si>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</si>
  <si>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</si>
  <si>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</si>
  <si>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</si>
  <si>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</si>
  <si>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</si>
  <si>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</si>
  <si>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</si>
  <si>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</si>
  <si>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</si>
  <si>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</si>
  <si>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</si>
  <si>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</si>
  <si>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</si>
  <si>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</si>
  <si>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</si>
  <si>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</si>
  <si>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</si>
  <si>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</si>
  <si>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</si>
  <si>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</si>
  <si>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</si>
  <si>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</si>
  <si>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</si>
  <si>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</si>
  <si>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</si>
  <si>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</si>
  <si>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</si>
  <si>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</si>
  <si>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</si>
  <si>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</si>
  <si>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</si>
  <si>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</si>
  <si>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</si>
  <si>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</si>
  <si>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</si>
  <si>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</si>
  <si>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</si>
  <si>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</si>
  <si>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</si>
  <si>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</si>
  <si>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</si>
  <si>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</si>
  <si>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</si>
  <si>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</si>
  <si>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</si>
  <si>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</si>
  <si>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</si>
  <si>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</si>
  <si>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</si>
  <si>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</si>
  <si>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</si>
  <si>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</si>
  <si>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</si>
  <si>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</si>
  <si>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</si>
  <si>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</si>
  <si>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</si>
  <si>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</si>
  <si>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</si>
  <si>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</si>
  <si>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</si>
  <si>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</si>
  <si>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</si>
  <si>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</si>
  <si>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</si>
  <si>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</si>
  <si>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</si>
  <si>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</si>
  <si>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</si>
  <si>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</si>
  <si>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</si>
  <si>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</si>
  <si>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</si>
  <si>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</si>
  <si>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</si>
  <si>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</si>
  <si>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</si>
  <si>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</si>
  <si>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</si>
  <si>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</si>
  <si>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</si>
  <si>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</si>
  <si>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</si>
  <si>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</si>
  <si>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</si>
  <si>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</si>
  <si>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</si>
  <si>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</si>
  <si>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</si>
  <si>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</si>
  <si>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</si>
  <si>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</si>
  <si>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</si>
  <si>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</si>
  <si>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</si>
  <si>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</si>
  <si>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</si>
  <si>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</si>
  <si>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</si>
  <si>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</si>
  <si>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</si>
  <si>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</si>
  <si>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</si>
  <si>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</si>
  <si>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</si>
  <si>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</si>
  <si>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</si>
  <si>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</si>
  <si>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</si>
  <si>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</si>
  <si>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</si>
  <si>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</si>
  <si>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</si>
  <si>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</si>
  <si>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</si>
  <si>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</si>
  <si>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</si>
  <si>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</si>
  <si>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</si>
  <si>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</si>
  <si>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</si>
  <si>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</si>
  <si>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</si>
  <si>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</si>
  <si>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</si>
  <si>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</si>
  <si>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</si>
  <si>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</si>
  <si>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</si>
  <si>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</si>
  <si>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</si>
  <si>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</si>
  <si>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</si>
  <si>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</si>
  <si>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</si>
  <si>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</si>
  <si>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</si>
  <si>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</si>
  <si>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</si>
  <si>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</si>
  <si>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</si>
  <si>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</si>
  <si>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</si>
  <si>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</si>
  <si>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</si>
  <si>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</si>
  <si>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</si>
  <si>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</si>
  <si>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</si>
  <si>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</si>
  <si>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</si>
  <si>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</si>
  <si>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</si>
  <si>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</si>
  <si>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</si>
  <si>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</si>
  <si>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</si>
  <si>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</si>
  <si>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</si>
  <si>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</si>
  <si>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</si>
  <si>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</si>
  <si>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</si>
  <si>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</si>
  <si>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</si>
  <si>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</si>
  <si>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</si>
  <si>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</si>
  <si>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</si>
  <si>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</si>
  <si>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</si>
  <si>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</si>
  <si>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</si>
  <si>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</si>
  <si>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</si>
  <si>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</si>
  <si>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</si>
  <si>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</si>
  <si>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</si>
  <si>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</si>
  <si>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</si>
  <si>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</si>
  <si>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</si>
  <si>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</si>
  <si>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</si>
  <si>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</si>
  <si>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</si>
  <si>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</si>
  <si>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</si>
  <si>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</si>
  <si>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</si>
  <si>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</si>
  <si>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</si>
  <si>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</si>
  <si>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</si>
  <si>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</si>
  <si>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</si>
  <si>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</si>
  <si>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</si>
  <si>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</si>
  <si>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</si>
  <si>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</si>
  <si>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</si>
  <si>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</si>
  <si>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</si>
  <si>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</si>
  <si>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</si>
  <si>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</si>
  <si>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</si>
  <si>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</si>
  <si>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</si>
  <si>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</si>
  <si>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</si>
  <si>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</si>
  <si>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</si>
  <si>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</si>
  <si>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</si>
  <si>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</si>
  <si>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</si>
  <si>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</si>
  <si>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</si>
  <si>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</si>
  <si>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</si>
  <si>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</si>
  <si>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</si>
  <si>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</si>
  <si>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</si>
  <si>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</si>
  <si>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</si>
  <si>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</si>
  <si>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</si>
  <si>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</si>
  <si>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</si>
  <si>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</si>
  <si>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</si>
  <si>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</si>
  <si>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</si>
  <si>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</si>
  <si>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</si>
  <si>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</si>
  <si>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</si>
  <si>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</si>
  <si>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</si>
  <si>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</si>
  <si>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</si>
  <si>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</si>
  <si>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</si>
  <si>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</si>
  <si>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</si>
  <si>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</si>
  <si>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</si>
  <si>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</si>
  <si>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</si>
  <si>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</si>
  <si>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</si>
  <si>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</si>
  <si>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</si>
  <si>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</si>
  <si>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</si>
  <si>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</si>
  <si>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</si>
  <si>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</si>
  <si>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</si>
  <si>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</si>
  <si>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</si>
  <si>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</si>
  <si>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</si>
  <si>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</si>
  <si>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</si>
  <si>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</si>
  <si>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</si>
  <si>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</si>
  <si>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</si>
  <si>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</si>
  <si>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</si>
  <si>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</si>
  <si>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</si>
  <si>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</si>
  <si>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</si>
  <si>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</si>
  <si>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</si>
  <si>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</si>
  <si>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</si>
  <si>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</si>
  <si>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</si>
  <si>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</si>
  <si>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</si>
  <si>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</si>
  <si>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</si>
  <si>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</si>
  <si>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</si>
  <si>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</si>
  <si>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</si>
  <si>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</si>
  <si>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</si>
  <si>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</si>
  <si>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</si>
  <si>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</si>
  <si>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</si>
  <si>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</si>
  <si>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</si>
  <si>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</si>
  <si>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</si>
  <si>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</si>
  <si>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</si>
  <si>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</si>
  <si>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</si>
  <si>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</si>
  <si>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</si>
  <si>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</si>
  <si>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</si>
  <si>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</si>
  <si>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</si>
  <si>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</si>
  <si>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</si>
  <si>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</si>
  <si>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</si>
  <si>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</si>
  <si>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</si>
  <si>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</si>
  <si>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</si>
  <si>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</si>
  <si>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</si>
  <si>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</si>
  <si>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</si>
  <si>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</si>
  <si>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</si>
  <si>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</si>
  <si>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</si>
  <si>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</si>
  <si>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</si>
  <si>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</si>
  <si>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</si>
  <si>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</si>
  <si>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</si>
  <si>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</si>
  <si>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</si>
  <si>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</si>
  <si>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</si>
  <si>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</si>
  <si>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</si>
  <si>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</si>
  <si>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</si>
  <si>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</si>
  <si>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</si>
  <si>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</si>
  <si>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</si>
  <si>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</si>
  <si>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</si>
  <si>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</si>
  <si>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</si>
  <si>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</si>
  <si>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</si>
  <si>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</si>
  <si>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</si>
  <si>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</si>
  <si>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</si>
  <si>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</si>
  <si>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</si>
  <si>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</si>
  <si>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</si>
  <si>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</si>
  <si>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</si>
  <si>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</si>
  <si>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</si>
  <si>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</si>
  <si>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</si>
  <si>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</si>
  <si>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</si>
  <si>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</si>
  <si>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</si>
  <si>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</si>
  <si>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</si>
  <si>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</si>
  <si>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</si>
  <si>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</si>
  <si>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</si>
  <si>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</si>
  <si>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</si>
  <si>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</si>
  <si>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</si>
  <si>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</si>
  <si>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</si>
  <si>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</si>
  <si>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</si>
  <si>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</si>
  <si>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</si>
  <si>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</si>
  <si>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</si>
  <si>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</si>
  <si>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</si>
  <si>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</si>
  <si>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</si>
  <si>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</si>
  <si>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</si>
  <si>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</si>
  <si>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</si>
  <si>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</si>
  <si>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</si>
  <si>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</si>
  <si>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</si>
  <si>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</si>
  <si>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</si>
  <si>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</si>
  <si>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</si>
  <si>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</si>
  <si>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</si>
  <si>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</si>
  <si>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</si>
  <si>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</si>
  <si>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</si>
  <si>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</si>
  <si>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</si>
  <si>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</si>
  <si>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</si>
  <si>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</si>
  <si>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</si>
  <si>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</si>
  <si>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</si>
  <si>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</si>
  <si>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</si>
  <si>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</si>
  <si>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</si>
  <si>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</si>
  <si>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</si>
  <si>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</si>
  <si>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</si>
  <si>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</si>
  <si>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</si>
  <si>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</si>
  <si>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</si>
  <si>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</si>
  <si>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</si>
  <si>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</si>
  <si>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</si>
  <si>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</si>
  <si>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</si>
  <si>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</si>
  <si>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</si>
  <si>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</si>
  <si>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</si>
  <si>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</si>
  <si>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</si>
  <si>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</si>
  <si>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</si>
  <si>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</si>
  <si>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</si>
  <si>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</si>
  <si>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</si>
  <si>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</si>
  <si>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</si>
  <si>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</si>
  <si>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</si>
  <si>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</si>
  <si>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</si>
  <si>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</si>
  <si>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</si>
  <si>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</si>
  <si>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</si>
  <si>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</si>
  <si>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</si>
  <si>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</si>
  <si>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</si>
  <si>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</si>
  <si>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</si>
  <si>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</si>
  <si>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</si>
  <si>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</si>
  <si>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</si>
  <si>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</si>
  <si>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</si>
  <si>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</si>
  <si>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</si>
  <si>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</si>
  <si>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</si>
  <si>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</si>
  <si>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</si>
  <si>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</si>
  <si>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</si>
  <si>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</si>
  <si>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</si>
  <si>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</si>
  <si>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</si>
  <si>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</si>
  <si>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</si>
  <si>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</si>
  <si>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</si>
  <si>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</si>
  <si>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</si>
  <si>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</si>
  <si>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</si>
  <si>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</si>
  <si>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</si>
  <si>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</si>
  <si>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</si>
  <si>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</si>
  <si>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</si>
  <si>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</si>
  <si>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</si>
  <si>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</si>
  <si>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</si>
  <si>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</si>
  <si>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</si>
  <si>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</si>
  <si>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</si>
  <si>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</si>
  <si>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</si>
  <si>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</si>
  <si>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</si>
  <si>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</si>
  <si>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</si>
  <si>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</si>
  <si>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</si>
  <si>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</si>
  <si>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</si>
  <si>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</si>
  <si>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</si>
  <si>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</si>
  <si>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</si>
  <si>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</si>
  <si>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</si>
  <si>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</si>
  <si>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</si>
  <si>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</si>
  <si>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</si>
  <si>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</si>
  <si>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</si>
  <si>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</si>
  <si>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</si>
  <si>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</si>
  <si>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</si>
  <si>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</si>
  <si>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</si>
  <si>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</si>
  <si>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</si>
  <si>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</si>
  <si>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</si>
  <si>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</si>
  <si>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</si>
  <si>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</si>
  <si>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</si>
  <si>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</si>
  <si>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</si>
  <si>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</si>
  <si>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</si>
  <si>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</si>
  <si>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</si>
  <si>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</si>
  <si>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</si>
  <si>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</si>
  <si>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</si>
  <si>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</si>
  <si>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</si>
  <si>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</si>
  <si>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</si>
  <si>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</si>
  <si>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</si>
  <si>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</si>
  <si>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</si>
  <si>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</si>
  <si>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</si>
  <si>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</si>
  <si>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</si>
  <si>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</si>
  <si>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</si>
  <si>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</si>
  <si>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</si>
  <si>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</si>
  <si>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</si>
  <si>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</si>
  <si>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</si>
  <si>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</si>
  <si>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</si>
  <si>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</si>
  <si>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</si>
  <si>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</si>
  <si>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</si>
  <si>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</si>
  <si>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</si>
  <si>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</si>
  <si>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</si>
  <si>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</si>
  <si>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</si>
  <si>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</si>
  <si>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</si>
  <si>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</si>
  <si>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</si>
  <si>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</si>
  <si>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</si>
  <si>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</si>
  <si>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</si>
  <si>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</si>
  <si>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</si>
  <si>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</si>
  <si>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</si>
  <si>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</si>
  <si>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</si>
  <si>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</si>
  <si>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</si>
  <si>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</si>
  <si>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</si>
  <si>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</si>
  <si>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</si>
  <si>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</si>
  <si>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</si>
  <si>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</si>
  <si>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</si>
  <si>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</si>
  <si>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</si>
  <si>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</si>
  <si>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</si>
  <si>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</si>
  <si>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</si>
  <si>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</si>
  <si>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</si>
  <si>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</si>
  <si>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</si>
  <si>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</si>
  <si>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</si>
  <si>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</si>
  <si>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</si>
  <si>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</si>
  <si>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</si>
  <si>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</si>
  <si>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</si>
  <si>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</si>
  <si>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</si>
  <si>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</si>
  <si>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</si>
  <si>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</si>
  <si>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</si>
  <si>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</si>
  <si>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</si>
  <si>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</si>
  <si>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</si>
  <si>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</si>
  <si>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</si>
  <si>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</si>
  <si>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</si>
  <si>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</si>
  <si>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</si>
  <si>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</si>
  <si>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</si>
  <si>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</si>
  <si>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</si>
  <si>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</si>
  <si>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</si>
  <si>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</si>
  <si>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</si>
  <si>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</si>
  <si>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</si>
  <si>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</si>
  <si>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</si>
  <si>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</si>
  <si>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</si>
  <si>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</si>
  <si>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</si>
  <si>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</si>
  <si>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</si>
  <si>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</si>
  <si>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</si>
  <si>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</si>
  <si>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</si>
  <si>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</si>
  <si>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</si>
  <si>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</si>
  <si>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</si>
  <si>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</si>
  <si>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</si>
  <si>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</si>
  <si>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</si>
  <si>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</si>
  <si>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</si>
  <si>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</si>
  <si>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</si>
  <si>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</si>
  <si>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</si>
  <si>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</si>
  <si>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</si>
  <si>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</si>
  <si>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</si>
  <si>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</si>
  <si>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</si>
  <si>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</si>
  <si>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</si>
  <si>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</si>
  <si>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</si>
  <si>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</si>
  <si>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</si>
  <si>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</si>
  <si>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</si>
  <si>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</si>
  <si>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</si>
  <si>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</si>
  <si>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</si>
  <si>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</si>
  <si>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</si>
  <si>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</si>
  <si>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</si>
  <si>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</si>
  <si>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</si>
  <si>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</si>
  <si>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</si>
  <si>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</si>
  <si>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</si>
  <si>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</si>
  <si>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</si>
  <si>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</si>
  <si>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</si>
  <si>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</si>
  <si>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</si>
  <si>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</si>
  <si>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</si>
  <si>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</si>
  <si>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</si>
  <si>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</si>
  <si>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</si>
  <si>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</si>
  <si>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</si>
  <si>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</si>
  <si>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</si>
  <si>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</si>
  <si>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</si>
  <si>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</si>
  <si>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</si>
  <si>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</si>
  <si>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</si>
  <si>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</si>
  <si>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</si>
  <si>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</si>
  <si>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</si>
  <si>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</si>
  <si>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</si>
  <si>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</si>
  <si>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</si>
  <si>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</si>
  <si>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</si>
  <si>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</si>
  <si>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</si>
  <si>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</si>
  <si>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</si>
  <si>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</si>
  <si>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</si>
  <si>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</si>
  <si>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</si>
  <si>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</si>
  <si>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</si>
  <si>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</si>
  <si>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</si>
  <si>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</si>
  <si>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</si>
  <si>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</si>
  <si>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</si>
  <si>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</si>
  <si>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</si>
  <si>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</si>
  <si>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</si>
  <si>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</si>
  <si>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</si>
  <si>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</si>
  <si>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</si>
  <si>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</si>
  <si>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</si>
  <si>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</si>
  <si>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</si>
  <si>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</si>
  <si>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</si>
  <si>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</si>
  <si>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</si>
  <si>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</si>
  <si>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</si>
  <si>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</si>
  <si>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</si>
  <si>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</si>
  <si>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</si>
  <si>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</si>
  <si>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</si>
  <si>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</si>
  <si>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</si>
  <si>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</si>
  <si>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</si>
  <si>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</si>
  <si>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</si>
  <si>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</si>
  <si>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</si>
  <si>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</si>
  <si>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</si>
  <si>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</si>
  <si>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</si>
  <si>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</si>
  <si>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</si>
  <si>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</si>
  <si>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</si>
  <si>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</si>
  <si>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</si>
  <si>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</si>
  <si>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</si>
  <si>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</si>
  <si>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</si>
  <si>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</si>
  <si>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</si>
  <si>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</si>
  <si>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</si>
  <si>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</si>
  <si>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</si>
  <si>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</si>
  <si>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</si>
  <si>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</si>
  <si>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</si>
  <si>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</si>
  <si>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</si>
  <si>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</si>
  <si>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</si>
  <si>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</si>
  <si>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</si>
  <si>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</si>
  <si>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</si>
  <si>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</si>
  <si>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</si>
  <si>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</si>
  <si>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</si>
  <si>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</si>
  <si>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</si>
  <si>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</si>
  <si>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</si>
  <si>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</si>
  <si>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</si>
  <si>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</si>
  <si>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</si>
  <si>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</si>
  <si>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</si>
  <si>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</si>
  <si>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</si>
  <si>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</si>
  <si>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</si>
  <si>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</si>
  <si>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</si>
  <si>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</si>
  <si>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</si>
  <si>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</si>
  <si>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</si>
  <si>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</si>
  <si>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</si>
  <si>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</si>
  <si>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</si>
  <si>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</si>
  <si>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</si>
  <si>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</si>
  <si>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</si>
  <si>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</si>
  <si>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</si>
  <si>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</si>
  <si>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</si>
  <si>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</si>
  <si>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</si>
  <si>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</si>
  <si>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</si>
  <si>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</si>
  <si>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</si>
  <si>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</si>
  <si>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</si>
  <si>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</si>
  <si>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</si>
  <si>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</si>
  <si>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</si>
  <si>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</si>
  <si>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</si>
  <si>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</si>
  <si>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</si>
  <si>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</si>
  <si>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</si>
  <si>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</si>
  <si>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</si>
  <si>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</si>
  <si>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</si>
  <si>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</si>
  <si>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</si>
  <si>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</si>
  <si>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</si>
  <si>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</si>
  <si>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</si>
  <si>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</si>
  <si>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</si>
  <si>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</si>
  <si>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</si>
  <si>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</si>
  <si>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</si>
  <si>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</si>
  <si>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</si>
  <si>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</si>
  <si>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</si>
  <si>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</si>
  <si>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</si>
  <si>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</si>
  <si>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</si>
  <si>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</si>
  <si>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</si>
  <si>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</si>
  <si>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</si>
  <si>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</si>
  <si>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</si>
  <si>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</si>
  <si>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</si>
  <si>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</si>
  <si>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</si>
  <si>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</si>
  <si>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</si>
  <si>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</si>
  <si>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</si>
  <si>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</si>
  <si>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</si>
  <si>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</si>
  <si>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</si>
  <si>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</si>
  <si>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</si>
  <si>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</si>
  <si>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</si>
  <si>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</si>
  <si>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</si>
  <si>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</si>
  <si>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</si>
  <si>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</si>
  <si>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</si>
  <si>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</si>
  <si>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</si>
  <si>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</si>
  <si>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</si>
  <si>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</si>
  <si>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</si>
  <si>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</si>
  <si>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</si>
  <si>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</si>
  <si>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</si>
  <si>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</si>
  <si>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</si>
  <si>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</si>
  <si>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</si>
  <si>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</si>
  <si>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</si>
  <si>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</si>
  <si>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</si>
  <si>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</si>
  <si>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</si>
  <si>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</si>
  <si>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</si>
  <si>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</si>
  <si>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</si>
  <si>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</si>
  <si>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</si>
  <si>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</si>
  <si>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</si>
  <si>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</si>
  <si>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</si>
  <si>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</si>
  <si>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</si>
  <si>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</si>
  <si>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</si>
  <si>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</si>
  <si>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</si>
  <si>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</si>
  <si>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</si>
  <si>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</si>
  <si>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</si>
  <si>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</si>
  <si>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</si>
  <si>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</si>
  <si>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</si>
  <si>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</si>
  <si>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</si>
  <si>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</si>
  <si>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</si>
  <si>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</si>
  <si>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</si>
  <si>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</si>
  <si>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</si>
  <si>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</si>
  <si>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</si>
  <si>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</si>
  <si>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</si>
  <si>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</si>
  <si>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</si>
  <si>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</si>
  <si>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</si>
  <si>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</si>
  <si>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</si>
  <si>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</si>
  <si>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</si>
  <si>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</si>
  <si>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</si>
  <si>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</si>
  <si>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</si>
  <si>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</si>
  <si>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</si>
  <si>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</si>
  <si>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</si>
  <si>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</si>
  <si>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</si>
  <si>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</si>
  <si>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</si>
  <si>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</si>
  <si>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</si>
  <si>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</si>
  <si>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</si>
  <si>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</si>
  <si>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</si>
  <si>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</si>
  <si>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</si>
  <si>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</si>
  <si>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</si>
  <si>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</si>
  <si>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</si>
  <si>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</si>
  <si>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</si>
  <si>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</si>
  <si>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</si>
  <si>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</si>
  <si>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</si>
  <si>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</si>
  <si>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</si>
  <si>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</si>
  <si>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</si>
  <si>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</si>
  <si>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</si>
  <si>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</si>
  <si>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</si>
  <si>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</si>
  <si>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</si>
  <si>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</si>
  <si>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</si>
  <si>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</si>
  <si>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</si>
  <si>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</si>
  <si>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</si>
  <si>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</si>
  <si>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</si>
  <si>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</si>
  <si>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</si>
  <si>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</si>
  <si>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</si>
  <si>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</si>
  <si>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</si>
  <si>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</si>
  <si>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</si>
  <si>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</si>
  <si>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</si>
  <si>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</si>
  <si>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</si>
  <si>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</si>
  <si>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</si>
  <si>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</si>
  <si>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</si>
  <si>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</si>
  <si>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</si>
  <si>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</si>
  <si>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</si>
  <si>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</si>
  <si>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</si>
  <si>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</si>
  <si>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</si>
  <si>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</si>
  <si>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</si>
  <si>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</si>
  <si>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</si>
  <si>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</si>
  <si>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</si>
  <si>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</si>
  <si>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</si>
  <si>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</si>
  <si>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</si>
  <si>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</si>
  <si>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</si>
  <si>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</si>
  <si>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</si>
  <si>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</si>
  <si>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</si>
  <si>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</si>
  <si>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</si>
  <si>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</si>
  <si>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</si>
  <si>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</si>
  <si>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</si>
  <si>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</si>
  <si>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</si>
  <si>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</si>
  <si>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</si>
  <si>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</si>
  <si>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</si>
  <si>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</si>
  <si>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</si>
  <si>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</si>
  <si>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</si>
  <si>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</si>
  <si>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</si>
  <si>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</si>
  <si>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</si>
  <si>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</si>
  <si>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</si>
  <si>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</si>
  <si>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</si>
  <si>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</si>
  <si>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</si>
  <si>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</si>
  <si>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</si>
  <si>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</si>
  <si>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</si>
  <si>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</si>
  <si>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</si>
  <si>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</si>
  <si>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</si>
  <si>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</si>
  <si>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</si>
  <si>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</si>
  <si>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</si>
  <si>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</si>
  <si>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</si>
  <si>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</si>
  <si>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</si>
  <si>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</si>
  <si>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</si>
  <si>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</si>
  <si>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</si>
  <si>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</si>
  <si>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</si>
  <si>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</si>
  <si>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</si>
  <si>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</si>
  <si>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</si>
  <si>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</si>
  <si>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</si>
  <si>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</si>
  <si>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</si>
  <si>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</si>
  <si>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</si>
  <si>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</si>
  <si>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</si>
  <si>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</si>
  <si>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</si>
  <si>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</si>
  <si>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</si>
  <si>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</si>
  <si>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</si>
  <si>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</si>
  <si>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</si>
  <si>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</si>
  <si>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</si>
  <si>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</si>
  <si>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</si>
  <si>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</si>
  <si>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</si>
  <si>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</si>
  <si>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</si>
  <si>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</si>
  <si>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</si>
  <si>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</si>
  <si>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</si>
  <si>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</si>
  <si>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</si>
  <si>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</si>
  <si>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</si>
  <si>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</si>
  <si>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</si>
  <si>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</si>
  <si>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</si>
  <si>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</si>
  <si>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</si>
  <si>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</si>
  <si>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</si>
  <si>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</si>
  <si>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</si>
  <si>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</si>
  <si>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</si>
  <si>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</si>
  <si>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</si>
  <si>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</si>
  <si>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</si>
  <si>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</si>
  <si>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</si>
  <si>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</si>
  <si>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</si>
  <si>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</si>
  <si>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</si>
  <si>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</si>
  <si>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</si>
  <si>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</si>
  <si>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</si>
  <si>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</si>
  <si>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</si>
  <si>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</si>
  <si>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</si>
  <si>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</si>
  <si>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</si>
  <si>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</si>
  <si>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</si>
  <si>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</si>
  <si>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</si>
  <si>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</si>
  <si>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</si>
  <si>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</si>
  <si>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</si>
  <si>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</si>
  <si>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</si>
  <si>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</si>
  <si>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</si>
  <si>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</si>
  <si>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</si>
  <si>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</si>
  <si>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</si>
  <si>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</si>
  <si>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</si>
  <si>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</si>
  <si>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</si>
  <si>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</si>
  <si>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</si>
  <si>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</si>
  <si>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</si>
  <si>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</si>
  <si>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</si>
  <si>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</si>
  <si>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</si>
  <si>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</si>
  <si>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</si>
  <si>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</si>
  <si>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</si>
  <si>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</si>
  <si>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</si>
  <si>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</si>
  <si>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</si>
  <si>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</si>
  <si>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</si>
  <si>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</si>
  <si>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</si>
  <si>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</si>
  <si>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</si>
  <si>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</si>
  <si>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</si>
  <si>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</si>
  <si>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</si>
  <si>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</si>
  <si>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</si>
  <si>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</si>
  <si>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</si>
  <si>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</si>
  <si>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</si>
  <si>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</si>
  <si>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</si>
  <si>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</si>
  <si>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</si>
  <si>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</si>
  <si>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</si>
  <si>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</si>
  <si>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</si>
  <si>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</si>
  <si>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</si>
  <si>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</si>
  <si>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</si>
  <si>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</si>
  <si>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</si>
  <si>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</si>
  <si>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</si>
  <si>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</si>
  <si>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</si>
  <si>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</si>
  <si>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</si>
  <si>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</si>
  <si>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</si>
  <si>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</si>
  <si>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</si>
  <si>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</si>
  <si>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</si>
  <si>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</si>
  <si>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</si>
  <si>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</si>
  <si>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</si>
  <si>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</si>
  <si>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</si>
  <si>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</si>
  <si>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</si>
  <si>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</si>
  <si>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</si>
  <si>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</si>
  <si>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</si>
  <si>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</si>
  <si>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</si>
  <si>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</si>
  <si>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</si>
  <si>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</si>
  <si>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</si>
  <si>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</si>
  <si>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</si>
  <si>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</si>
  <si>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</si>
  <si>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</si>
  <si>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</si>
  <si>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</si>
  <si>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</si>
  <si>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</si>
  <si>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</si>
  <si>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</si>
  <si>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</si>
  <si>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</si>
  <si>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</si>
  <si>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</si>
  <si>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</si>
  <si>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</si>
  <si>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</si>
  <si>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</si>
  <si>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</si>
  <si>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</si>
  <si>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</si>
  <si>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</si>
  <si>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</si>
  <si>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</si>
  <si>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</si>
  <si>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</si>
  <si>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</si>
  <si>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</si>
  <si>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</si>
  <si>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</si>
  <si>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</si>
  <si>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</si>
  <si>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</si>
  <si>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</si>
  <si>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</si>
  <si>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</si>
  <si>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</si>
  <si>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</si>
  <si>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</si>
  <si>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</si>
  <si>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</si>
  <si>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</si>
  <si>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</si>
  <si>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</si>
  <si>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</si>
  <si>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</si>
  <si>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</si>
  <si>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</si>
  <si>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</si>
  <si>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</si>
  <si>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</si>
  <si>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</si>
  <si>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</si>
  <si>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</si>
  <si>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</si>
  <si>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</si>
  <si>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</si>
  <si>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</si>
  <si>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</si>
  <si>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</si>
  <si>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</si>
  <si>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</si>
  <si>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</si>
  <si>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</si>
  <si>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</si>
  <si>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</si>
  <si>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</si>
  <si>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</si>
  <si>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</si>
  <si>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</si>
  <si>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</si>
  <si>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</si>
  <si>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</si>
  <si>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</si>
  <si>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</si>
  <si>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</si>
  <si>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</si>
  <si>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</si>
  <si>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</si>
  <si>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</si>
  <si>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</si>
  <si>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</si>
  <si>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</si>
  <si>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</si>
  <si>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</si>
  <si>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</si>
  <si>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</si>
  <si>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</si>
  <si>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</si>
  <si>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</si>
  <si>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</si>
  <si>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</si>
  <si>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</si>
  <si>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</si>
  <si>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</si>
  <si>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</si>
  <si>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</si>
  <si>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</si>
  <si>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</si>
  <si>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</si>
  <si>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</si>
  <si>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</si>
  <si>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</si>
  <si>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</si>
  <si>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</si>
  <si>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</si>
  <si>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</si>
  <si>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</si>
  <si>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</si>
  <si>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</si>
  <si>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</si>
  <si>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</si>
  <si>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</si>
  <si>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</si>
  <si>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</si>
  <si>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</si>
  <si>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</si>
  <si>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</si>
  <si>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</si>
  <si>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</si>
  <si>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</si>
  <si>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</si>
  <si>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</si>
  <si>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</si>
  <si>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</si>
  <si>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</si>
  <si>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</si>
  <si>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</si>
  <si>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</si>
  <si>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</si>
  <si>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</si>
  <si>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</si>
  <si>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</si>
  <si>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</si>
  <si>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</si>
  <si>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</si>
  <si>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</si>
  <si>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</si>
  <si>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</si>
  <si>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</si>
  <si>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</si>
  <si>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</si>
  <si>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</si>
  <si>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</si>
  <si>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</si>
  <si>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</si>
  <si>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</si>
  <si>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</si>
  <si>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</si>
  <si>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</si>
  <si>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</si>
  <si>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</si>
  <si>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</si>
  <si>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</si>
  <si>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</si>
  <si>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</si>
  <si>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</si>
  <si>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</si>
  <si>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</si>
  <si>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</si>
  <si>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</si>
  <si>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</si>
  <si>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</si>
  <si>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</si>
  <si>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</si>
  <si>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</si>
  <si>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</si>
  <si>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</si>
  <si>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</si>
  <si>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</si>
  <si>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</si>
  <si>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</si>
  <si>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</si>
  <si>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</si>
  <si>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</si>
  <si>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</si>
  <si>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</si>
  <si>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</si>
  <si>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</si>
  <si>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</si>
  <si>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</si>
  <si>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</si>
  <si>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</si>
  <si>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</si>
  <si>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</si>
  <si>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</si>
  <si>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</si>
  <si>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</si>
  <si>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</si>
  <si>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</si>
  <si>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</si>
  <si>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</si>
  <si>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</si>
  <si>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</si>
  <si>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</si>
  <si>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</si>
  <si>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</si>
  <si>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</si>
  <si>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</si>
  <si>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</si>
  <si>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</si>
  <si>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</si>
  <si>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</si>
  <si>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</si>
  <si>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</si>
  <si>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</si>
  <si>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</si>
  <si>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</si>
  <si>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</si>
  <si>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</si>
  <si>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</si>
  <si>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</si>
  <si>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</si>
  <si>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</si>
  <si>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</si>
  <si>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</si>
  <si>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</si>
  <si>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</si>
  <si>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</si>
  <si>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</si>
  <si>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</si>
  <si>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</si>
  <si>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</si>
  <si>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</si>
  <si>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</si>
  <si>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</si>
  <si>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</si>
  <si>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</si>
  <si>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</si>
  <si>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</si>
  <si>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</si>
  <si>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</si>
  <si>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</si>
  <si>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</si>
  <si>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</si>
  <si>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</si>
  <si>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</si>
  <si>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</si>
  <si>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</si>
  <si>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</si>
  <si>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</si>
  <si>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</si>
  <si>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</si>
  <si>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</si>
  <si>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</si>
  <si>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</si>
  <si>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</si>
  <si>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</si>
  <si>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</si>
  <si>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</si>
  <si>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</si>
  <si>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</si>
  <si>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</si>
  <si>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</si>
  <si>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</si>
  <si>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</si>
  <si>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</si>
  <si>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</si>
  <si>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</si>
  <si>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</si>
  <si>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</si>
  <si>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</si>
  <si>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</si>
  <si>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</si>
  <si>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</si>
  <si>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</si>
  <si>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</si>
  <si>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</si>
  <si>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</si>
  <si>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</si>
  <si>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</si>
  <si>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</si>
  <si>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</si>
  <si>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</si>
  <si>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</si>
  <si>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</si>
  <si>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</si>
  <si>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</si>
  <si>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</si>
  <si>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</si>
  <si>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</si>
  <si>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</si>
  <si>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</si>
  <si>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</si>
  <si>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</si>
  <si>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</si>
  <si>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</si>
  <si>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</si>
  <si>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</si>
  <si>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</si>
  <si>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</si>
  <si>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</si>
  <si>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</si>
  <si>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</si>
  <si>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</si>
  <si>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</si>
  <si>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</si>
  <si>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</si>
  <si>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</si>
  <si>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</si>
  <si>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</si>
  <si>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</si>
  <si>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</si>
  <si>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</si>
  <si>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</si>
  <si>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</si>
  <si>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</si>
  <si>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</si>
  <si>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</si>
  <si>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</si>
  <si>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</si>
  <si>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</si>
  <si>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</si>
  <si>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</si>
  <si>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</si>
  <si>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</si>
  <si>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</si>
  <si>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</si>
  <si>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</si>
  <si>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</si>
  <si>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</si>
  <si>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</si>
  <si>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</si>
  <si>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</si>
  <si>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</si>
  <si>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</si>
  <si>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</si>
  <si>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</si>
  <si>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</si>
  <si>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</si>
  <si>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</si>
  <si>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</si>
  <si>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</si>
  <si>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</si>
  <si>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</si>
  <si>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</si>
  <si>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</si>
  <si>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</si>
  <si>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</si>
  <si>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</si>
  <si>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</si>
  <si>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</si>
  <si>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</si>
  <si>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</si>
  <si>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</si>
  <si>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</si>
  <si>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</si>
  <si>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</si>
  <si>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</si>
  <si>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</si>
  <si>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</si>
  <si>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</si>
  <si>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</si>
  <si>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</si>
  <si>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</si>
  <si>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</si>
  <si>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</si>
  <si>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</si>
  <si>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</si>
  <si>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</si>
  <si>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</si>
  <si>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</si>
  <si>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</si>
  <si>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</si>
  <si>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</si>
  <si>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</si>
  <si>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</si>
  <si>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</si>
  <si>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</si>
  <si>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</si>
  <si>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</si>
  <si>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</si>
  <si>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</si>
  <si>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</si>
  <si>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</si>
  <si>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</si>
  <si>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</si>
  <si>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</si>
  <si>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</si>
  <si>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</si>
  <si>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</si>
  <si>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</si>
  <si>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</si>
  <si>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</si>
  <si>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</si>
  <si>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</si>
  <si>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</si>
  <si>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</si>
  <si>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</si>
  <si>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</si>
  <si>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</si>
  <si>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</si>
  <si>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</si>
  <si>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</si>
  <si>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</si>
  <si>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</si>
  <si>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</si>
  <si>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</si>
  <si>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</si>
  <si>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</si>
  <si>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</si>
  <si>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</si>
  <si>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</si>
  <si>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</si>
  <si>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</si>
  <si>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</si>
  <si>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</si>
  <si>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</si>
  <si>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</si>
  <si>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</si>
  <si>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</si>
  <si>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</si>
  <si>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</si>
  <si>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</si>
  <si>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</si>
  <si>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</si>
  <si>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</si>
  <si>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</si>
  <si>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</si>
  <si>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</si>
  <si>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</si>
  <si>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</si>
  <si>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</si>
  <si>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</si>
  <si>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</si>
  <si>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</si>
  <si>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</si>
  <si>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</si>
  <si>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</si>
  <si>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</si>
  <si>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</si>
  <si>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</si>
  <si>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</si>
  <si>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</si>
  <si>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</si>
  <si>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</si>
  <si>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</si>
  <si>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</si>
  <si>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</si>
  <si>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</si>
  <si>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</si>
  <si>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</si>
  <si>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</si>
  <si>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</si>
  <si>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</si>
  <si>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</si>
  <si>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</si>
  <si>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</si>
  <si>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</si>
  <si>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</si>
  <si>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</si>
  <si>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</si>
  <si>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</si>
  <si>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</si>
  <si>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</si>
  <si>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</si>
  <si>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</si>
  <si>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</si>
  <si>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</si>
  <si>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</si>
  <si>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</si>
  <si>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</si>
  <si>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</si>
  <si>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</si>
  <si>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</si>
  <si>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</si>
  <si>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</si>
  <si>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</si>
  <si>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</si>
  <si>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</si>
  <si>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</si>
  <si>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</si>
  <si>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</si>
  <si>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</si>
  <si>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</si>
  <si>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</si>
  <si>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</si>
  <si>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</si>
  <si>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</si>
  <si>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</si>
  <si>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</si>
  <si>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</si>
  <si>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</si>
  <si>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</si>
  <si>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</si>
  <si>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</si>
  <si>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</si>
  <si>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</si>
  <si>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</si>
  <si>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</si>
  <si>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</si>
  <si>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</si>
  <si>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</si>
  <si>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</si>
  <si>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</si>
  <si>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</si>
  <si>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</si>
  <si>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</si>
  <si>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</si>
  <si>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</si>
  <si>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</si>
  <si>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</si>
  <si>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</si>
  <si>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</si>
  <si>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</si>
  <si>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</si>
  <si>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</si>
  <si>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</si>
  <si>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</si>
  <si>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</si>
  <si>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</si>
  <si>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</si>
  <si>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</si>
  <si>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</si>
  <si>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</si>
  <si>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</si>
  <si>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</si>
  <si>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</si>
  <si>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</si>
  <si>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</si>
  <si>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</si>
  <si>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</si>
  <si>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</si>
  <si>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</si>
  <si>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</si>
  <si>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</si>
  <si>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</si>
  <si>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</si>
  <si>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</si>
  <si>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</si>
  <si>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</si>
  <si>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</si>
  <si>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</si>
  <si>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</si>
  <si>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</si>
  <si>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</si>
  <si>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</si>
  <si>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</si>
  <si>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</si>
  <si>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</si>
  <si>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</si>
  <si>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</si>
  <si>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</si>
  <si>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</si>
  <si>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</si>
  <si>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</si>
  <si>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</si>
  <si>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</si>
  <si>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</si>
  <si>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</si>
  <si>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</si>
  <si>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</si>
  <si>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</si>
  <si>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</si>
  <si>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</si>
  <si>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</si>
  <si>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</si>
  <si>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</si>
  <si>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</si>
  <si>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</si>
  <si>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</si>
  <si>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</si>
  <si>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</si>
  <si>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</si>
  <si>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</si>
  <si>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</si>
  <si>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</si>
  <si>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</si>
  <si>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</si>
  <si>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</si>
  <si>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</si>
  <si>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</si>
  <si>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</si>
  <si>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</si>
  <si>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</si>
  <si>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</si>
  <si>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</si>
  <si>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</si>
  <si>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</si>
  <si>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</si>
  <si>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</si>
  <si>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</si>
  <si>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</si>
  <si>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</si>
  <si>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</si>
  <si>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</si>
  <si>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</si>
  <si>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</si>
  <si>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</si>
  <si>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</si>
  <si>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</si>
  <si>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</si>
  <si>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</si>
  <si>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</si>
  <si>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</si>
  <si>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</si>
  <si>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</si>
  <si>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</si>
  <si>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</si>
  <si>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</si>
  <si>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</si>
  <si>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</si>
  <si>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</si>
  <si>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</si>
  <si>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</si>
  <si>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</si>
  <si>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</si>
  <si>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</si>
  <si>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</si>
  <si>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</si>
  <si>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</si>
  <si>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</si>
  <si>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</si>
  <si>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</si>
  <si>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</si>
  <si>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</si>
  <si>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</si>
  <si>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</si>
  <si>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</si>
  <si>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</si>
  <si>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</si>
  <si>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</si>
  <si>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</si>
  <si>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</si>
  <si>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</si>
  <si>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</si>
  <si>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</si>
  <si>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</si>
  <si>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</si>
  <si>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</si>
  <si>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</si>
  <si>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</si>
  <si>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</si>
  <si>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</si>
  <si>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</si>
  <si>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</si>
  <si>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</si>
  <si>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</si>
  <si>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</si>
  <si>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</si>
  <si>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</si>
  <si>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</si>
  <si>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</si>
  <si>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</si>
  <si>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</si>
  <si>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</si>
  <si>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</si>
  <si>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</si>
  <si>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</si>
  <si>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</si>
  <si>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</si>
  <si>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</si>
  <si>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</si>
  <si>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</si>
  <si>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</si>
  <si>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</si>
  <si>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</si>
  <si>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</si>
  <si>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</si>
  <si>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</si>
  <si>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</si>
  <si>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</si>
  <si>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</si>
  <si>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</si>
  <si>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</si>
  <si>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</si>
  <si>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</si>
  <si>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</si>
  <si>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</si>
  <si>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</si>
  <si>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</si>
  <si>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</si>
  <si>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</si>
  <si>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</si>
  <si>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</si>
  <si>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</si>
  <si>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</si>
  <si>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</si>
  <si>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</si>
  <si>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</si>
  <si>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</si>
  <si>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</si>
  <si>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</si>
  <si>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</si>
  <si>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</si>
  <si>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</si>
  <si>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</si>
  <si>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</si>
  <si>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</si>
  <si>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</si>
  <si>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</si>
  <si>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</si>
  <si>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</si>
  <si>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</si>
  <si>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</si>
  <si>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</si>
  <si>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</si>
  <si>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</si>
  <si>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</si>
  <si>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</si>
  <si>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</si>
  <si>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</si>
  <si>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</si>
  <si>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</si>
  <si>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</si>
  <si>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</si>
  <si>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</si>
  <si>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</si>
  <si>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</si>
  <si>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</si>
  <si>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</si>
  <si>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</si>
  <si>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</si>
  <si>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</si>
  <si>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</si>
  <si>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</si>
  <si>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</si>
  <si>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</si>
  <si>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</si>
  <si>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</si>
  <si>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</si>
  <si>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</si>
  <si>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</si>
  <si>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</si>
  <si>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</si>
  <si>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</si>
  <si>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</si>
  <si>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</si>
  <si>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</si>
  <si>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</si>
  <si>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</si>
  <si>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</si>
  <si>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</si>
  <si>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</si>
  <si>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</si>
  <si>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</si>
  <si>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</si>
  <si>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</si>
  <si>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</si>
  <si>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</si>
  <si>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</si>
  <si>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</si>
  <si>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</si>
  <si>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</si>
  <si>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</si>
  <si>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</si>
  <si>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</si>
  <si>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</si>
  <si>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</si>
  <si>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</si>
  <si>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</si>
  <si>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</si>
  <si>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</si>
  <si>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</si>
  <si>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</si>
  <si>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</si>
  <si>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</si>
  <si>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</si>
  <si>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</si>
  <si>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</si>
  <si>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</si>
  <si>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</si>
  <si>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</si>
  <si>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</si>
  <si>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</si>
  <si>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</si>
  <si>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</si>
  <si>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</si>
  <si>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</si>
  <si>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</si>
  <si>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</si>
  <si>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</si>
  <si>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</si>
  <si>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</si>
  <si>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</si>
  <si>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</si>
  <si>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</si>
  <si>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</si>
  <si>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</si>
  <si>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</si>
  <si>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</si>
  <si>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</si>
  <si>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</si>
  <si>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</si>
  <si>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</si>
  <si>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</si>
  <si>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</si>
  <si>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</si>
  <si>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</si>
  <si>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</si>
  <si>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</si>
  <si>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</si>
  <si>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</si>
  <si>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</si>
  <si>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</si>
  <si>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</si>
  <si>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</si>
  <si>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</si>
  <si>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</si>
  <si>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</si>
  <si>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</si>
  <si>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</si>
  <si>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</si>
  <si>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</si>
  <si>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</si>
  <si>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</si>
  <si>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</si>
  <si>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</si>
  <si>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</si>
  <si>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</si>
  <si>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</si>
  <si>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</si>
  <si>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</si>
  <si>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</si>
  <si>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</si>
  <si>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</si>
  <si>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</si>
  <si>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</si>
  <si>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</si>
  <si>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</si>
  <si>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</si>
  <si>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</si>
  <si>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</si>
  <si>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</si>
  <si>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</si>
  <si>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</si>
  <si>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</si>
  <si>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</si>
  <si>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</si>
  <si>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</si>
  <si>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</si>
  <si>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</si>
  <si>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</si>
  <si>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</si>
  <si>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</si>
  <si>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</si>
  <si>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</si>
  <si>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</si>
  <si>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</si>
  <si>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</si>
  <si>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</si>
  <si>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</si>
  <si>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</si>
  <si>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</si>
  <si>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</si>
  <si>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</si>
  <si>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</si>
  <si>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</si>
  <si>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</si>
  <si>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</si>
  <si>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</si>
  <si>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</si>
  <si>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</si>
  <si>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</si>
  <si>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</si>
  <si>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</si>
  <si>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</si>
  <si>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</si>
  <si>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</si>
  <si>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</si>
  <si>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</si>
  <si>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</si>
  <si>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</si>
  <si>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</si>
  <si>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</si>
  <si>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</si>
  <si>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</si>
  <si>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</si>
  <si>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</si>
  <si>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</si>
  <si>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</si>
  <si>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</si>
  <si>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</si>
  <si>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</si>
  <si>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</si>
  <si>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</si>
  <si>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</si>
  <si>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</si>
  <si>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</si>
  <si>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</si>
  <si>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</si>
  <si>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</si>
  <si>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</si>
  <si>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</si>
  <si>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</si>
  <si>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</si>
  <si>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</si>
  <si>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</si>
  <si>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</si>
  <si>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</si>
  <si>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</si>
  <si>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</si>
  <si>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</si>
  <si>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</si>
  <si>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</si>
  <si>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</si>
  <si>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</si>
  <si>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</si>
  <si>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</si>
  <si>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</si>
  <si>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</si>
  <si>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</si>
  <si>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</si>
  <si>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</si>
  <si>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</si>
  <si>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</si>
  <si>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</si>
  <si>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</si>
  <si>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</si>
  <si>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</si>
  <si>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</si>
  <si>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</si>
  <si>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</si>
  <si>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</si>
  <si>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</si>
  <si>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</si>
  <si>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</si>
  <si>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</si>
  <si>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</si>
  <si>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</si>
  <si>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</si>
  <si>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</si>
  <si>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</si>
  <si>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</si>
  <si>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</si>
  <si>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</si>
  <si>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</si>
  <si>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</si>
  <si>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</si>
  <si>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</si>
  <si>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</si>
  <si>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</si>
  <si>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</si>
  <si>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</si>
  <si>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</si>
  <si>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</si>
  <si>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</si>
  <si>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</si>
  <si>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</si>
  <si>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</si>
  <si>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</si>
  <si>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</si>
  <si>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</si>
  <si>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</si>
  <si>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</si>
  <si>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</si>
  <si>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</si>
  <si>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</si>
  <si>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</si>
  <si>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</si>
  <si>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</si>
  <si>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</si>
  <si>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</si>
  <si>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</si>
  <si>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</si>
  <si>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</si>
  <si>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</si>
  <si>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</si>
  <si>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</si>
  <si>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</si>
  <si>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</si>
  <si>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</si>
  <si>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</si>
  <si>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</si>
  <si>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</si>
  <si>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</si>
  <si>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</si>
  <si>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</si>
  <si>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</si>
  <si>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</si>
  <si>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</si>
  <si>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</si>
  <si>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</si>
  <si>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</si>
  <si>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</si>
  <si>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</si>
  <si>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</si>
  <si>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</si>
  <si>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</si>
  <si>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</si>
  <si>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</si>
  <si>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</si>
  <si>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</si>
  <si>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</si>
  <si>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</si>
  <si>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</si>
  <si>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</si>
  <si>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</si>
  <si>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</si>
  <si>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</si>
  <si>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</si>
  <si>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</si>
  <si>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</si>
  <si>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</si>
  <si>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</si>
  <si>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</si>
  <si>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</si>
  <si>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</si>
  <si>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</si>
  <si>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</si>
  <si>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</si>
  <si>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</si>
  <si>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</si>
  <si>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</si>
  <si>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</si>
  <si>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</si>
  <si>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</si>
  <si>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</si>
  <si>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</si>
  <si>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</si>
  <si>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</si>
  <si>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</si>
  <si>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</si>
  <si>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</si>
  <si>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</si>
  <si>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</si>
  <si>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</si>
  <si>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</si>
  <si>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</si>
  <si>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</si>
  <si>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</si>
  <si>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</si>
  <si>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</si>
  <si>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</si>
  <si>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</si>
  <si>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</si>
  <si>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</si>
  <si>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</si>
  <si>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</si>
  <si>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</si>
  <si>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</si>
  <si>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</si>
  <si>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</si>
  <si>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</si>
  <si>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</si>
  <si>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</si>
  <si>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</si>
  <si>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</si>
  <si>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</si>
  <si>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</si>
  <si>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</si>
  <si>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</si>
  <si>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</si>
  <si>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</si>
  <si>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</si>
  <si>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</si>
  <si>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</si>
  <si>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</si>
  <si>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</si>
  <si>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</si>
  <si>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</si>
  <si>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</si>
  <si>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</si>
  <si>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</si>
  <si>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</si>
  <si>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</si>
  <si>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</si>
  <si>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</si>
  <si>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</si>
  <si>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</si>
  <si>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</si>
  <si>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</si>
  <si>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</si>
  <si>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</si>
  <si>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</si>
  <si>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</si>
  <si>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</si>
  <si>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</si>
  <si>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</si>
  <si>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</si>
  <si>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</si>
  <si>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</si>
  <si>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</si>
  <si>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</si>
  <si>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</si>
  <si>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</si>
  <si>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</si>
  <si>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</si>
  <si>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</si>
  <si>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</si>
  <si>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</si>
  <si>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</si>
  <si>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</si>
  <si>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</si>
  <si>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</si>
  <si>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</si>
  <si>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</si>
  <si>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</si>
  <si>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</si>
  <si>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</si>
  <si>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</si>
  <si>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</si>
  <si>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</si>
  <si>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</si>
  <si>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</si>
  <si>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</si>
  <si>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</si>
  <si>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</si>
  <si>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</si>
  <si>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</si>
  <si>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</si>
  <si>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</si>
  <si>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</si>
  <si>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</si>
  <si>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</si>
  <si>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</si>
  <si>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</si>
  <si>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</si>
  <si>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</si>
  <si>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</si>
  <si>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</si>
  <si>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</si>
  <si>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</si>
  <si>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</si>
  <si>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</si>
  <si>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</si>
  <si>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</si>
  <si>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</si>
  <si>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</si>
  <si>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</si>
  <si>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</si>
  <si>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</si>
  <si>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</si>
  <si>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</si>
  <si>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</si>
  <si>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</si>
  <si>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</si>
  <si>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</si>
  <si>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</si>
  <si>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</si>
  <si>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</si>
  <si>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</si>
  <si>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</si>
  <si>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</si>
  <si>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</si>
  <si>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</si>
  <si>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</si>
  <si>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</si>
  <si>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</si>
  <si>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</si>
  <si>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</si>
  <si>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</si>
  <si>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</si>
  <si>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</si>
  <si>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</si>
  <si>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</si>
  <si>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</si>
  <si>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</si>
  <si>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</si>
  <si>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</si>
  <si>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</si>
  <si>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</si>
  <si>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</si>
  <si>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</si>
  <si>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</si>
  <si>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</si>
  <si>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</si>
  <si>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</si>
  <si>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</si>
  <si>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</si>
  <si>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</si>
  <si>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</si>
  <si>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</si>
  <si>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</si>
  <si>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</si>
  <si>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</si>
  <si>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</si>
  <si>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</si>
  <si>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</si>
  <si>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</si>
  <si>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</si>
  <si>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</si>
  <si>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</si>
  <si>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</si>
  <si>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</si>
  <si>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</si>
  <si>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</si>
  <si>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</si>
  <si>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</si>
  <si>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</si>
  <si>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</si>
  <si>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</si>
  <si>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</si>
  <si>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</si>
  <si>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</si>
  <si>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</si>
  <si>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</si>
  <si>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</si>
  <si>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</si>
  <si>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</si>
  <si>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</si>
  <si>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</si>
  <si>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</si>
  <si>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</si>
  <si>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</si>
  <si>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</si>
  <si>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</si>
  <si>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</si>
  <si>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</si>
  <si>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</si>
  <si>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</si>
  <si>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</si>
  <si>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</si>
  <si>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</si>
  <si>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</si>
  <si>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</si>
  <si>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</si>
  <si>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</si>
  <si>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</si>
  <si>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</si>
  <si>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</si>
  <si>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</si>
  <si>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</si>
  <si>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</si>
  <si>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</si>
  <si>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</si>
  <si>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</si>
  <si>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</si>
  <si>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</si>
  <si>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</si>
  <si>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</si>
  <si>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</si>
  <si>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</si>
  <si>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</si>
  <si>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</si>
  <si>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</si>
  <si>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</si>
  <si>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</si>
  <si>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</si>
  <si>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</si>
  <si>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</si>
  <si>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</si>
  <si>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</si>
  <si>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</si>
  <si>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</si>
  <si>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</si>
  <si>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</si>
  <si>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</si>
  <si>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</si>
  <si>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</si>
  <si>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</si>
  <si>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</si>
  <si>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</si>
  <si>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</si>
  <si>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</si>
  <si>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</si>
  <si>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</si>
  <si>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</si>
  <si>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</si>
  <si>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</si>
  <si>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</si>
  <si>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</si>
  <si>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</si>
  <si>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</si>
  <si>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</si>
  <si>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</si>
  <si>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</si>
  <si>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</si>
  <si>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</si>
  <si>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</si>
  <si>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</si>
  <si>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</si>
  <si>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</si>
  <si>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</si>
  <si>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</si>
  <si>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</si>
  <si>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</si>
  <si>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</si>
  <si>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</si>
  <si>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</si>
  <si>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</si>
  <si>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</si>
  <si>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</si>
  <si>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</si>
  <si>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</si>
  <si>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</si>
  <si>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</si>
  <si>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</si>
  <si>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</si>
  <si>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</si>
  <si>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</si>
  <si>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</si>
  <si>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</si>
  <si>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</si>
  <si>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</si>
  <si>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</si>
  <si>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</si>
  <si>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</si>
  <si>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</si>
  <si>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</si>
  <si>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</si>
  <si>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</si>
  <si>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</si>
  <si>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</si>
  <si>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</si>
  <si>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</si>
  <si>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</si>
  <si>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</si>
  <si>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</si>
  <si>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</si>
  <si>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</si>
  <si>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</si>
  <si>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</si>
  <si>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</si>
  <si>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</si>
  <si>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</si>
  <si>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</si>
  <si>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</si>
  <si>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</si>
  <si>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</si>
  <si>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</si>
  <si>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</si>
  <si>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</si>
  <si>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</si>
  <si>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</si>
  <si>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</si>
  <si>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</si>
  <si>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</si>
  <si>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</si>
  <si>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</si>
  <si>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</si>
  <si>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</si>
  <si>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</si>
  <si>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</si>
  <si>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</si>
  <si>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</si>
  <si>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</si>
  <si>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</si>
  <si>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</si>
  <si>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</si>
  <si>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</si>
  <si>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</si>
  <si>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</si>
  <si>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</si>
  <si>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</si>
  <si>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</si>
  <si>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</si>
  <si>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</si>
  <si>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</si>
  <si>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</si>
  <si>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</si>
  <si>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</si>
  <si>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</si>
  <si>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</si>
  <si>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</si>
  <si>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</si>
  <si>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</si>
  <si>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</si>
  <si>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</si>
  <si>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</si>
  <si>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</si>
  <si>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</si>
  <si>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</si>
  <si>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</si>
  <si>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</si>
  <si>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</si>
  <si>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</si>
  <si>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</si>
  <si>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</si>
  <si>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</si>
  <si>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</si>
  <si>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</si>
  <si>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</si>
  <si>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</si>
  <si>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</si>
  <si>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</si>
  <si>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</si>
  <si>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</si>
  <si>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</si>
  <si>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</si>
  <si>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</si>
  <si>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</si>
  <si>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</si>
  <si>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</si>
  <si>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</si>
  <si>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</si>
  <si>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</si>
  <si>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</si>
  <si>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</si>
  <si>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</si>
  <si>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</si>
  <si>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</si>
  <si>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</si>
  <si>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</si>
  <si>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</si>
  <si>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</si>
  <si>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</si>
  <si>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</si>
  <si>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</si>
  <si>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</si>
  <si>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</si>
  <si>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</si>
  <si>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</si>
  <si>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</si>
  <si>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</si>
  <si>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</si>
  <si>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</si>
  <si>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</si>
  <si>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</si>
  <si>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</si>
  <si>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</si>
  <si>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</si>
  <si>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</si>
  <si>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</si>
  <si>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</si>
  <si>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</si>
  <si>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</si>
  <si>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</si>
  <si>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</si>
  <si>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</si>
  <si>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</si>
  <si>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</si>
  <si>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</si>
  <si>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</si>
  <si>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</si>
  <si>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</si>
  <si>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</si>
  <si>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</si>
  <si>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</si>
  <si>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</si>
  <si>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</si>
  <si>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</si>
  <si>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</si>
  <si>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</si>
  <si>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</si>
  <si>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</si>
  <si>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</si>
  <si>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</si>
  <si>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</si>
  <si>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</si>
  <si>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</si>
  <si>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</si>
  <si>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</si>
  <si>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</si>
  <si>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</si>
  <si>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</si>
  <si>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</si>
  <si>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</si>
  <si>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</si>
  <si>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</si>
  <si>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</si>
  <si>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</si>
  <si>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</si>
  <si>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</si>
  <si>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</si>
  <si>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</si>
  <si>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</si>
  <si>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</si>
  <si>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</si>
  <si>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</si>
  <si>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</si>
  <si>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</si>
  <si>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</si>
  <si>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</si>
  <si>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</si>
  <si>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</si>
  <si>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</si>
  <si>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</si>
  <si>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</si>
  <si>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</si>
  <si>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</si>
  <si>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</si>
  <si>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</si>
  <si>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</si>
  <si>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</si>
  <si>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</si>
  <si>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</si>
  <si>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</si>
  <si>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</si>
  <si>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</si>
  <si>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</si>
  <si>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</si>
  <si>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</si>
  <si>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</si>
  <si>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</si>
  <si>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</si>
  <si>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</si>
  <si>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</si>
  <si>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</si>
  <si>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</si>
  <si>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</si>
  <si>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</si>
  <si>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</si>
  <si>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</si>
  <si>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</si>
  <si>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</si>
  <si>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</si>
  <si>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</si>
  <si>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</si>
  <si>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</si>
  <si>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</si>
  <si>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</si>
  <si>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</si>
  <si>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</si>
  <si>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</si>
  <si>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</si>
  <si>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</si>
  <si>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</si>
  <si>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</si>
  <si>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</si>
  <si>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</si>
  <si>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</si>
  <si>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</si>
  <si>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</si>
  <si>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</si>
  <si>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</si>
  <si>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</si>
  <si>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</si>
  <si>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</si>
  <si>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</si>
  <si>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</si>
  <si>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</si>
  <si>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</si>
  <si>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</si>
  <si>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</si>
  <si>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</si>
  <si>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</si>
  <si>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</si>
  <si>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</si>
  <si>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</si>
  <si>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</si>
  <si>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</si>
  <si>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</si>
  <si>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</si>
  <si>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</si>
  <si>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</si>
  <si>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</si>
  <si>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</si>
  <si>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</si>
  <si>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</si>
  <si>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</si>
  <si>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</si>
  <si>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</si>
  <si>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</si>
  <si>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</si>
  <si>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</si>
  <si>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</si>
  <si>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</si>
  <si>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</si>
  <si>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</si>
  <si>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</si>
  <si>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</si>
  <si>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</si>
  <si>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</si>
  <si>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</si>
  <si>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</si>
  <si>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</si>
  <si>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</si>
  <si>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</si>
  <si>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</si>
  <si>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</si>
  <si>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</si>
  <si>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</si>
  <si>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</si>
  <si>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</si>
  <si>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</si>
  <si>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</si>
  <si>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</si>
  <si>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</si>
  <si>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</si>
  <si>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</si>
  <si>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</si>
  <si>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</si>
  <si>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</si>
  <si>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</si>
  <si>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</si>
  <si>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</si>
  <si>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</si>
  <si>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</si>
  <si>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</si>
  <si>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</si>
  <si>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</si>
  <si>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</si>
  <si>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</si>
  <si>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</si>
  <si>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</si>
  <si>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</si>
  <si>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</si>
  <si>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</si>
  <si>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</si>
  <si>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</si>
  <si>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</si>
  <si>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</si>
  <si>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</si>
  <si>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</si>
  <si>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</si>
  <si>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</si>
  <si>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</si>
  <si>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</si>
  <si>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</si>
  <si>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</si>
  <si>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</si>
  <si>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</si>
  <si>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</si>
  <si>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</si>
  <si>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</si>
  <si>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</si>
  <si>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</si>
  <si>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</si>
  <si>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</si>
  <si>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</si>
  <si>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</si>
  <si>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</si>
  <si>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</si>
  <si>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</si>
  <si>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</si>
  <si>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</si>
  <si>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</si>
  <si>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</si>
  <si>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</si>
  <si>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</si>
  <si>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</si>
  <si>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</si>
  <si>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</si>
  <si>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</si>
  <si>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</si>
  <si>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</si>
  <si>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</si>
  <si>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</si>
  <si>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</si>
  <si>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</si>
  <si>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</si>
  <si>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</si>
  <si>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</si>
  <si>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</si>
  <si>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</si>
  <si>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</si>
  <si>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</si>
  <si>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</si>
  <si>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</si>
  <si>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</si>
  <si>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</si>
  <si>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</si>
  <si>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</si>
  <si>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</si>
  <si>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</si>
  <si>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</si>
  <si>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</si>
  <si>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</si>
  <si>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</si>
  <si>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</si>
  <si>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</si>
  <si>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</si>
  <si>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</si>
  <si>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</si>
  <si>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</si>
  <si>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</si>
  <si>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</si>
  <si>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</si>
  <si>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</si>
  <si>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</si>
  <si>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</si>
  <si>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</si>
  <si>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</si>
  <si>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</si>
  <si>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</si>
  <si>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</si>
  <si>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</si>
  <si>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</si>
  <si>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</si>
  <si>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</si>
  <si>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</si>
  <si>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</si>
  <si>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</si>
  <si>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</si>
  <si>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</si>
  <si>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</si>
  <si>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</si>
  <si>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</si>
  <si>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</si>
  <si>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</si>
  <si>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</si>
  <si>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</si>
  <si>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</si>
  <si>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</si>
  <si>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</si>
  <si>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</si>
  <si>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</si>
  <si>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</si>
  <si>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</si>
  <si>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</si>
  <si>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</si>
  <si>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</si>
  <si>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</si>
  <si>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</si>
  <si>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</si>
  <si>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</si>
  <si>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</si>
  <si>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</si>
  <si>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</si>
  <si>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</si>
  <si>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</si>
  <si>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</si>
  <si>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</si>
  <si>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</si>
  <si>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</si>
  <si>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</si>
  <si>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</si>
  <si>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</si>
  <si>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</si>
  <si>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</si>
  <si>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</si>
  <si>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</si>
  <si>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</si>
  <si>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</si>
  <si>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</si>
  <si>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</si>
  <si>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</si>
  <si>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</si>
  <si>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</si>
  <si>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</si>
  <si>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</si>
  <si>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</si>
  <si>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</si>
  <si>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</si>
  <si>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</si>
  <si>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</si>
  <si>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</si>
  <si>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</si>
  <si>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</si>
  <si>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</si>
  <si>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</si>
  <si>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</si>
  <si>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</si>
  <si>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</si>
  <si>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</si>
  <si>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</si>
  <si>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</si>
  <si>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</si>
  <si>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</si>
  <si>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</si>
  <si>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</si>
  <si>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</si>
  <si>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</si>
  <si>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</si>
  <si>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</si>
  <si>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</si>
  <si>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</si>
  <si>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</si>
  <si>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</si>
  <si>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</si>
  <si>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</si>
  <si>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</si>
  <si>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</si>
  <si>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</si>
  <si>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</si>
  <si>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</si>
  <si>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</si>
  <si>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</si>
  <si>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</si>
  <si>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</si>
  <si>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</si>
  <si>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</si>
  <si>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</si>
  <si>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</si>
  <si>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</si>
  <si>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</si>
  <si>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</si>
  <si>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</si>
  <si>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</si>
  <si>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</si>
  <si>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</si>
  <si>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</si>
  <si>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</si>
  <si>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</si>
  <si>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</si>
  <si>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</si>
  <si>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</si>
  <si>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</si>
  <si>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</si>
  <si>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</si>
  <si>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</si>
  <si>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</si>
  <si>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</si>
  <si>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</si>
  <si>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</si>
  <si>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</si>
  <si>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</si>
  <si>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</si>
  <si>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</si>
  <si>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</si>
  <si>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</si>
  <si>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</si>
  <si>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</si>
  <si>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</si>
  <si>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</si>
  <si>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</si>
  <si>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</si>
  <si>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</si>
  <si>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</si>
  <si>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</si>
  <si>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</si>
  <si>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</si>
  <si>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</si>
  <si>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</si>
  <si>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</si>
  <si>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</si>
  <si>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</si>
  <si>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</si>
  <si>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</si>
  <si>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</si>
  <si>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</si>
  <si>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</si>
  <si>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</si>
  <si>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</si>
  <si>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</si>
  <si>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</si>
  <si>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</si>
  <si>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</si>
  <si>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</si>
  <si>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</si>
  <si>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</si>
  <si>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</si>
  <si>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</si>
  <si>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</si>
  <si>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</si>
  <si>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</si>
  <si>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</si>
  <si>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</si>
  <si>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</si>
  <si>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</si>
  <si>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</si>
  <si>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</si>
  <si>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</si>
  <si>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</si>
  <si>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</si>
  <si>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</si>
  <si>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</si>
  <si>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</si>
  <si>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</si>
  <si>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</si>
  <si>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</si>
  <si>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</si>
  <si>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</si>
  <si>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</si>
  <si>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</si>
  <si>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</si>
  <si>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</si>
  <si>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</si>
  <si>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</si>
  <si>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</si>
  <si>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</si>
  <si>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</si>
  <si>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</si>
  <si>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</si>
  <si>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</si>
  <si>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</si>
  <si>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</si>
  <si>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</si>
  <si>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</si>
  <si>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</si>
  <si>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</si>
  <si>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</si>
  <si>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</si>
  <si>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</si>
  <si>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</si>
  <si>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</si>
  <si>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</si>
  <si>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</si>
  <si>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</si>
  <si>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</si>
  <si>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</si>
  <si>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</si>
  <si>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</si>
  <si>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</si>
  <si>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</si>
  <si>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</si>
  <si>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</si>
  <si>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</si>
  <si>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</si>
  <si>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</si>
  <si>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</si>
  <si>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</si>
  <si>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</si>
  <si>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</si>
  <si>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</si>
  <si>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</si>
  <si>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</si>
  <si>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</si>
  <si>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</si>
  <si>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</si>
  <si>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</si>
  <si>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</si>
  <si>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</si>
  <si>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</si>
  <si>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</si>
  <si>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</si>
  <si>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</si>
  <si>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</si>
  <si>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</si>
  <si>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</si>
  <si>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</si>
  <si>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</si>
  <si>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</si>
  <si>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</si>
  <si>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</si>
  <si>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</si>
  <si>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</si>
  <si>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</si>
  <si>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</si>
  <si>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</si>
  <si>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</si>
  <si>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</si>
  <si>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</si>
  <si>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</si>
  <si>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</si>
  <si>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</si>
  <si>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</si>
  <si>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</si>
  <si>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</si>
  <si>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</si>
  <si>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</si>
  <si>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</si>
  <si>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</si>
  <si>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</si>
  <si>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</si>
  <si>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</si>
  <si>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</si>
  <si>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</si>
  <si>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</si>
  <si>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</si>
  <si>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</si>
  <si>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</si>
  <si>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</si>
  <si>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</si>
  <si>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</si>
  <si>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</si>
  <si>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</si>
  <si>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</si>
  <si>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</si>
  <si>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</si>
  <si>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</si>
  <si>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</si>
  <si>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</si>
  <si>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</si>
  <si>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</si>
  <si>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</si>
  <si>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</si>
  <si>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</si>
  <si>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</si>
  <si>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</si>
  <si>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</si>
  <si>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</si>
  <si>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</si>
  <si>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</si>
  <si>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</si>
  <si>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</si>
  <si>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</si>
  <si>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</si>
  <si>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</si>
  <si>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</si>
  <si>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</si>
  <si>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</si>
  <si>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</si>
  <si>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</si>
  <si>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</si>
  <si>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</si>
  <si>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</si>
  <si>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</si>
  <si>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</si>
  <si>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</si>
  <si>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</si>
  <si>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</si>
  <si>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</si>
  <si>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</si>
  <si>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</si>
  <si>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</si>
  <si>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</si>
  <si>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</si>
  <si>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</si>
  <si>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</si>
  <si>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</si>
  <si>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</si>
  <si>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</si>
  <si>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</si>
  <si>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</si>
  <si>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</si>
  <si>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</si>
  <si>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</si>
  <si>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</si>
  <si>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</si>
  <si>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</si>
  <si>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</si>
  <si>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</si>
  <si>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</si>
  <si>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</si>
  <si>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</si>
  <si>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</si>
  <si>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</si>
  <si>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</si>
  <si>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</si>
  <si>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</si>
  <si>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</si>
  <si>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</si>
  <si>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</si>
  <si>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</si>
  <si>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</si>
  <si>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</si>
  <si>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</si>
  <si>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</si>
  <si>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</si>
  <si>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</si>
  <si>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</si>
  <si>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</si>
  <si>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</si>
  <si>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</si>
  <si>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</si>
  <si>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</si>
  <si>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</si>
  <si>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</si>
  <si>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</si>
  <si>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</si>
  <si>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</si>
  <si>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</si>
  <si>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</si>
  <si>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</si>
  <si>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</si>
  <si>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</si>
  <si>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</si>
  <si>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</si>
  <si>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</si>
  <si>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</si>
  <si>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</si>
  <si>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</si>
  <si>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</si>
  <si>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</si>
  <si>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</si>
  <si>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</si>
  <si>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</si>
  <si>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</si>
  <si>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</si>
  <si>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</si>
  <si>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</si>
  <si>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</si>
  <si>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</si>
  <si>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</si>
  <si>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</si>
  <si>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</si>
  <si>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</si>
  <si>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</si>
  <si>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</si>
  <si>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</si>
  <si>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</si>
  <si>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</si>
  <si>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</si>
  <si>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</si>
  <si>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</si>
  <si>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</si>
  <si>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</si>
  <si>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</si>
  <si>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</si>
  <si>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</si>
  <si>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</si>
  <si>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</si>
  <si>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</si>
  <si>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</si>
  <si>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</si>
  <si>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</si>
  <si>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</si>
  <si>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</si>
  <si>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</si>
  <si>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</si>
  <si>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</si>
  <si>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</si>
  <si>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</si>
  <si>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</si>
  <si>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</si>
  <si>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</si>
  <si>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</si>
  <si>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</si>
  <si>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</si>
  <si>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</si>
  <si>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</si>
  <si>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</si>
  <si>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</si>
  <si>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</si>
  <si>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</si>
  <si>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</si>
  <si>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</si>
  <si>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</si>
  <si>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</si>
  <si>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</si>
  <si>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</si>
  <si>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</si>
  <si>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</si>
  <si>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</si>
  <si>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</si>
  <si>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</si>
  <si>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</si>
  <si>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</si>
  <si>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</si>
  <si>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</si>
  <si>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</si>
  <si>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</si>
  <si>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</si>
  <si>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</si>
  <si>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</si>
  <si>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</si>
  <si>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</si>
  <si>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</si>
  <si>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</si>
  <si>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</si>
  <si>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</si>
  <si>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</si>
  <si>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</si>
  <si>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</si>
  <si>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</si>
  <si>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</si>
  <si>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</si>
  <si>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</si>
  <si>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</si>
  <si>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</si>
  <si>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</si>
  <si>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</si>
  <si>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</si>
  <si>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</si>
  <si>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</si>
  <si>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</si>
  <si>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</si>
  <si>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</si>
  <si>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</si>
  <si>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</si>
  <si>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</si>
  <si>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</si>
  <si>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</si>
  <si>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</si>
  <si>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</si>
  <si>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</si>
  <si>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</si>
  <si>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</si>
  <si>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</si>
  <si>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</si>
  <si>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</si>
  <si>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</si>
  <si>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</si>
  <si>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</si>
  <si>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</si>
  <si>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</si>
  <si>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</si>
  <si>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</si>
  <si>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</si>
  <si>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</si>
  <si>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</si>
  <si>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</si>
  <si>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</si>
  <si>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</si>
  <si>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</si>
  <si>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</si>
  <si>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</si>
  <si>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</si>
  <si>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</si>
  <si>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</si>
  <si>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</si>
  <si>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</si>
  <si>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</si>
  <si>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</si>
  <si>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</si>
  <si>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</si>
  <si>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</si>
  <si>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</si>
  <si>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</si>
  <si>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</si>
  <si>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</si>
  <si>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</si>
  <si>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</si>
  <si>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</si>
  <si>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</si>
  <si>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</si>
  <si>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</si>
  <si>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</si>
  <si>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</si>
  <si>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</si>
  <si>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</si>
  <si>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</si>
  <si>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</si>
  <si>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</si>
  <si>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</si>
  <si>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</si>
  <si>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</si>
  <si>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</si>
  <si>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</si>
  <si>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</si>
  <si>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</si>
  <si>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</si>
  <si>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</si>
  <si>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</si>
  <si>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</si>
  <si>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</si>
  <si>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</si>
  <si>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</si>
  <si>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</si>
  <si>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</si>
  <si>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</si>
  <si>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</si>
  <si>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</si>
  <si>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</si>
  <si>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</si>
  <si>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</si>
  <si>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</si>
  <si>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</si>
  <si>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</si>
  <si>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</si>
  <si>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</si>
  <si>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</si>
  <si>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</si>
  <si>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</si>
  <si>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</si>
  <si>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</si>
  <si>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</si>
  <si>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</si>
  <si>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</si>
  <si>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</si>
  <si>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</si>
  <si>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</si>
  <si>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</si>
  <si>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</si>
  <si>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</si>
  <si>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</si>
  <si>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</si>
  <si>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</si>
  <si>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</si>
  <si>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</si>
  <si>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</si>
  <si>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</si>
  <si>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</si>
  <si>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</si>
  <si>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</si>
  <si>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</si>
  <si>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</si>
  <si>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</si>
  <si>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</si>
  <si>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</si>
  <si>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</si>
  <si>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</si>
  <si>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</si>
  <si>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</si>
  <si>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</si>
  <si>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</si>
  <si>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</si>
  <si>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</si>
  <si>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</si>
  <si>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</si>
  <si>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</si>
  <si>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</si>
  <si>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</si>
  <si>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</si>
  <si>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</si>
  <si>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</si>
  <si>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</si>
  <si>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</si>
  <si>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</si>
  <si>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</si>
  <si>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</si>
  <si>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</si>
  <si>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</si>
  <si>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</si>
  <si>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</si>
  <si>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</si>
  <si>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</si>
  <si>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</si>
  <si>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</si>
  <si>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</si>
  <si>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</si>
  <si>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</si>
  <si>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</si>
  <si>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</si>
  <si>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</si>
  <si>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</si>
  <si>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</si>
  <si>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</si>
  <si>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</si>
  <si>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</si>
  <si>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</si>
  <si>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</si>
  <si>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</si>
  <si>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</si>
  <si>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</si>
  <si>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</si>
  <si>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</si>
  <si>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</si>
  <si>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</si>
  <si>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</si>
  <si>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</si>
  <si>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</si>
  <si>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</si>
  <si>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</si>
  <si>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</si>
  <si>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</si>
  <si>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</si>
  <si>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</si>
  <si>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</si>
  <si>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</si>
  <si>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</si>
  <si>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</si>
  <si>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</si>
  <si>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</si>
  <si>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</si>
  <si>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</si>
  <si>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</si>
  <si>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</si>
  <si>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</si>
  <si>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</si>
  <si>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</si>
  <si>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</si>
  <si>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</si>
  <si>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</si>
  <si>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</si>
  <si>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</si>
  <si>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</si>
  <si>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</si>
  <si>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</si>
  <si>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</si>
  <si>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</si>
  <si>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</si>
  <si>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</si>
  <si>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</si>
  <si>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</si>
  <si>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</si>
  <si>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</si>
  <si>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</si>
  <si>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</si>
  <si>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</si>
  <si>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</si>
  <si>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</si>
  <si>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</si>
  <si>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</si>
  <si>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</si>
  <si>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</si>
  <si>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</si>
  <si>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</si>
  <si>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</si>
  <si>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</si>
  <si>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</si>
  <si>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</si>
  <si>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</si>
  <si>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</si>
  <si>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</si>
  <si>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</si>
  <si>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</si>
  <si>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</si>
  <si>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</si>
  <si>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</si>
  <si>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</si>
  <si>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</si>
  <si>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</si>
  <si>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</si>
  <si>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</si>
  <si>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</si>
  <si>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</si>
  <si>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</si>
  <si>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</si>
  <si>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</si>
  <si>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</si>
  <si>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</si>
  <si>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</si>
  <si>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</si>
  <si>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</si>
  <si>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</si>
  <si>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</si>
  <si>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</si>
  <si>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</si>
  <si>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</si>
  <si>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</si>
  <si>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</si>
  <si>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</si>
  <si>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</si>
  <si>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</si>
  <si>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</si>
  <si>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</si>
  <si>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</si>
  <si>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</si>
  <si>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</si>
  <si>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</si>
  <si>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</si>
  <si>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</si>
  <si>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</si>
  <si>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</si>
  <si>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</si>
  <si>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</si>
  <si>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</si>
  <si>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</si>
  <si>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</si>
  <si>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</si>
  <si>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</si>
  <si>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</si>
  <si>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</si>
  <si>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</si>
  <si>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</si>
  <si>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</si>
  <si>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</si>
  <si>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</si>
  <si>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</si>
  <si>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</si>
  <si>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</si>
  <si>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</si>
  <si>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</si>
  <si>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</si>
  <si>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</si>
  <si>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</si>
  <si>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</si>
  <si>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</si>
  <si>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</si>
  <si>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</si>
  <si>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</si>
  <si>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</si>
  <si>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</si>
  <si>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</si>
  <si>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</si>
  <si>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</si>
  <si>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</si>
  <si>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</si>
  <si>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</si>
  <si>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</si>
  <si>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</si>
  <si>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</si>
  <si>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</si>
  <si>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</si>
  <si>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</si>
  <si>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</si>
  <si>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</si>
  <si>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</si>
  <si>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</si>
  <si>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</si>
  <si>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</si>
  <si>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</si>
  <si>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</si>
  <si>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</si>
  <si>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</si>
  <si>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</si>
  <si>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</si>
  <si>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</si>
  <si>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</si>
  <si>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</si>
  <si>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</si>
  <si>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</si>
  <si>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</si>
  <si>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</si>
  <si>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</si>
  <si>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</si>
  <si>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</si>
  <si>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</si>
  <si>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</si>
  <si>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</si>
  <si>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</si>
  <si>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</si>
  <si>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</si>
  <si>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</si>
  <si>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</si>
  <si>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</si>
  <si>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</si>
  <si>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</si>
  <si>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</si>
  <si>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</si>
  <si>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</si>
  <si>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</si>
  <si>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</si>
  <si>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</si>
  <si>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</si>
  <si>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</si>
  <si>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</si>
  <si>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</si>
  <si>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</si>
  <si>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</si>
  <si>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</si>
  <si>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</si>
  <si>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</si>
  <si>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</si>
  <si>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</si>
  <si>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</si>
  <si>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</si>
  <si>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</si>
  <si>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</si>
  <si>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</si>
  <si>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</si>
  <si>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</si>
  <si>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</si>
  <si>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</si>
  <si>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</si>
  <si>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</si>
  <si>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</si>
  <si>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</si>
  <si>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</si>
  <si>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</si>
  <si>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</si>
  <si>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</si>
  <si>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</si>
  <si>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</si>
  <si>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</si>
  <si>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</si>
  <si>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</si>
  <si>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</si>
  <si>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</si>
  <si>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</si>
  <si>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</si>
  <si>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</si>
  <si>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</si>
  <si>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</si>
  <si>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</si>
  <si>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</si>
  <si>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</si>
  <si>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</si>
  <si>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</si>
  <si>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</si>
  <si>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</si>
  <si>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</si>
  <si>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</si>
  <si>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</si>
  <si>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</si>
  <si>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</si>
  <si>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</si>
  <si>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</si>
  <si>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</si>
  <si>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</si>
  <si>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</si>
  <si>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</si>
  <si>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</si>
  <si>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</si>
  <si>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</si>
  <si>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</si>
  <si>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</si>
  <si>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</si>
  <si>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</si>
  <si>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</si>
  <si>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</si>
  <si>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</si>
  <si>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</si>
  <si>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</si>
  <si>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</si>
  <si>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</si>
  <si>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</si>
  <si>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</si>
  <si>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</si>
  <si>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</si>
  <si>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</si>
  <si>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</si>
  <si>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</si>
  <si>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</si>
  <si>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</si>
  <si>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</si>
  <si>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</si>
  <si>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</si>
  <si>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</si>
  <si>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</si>
  <si>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</si>
  <si>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</si>
  <si>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</si>
  <si>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</si>
  <si>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</si>
  <si>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</si>
  <si>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</si>
  <si>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</si>
  <si>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</si>
  <si>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</si>
  <si>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</si>
  <si>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</si>
  <si>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</si>
  <si>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</si>
  <si>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</si>
  <si>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</si>
  <si>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</si>
  <si>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</si>
  <si>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</si>
  <si>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</si>
  <si>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</si>
  <si>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</si>
  <si>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</si>
  <si>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</si>
  <si>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</si>
  <si>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</si>
  <si>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</si>
  <si>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</si>
  <si>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</si>
  <si>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</si>
  <si>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</si>
  <si>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</si>
  <si>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</si>
  <si>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</si>
  <si>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</si>
  <si>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</si>
  <si>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</si>
  <si>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</si>
  <si>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</si>
  <si>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</si>
  <si>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</si>
  <si>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</si>
  <si>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</si>
  <si>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</si>
  <si>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</si>
  <si>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</si>
  <si>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</si>
  <si>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</si>
  <si>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</si>
  <si>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</si>
  <si>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</si>
  <si>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</si>
  <si>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</si>
  <si>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</si>
  <si>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</si>
  <si>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</si>
  <si>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</si>
  <si>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</si>
  <si>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</si>
  <si>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</si>
  <si>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</si>
  <si>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</si>
  <si>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</si>
  <si>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</si>
  <si>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</si>
  <si>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</si>
  <si>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</si>
  <si>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</si>
  <si>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</si>
  <si>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</si>
  <si>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</si>
  <si>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</si>
  <si>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</si>
  <si>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</si>
  <si>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</si>
  <si>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</si>
  <si>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</si>
  <si>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</si>
  <si>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</si>
  <si>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</si>
  <si>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</si>
  <si>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</si>
  <si>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</si>
  <si>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</si>
  <si>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</si>
  <si>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</si>
  <si>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</si>
  <si>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</si>
  <si>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</si>
  <si>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</si>
  <si>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</si>
  <si>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</si>
  <si>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</si>
  <si>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</si>
  <si>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</si>
  <si>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</si>
  <si>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</si>
  <si>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</si>
  <si>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</si>
  <si>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</si>
  <si>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</si>
  <si>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</si>
  <si>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</si>
  <si>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</si>
  <si>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</si>
  <si>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</si>
  <si>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</si>
  <si>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</si>
  <si>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</si>
  <si>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</si>
  <si>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</si>
  <si>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</si>
  <si>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</si>
  <si>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</si>
  <si>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</si>
  <si>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</si>
  <si>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</si>
  <si>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</si>
  <si>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</si>
  <si>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</si>
  <si>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</si>
  <si>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</si>
  <si>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</si>
  <si>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</si>
  <si>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</si>
  <si>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</si>
  <si>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</si>
  <si>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</si>
  <si>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</si>
  <si>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</si>
  <si>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</si>
  <si>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</si>
  <si>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</si>
  <si>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</si>
  <si>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</si>
  <si>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</si>
  <si>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</si>
  <si>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</si>
  <si>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</si>
  <si>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</si>
  <si>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</si>
  <si>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</si>
  <si>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</si>
  <si>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</si>
  <si>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</si>
  <si>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</si>
  <si>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</si>
  <si>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</si>
  <si>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</si>
  <si>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</si>
  <si>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</si>
  <si>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</si>
  <si>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</si>
  <si>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</si>
  <si>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</si>
  <si>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</si>
  <si>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</si>
  <si>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</si>
  <si>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</si>
  <si>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</si>
  <si>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</si>
  <si>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</si>
  <si>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</si>
  <si>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</si>
  <si>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</si>
  <si>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</si>
  <si>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</si>
  <si>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</si>
  <si>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</si>
  <si>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</si>
  <si>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</si>
  <si>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</si>
  <si>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</si>
  <si>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</si>
  <si>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</si>
  <si>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</si>
  <si>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</si>
  <si>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</si>
  <si>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</si>
  <si>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</si>
  <si>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</si>
  <si>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</si>
  <si>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</si>
  <si>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</si>
  <si>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</si>
  <si>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</si>
  <si>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</si>
  <si>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</si>
  <si>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</si>
  <si>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</si>
  <si>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</si>
  <si>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</si>
  <si>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</si>
  <si>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</si>
  <si>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</si>
  <si>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</si>
  <si>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</si>
  <si>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</si>
  <si>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</si>
  <si>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</si>
  <si>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</si>
  <si>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</si>
  <si>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</si>
  <si>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</si>
  <si>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</si>
  <si>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</si>
  <si>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</si>
  <si>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</si>
  <si>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</si>
  <si>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</si>
  <si>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</si>
  <si>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</si>
  <si>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</si>
  <si>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</si>
  <si>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</si>
  <si>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</si>
  <si>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</si>
  <si>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</si>
  <si>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</si>
  <si>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</si>
  <si>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</si>
  <si>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</si>
  <si>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</si>
  <si>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</si>
  <si>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</si>
  <si>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</si>
  <si>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</si>
  <si>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</si>
  <si>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</si>
  <si>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</si>
  <si>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</si>
  <si>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</si>
  <si>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</si>
  <si>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</si>
  <si>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</si>
  <si>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</si>
  <si>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</si>
  <si>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</si>
  <si>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</si>
  <si>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</si>
  <si>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</si>
  <si>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</si>
  <si>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</si>
  <si>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</si>
  <si>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</si>
  <si>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</si>
  <si>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</si>
  <si>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</si>
  <si>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</si>
  <si>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</si>
  <si>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</si>
  <si>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</si>
  <si>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</si>
  <si>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</si>
  <si>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</si>
  <si>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</si>
  <si>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</si>
  <si>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</si>
  <si>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</si>
  <si>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</si>
  <si>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</si>
  <si>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</si>
  <si>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</si>
  <si>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</si>
  <si>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</si>
  <si>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</si>
  <si>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</si>
  <si>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</si>
  <si>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</si>
  <si>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</si>
  <si>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</si>
  <si>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</si>
  <si>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</si>
  <si>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</si>
  <si>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</si>
  <si>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</si>
  <si>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</si>
  <si>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</si>
  <si>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</si>
  <si>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</si>
  <si>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</si>
  <si>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</si>
  <si>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</si>
  <si>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</si>
  <si>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</si>
  <si>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</si>
  <si>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</si>
  <si>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</si>
  <si>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</si>
  <si>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</si>
  <si>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</si>
  <si>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</si>
  <si>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</si>
  <si>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</si>
  <si>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</si>
  <si>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</si>
  <si>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</si>
  <si>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</si>
  <si>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</si>
  <si>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</si>
  <si>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</si>
  <si>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</si>
  <si>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</si>
  <si>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</si>
  <si>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</si>
  <si>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</si>
  <si>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</si>
  <si>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</si>
  <si>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</si>
  <si>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</si>
  <si>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</si>
  <si>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</si>
  <si>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</si>
  <si>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</si>
  <si>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</si>
  <si>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</si>
  <si>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</si>
  <si>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</si>
  <si>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</si>
  <si>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</si>
  <si>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</si>
  <si>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</si>
  <si>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</si>
  <si>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</si>
  <si>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</si>
  <si>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</si>
  <si>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</si>
  <si>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</si>
  <si>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</si>
  <si>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</si>
  <si>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</si>
  <si>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</si>
  <si>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</si>
  <si>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</si>
  <si>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</si>
  <si>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</si>
  <si>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</si>
  <si>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</si>
  <si>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</si>
  <si>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</si>
  <si>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</si>
  <si>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</si>
  <si>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</si>
  <si>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</si>
  <si>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</si>
  <si>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</si>
  <si>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</si>
  <si>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</si>
  <si>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</si>
  <si>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</si>
  <si>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</si>
  <si>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</si>
  <si>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</si>
  <si>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</si>
  <si>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</si>
  <si>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</si>
  <si>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</si>
  <si>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</si>
  <si>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</si>
  <si>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</si>
  <si>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</si>
  <si>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</si>
  <si>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</si>
  <si>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</si>
  <si>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</si>
  <si>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</si>
  <si>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</si>
  <si>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</si>
  <si>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</si>
  <si>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</si>
  <si>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</si>
  <si>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</si>
  <si>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</si>
  <si>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</si>
  <si>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</si>
  <si>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</si>
  <si>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</si>
  <si>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</si>
  <si>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</si>
  <si>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</si>
  <si>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</si>
  <si>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</si>
  <si>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</si>
  <si>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</si>
  <si>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</si>
  <si>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</si>
  <si>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</si>
  <si>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</si>
  <si>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</si>
  <si>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</si>
  <si>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</si>
  <si>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</si>
  <si>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</si>
  <si>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</si>
  <si>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</si>
  <si>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</si>
  <si>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</si>
  <si>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</si>
  <si>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</si>
  <si>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</si>
  <si>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</si>
  <si>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</si>
  <si>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</si>
  <si>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</si>
  <si>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</si>
  <si>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</si>
  <si>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</si>
  <si>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</si>
  <si>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</si>
  <si>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</si>
  <si>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</si>
  <si>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</si>
  <si>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</si>
  <si>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</si>
  <si>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</si>
  <si>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</si>
  <si>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</si>
  <si>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</si>
  <si>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</si>
  <si>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</si>
  <si>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</si>
  <si>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</si>
  <si>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</si>
  <si>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</si>
  <si>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</si>
  <si>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</si>
  <si>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</si>
  <si>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</si>
  <si>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</si>
  <si>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</si>
  <si>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</si>
  <si>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</si>
  <si>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</si>
  <si>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</si>
  <si>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</si>
  <si>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</si>
  <si>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</si>
  <si>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</si>
  <si>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</si>
  <si>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</si>
  <si>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</si>
  <si>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</si>
  <si>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</si>
  <si>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</si>
  <si>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</si>
  <si>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</si>
  <si>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</si>
  <si>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</si>
  <si>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</si>
  <si>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</si>
  <si>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</si>
  <si>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</si>
  <si>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</si>
  <si>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</si>
  <si>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</si>
  <si>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</si>
  <si>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</si>
  <si>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</si>
  <si>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</si>
  <si>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</si>
  <si>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</si>
  <si>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</si>
  <si>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</si>
  <si>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</si>
  <si>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</si>
  <si>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</si>
  <si>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</si>
  <si>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</si>
  <si>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</si>
  <si>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</si>
  <si>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</si>
  <si>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</si>
  <si>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</si>
  <si>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</si>
  <si>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</si>
  <si>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</si>
  <si>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</si>
  <si>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</si>
  <si>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</si>
  <si>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</si>
  <si>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</si>
  <si>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</si>
  <si>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</si>
  <si>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</si>
  <si>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</si>
  <si>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</si>
  <si>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</si>
  <si>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</si>
  <si>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</si>
  <si>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</si>
  <si>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</si>
  <si>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</si>
  <si>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</si>
  <si>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</si>
  <si>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</si>
  <si>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</si>
  <si>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</si>
  <si>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</si>
  <si>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</si>
  <si>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</si>
  <si>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</si>
  <si>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</si>
  <si>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</si>
  <si>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</si>
  <si>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</si>
  <si>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</si>
  <si>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</si>
  <si>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</si>
  <si>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</si>
  <si>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</si>
  <si>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</si>
  <si>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</si>
  <si>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</si>
  <si>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</si>
  <si>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</si>
  <si>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</si>
  <si>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</si>
  <si>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</si>
  <si>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</si>
  <si>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</si>
  <si>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</si>
  <si>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</si>
  <si>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</si>
  <si>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</si>
  <si>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</si>
  <si>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</si>
  <si>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</si>
  <si>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</si>
  <si>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</si>
  <si>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</si>
  <si>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</si>
  <si>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</si>
  <si>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</si>
  <si>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</si>
  <si>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</si>
  <si>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</si>
  <si>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</si>
  <si>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</si>
  <si>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</si>
  <si>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</si>
  <si>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</si>
  <si>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</si>
  <si>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</si>
  <si>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</si>
  <si>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</si>
  <si>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</si>
  <si>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</si>
  <si>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</si>
  <si>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</si>
  <si>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</si>
  <si>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</si>
  <si>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</si>
  <si>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</si>
  <si>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</si>
  <si>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</si>
  <si>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</si>
  <si>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</si>
  <si>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</si>
  <si>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</si>
  <si>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</si>
  <si>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</si>
  <si>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</si>
  <si>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</si>
  <si>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</si>
  <si>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</si>
  <si>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</si>
  <si>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</si>
  <si>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</si>
  <si>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</si>
  <si>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</si>
  <si>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</si>
  <si>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</si>
  <si>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</si>
  <si>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</si>
  <si>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</si>
  <si>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</si>
  <si>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</si>
  <si>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</si>
  <si>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</si>
  <si>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</si>
  <si>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</si>
  <si>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</si>
  <si>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</si>
  <si>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</si>
  <si>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</si>
  <si>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</si>
  <si>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</si>
  <si>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</si>
  <si>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</si>
  <si>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</si>
  <si>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</si>
  <si>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</si>
  <si>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</si>
  <si>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</si>
  <si>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</si>
  <si>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</si>
  <si>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</si>
  <si>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</si>
  <si>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</si>
  <si>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</si>
  <si>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</si>
  <si>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</si>
  <si>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</si>
  <si>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</si>
  <si>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</si>
  <si>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</si>
  <si>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</si>
  <si>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</si>
  <si>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</si>
  <si>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</si>
  <si>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</si>
  <si>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</si>
  <si>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</si>
  <si>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</si>
  <si>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</si>
  <si>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</si>
  <si>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</si>
  <si>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</si>
  <si>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</si>
  <si>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</si>
  <si>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</si>
  <si>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</si>
  <si>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</si>
  <si>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</si>
  <si>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</si>
  <si>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</si>
  <si>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</si>
  <si>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</si>
  <si>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</si>
  <si>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</si>
  <si>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</si>
  <si>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</si>
  <si>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</si>
  <si>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</si>
  <si>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</si>
  <si>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</si>
  <si>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</si>
  <si>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</si>
  <si>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</si>
  <si>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</si>
  <si>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</si>
  <si>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</si>
  <si>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</si>
  <si>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</si>
  <si>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</si>
  <si>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</si>
  <si>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</si>
  <si>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</si>
  <si>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</si>
  <si>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</si>
  <si>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</si>
  <si>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</si>
  <si>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</si>
  <si>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</si>
  <si>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</si>
  <si>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</si>
  <si>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</si>
  <si>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</si>
  <si>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</si>
  <si>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</si>
  <si>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</si>
  <si>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</si>
  <si>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</si>
  <si>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</si>
  <si>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</si>
  <si>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</si>
  <si>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</si>
  <si>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</si>
  <si>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</si>
  <si>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</si>
  <si>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</si>
  <si>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</si>
  <si>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</si>
  <si>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</si>
  <si>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</si>
  <si>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</si>
  <si>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</si>
  <si>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</si>
  <si>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</si>
  <si>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</si>
  <si>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</si>
  <si>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</si>
  <si>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</si>
  <si>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</si>
  <si>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</si>
  <si>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</si>
  <si>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</si>
  <si>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</si>
  <si>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</si>
  <si>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</si>
  <si>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</si>
  <si>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</si>
  <si>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</si>
  <si>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</si>
  <si>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</si>
  <si>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</si>
  <si>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</si>
  <si>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</si>
  <si>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</si>
  <si>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</si>
  <si>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</si>
  <si>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</si>
  <si>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</si>
  <si>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</si>
  <si>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</si>
  <si>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</si>
  <si>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</si>
  <si>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</si>
  <si>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</si>
  <si>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</si>
  <si>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</si>
  <si>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</si>
  <si>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</si>
  <si>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</si>
  <si>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</si>
  <si>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</si>
  <si>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</si>
  <si>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</si>
  <si>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</si>
  <si>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</si>
  <si>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</si>
  <si>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</si>
  <si>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</si>
  <si>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</si>
  <si>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</si>
  <si>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</si>
  <si>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</si>
  <si>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</si>
  <si>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</si>
  <si>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</si>
  <si>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</si>
  <si>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</si>
  <si>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</si>
  <si>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</si>
  <si>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</si>
  <si>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</si>
  <si>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</si>
  <si>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</si>
  <si>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</si>
  <si>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</si>
  <si>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</si>
  <si>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</si>
  <si>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</si>
  <si>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</si>
  <si>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</si>
  <si>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</si>
  <si>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</si>
  <si>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</si>
  <si>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</si>
  <si>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</si>
  <si>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</si>
  <si>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</si>
  <si>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</si>
  <si>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</si>
  <si>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</si>
  <si>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</si>
  <si>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</si>
  <si>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</si>
  <si>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</si>
  <si>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</si>
  <si>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</si>
  <si>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</si>
  <si>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</si>
  <si>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</si>
  <si>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</si>
  <si>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</si>
  <si>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</si>
  <si>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</si>
  <si>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</si>
  <si>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</si>
  <si>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</si>
  <si>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</si>
  <si>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</si>
  <si>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</si>
  <si>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</si>
  <si>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</si>
  <si>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</si>
  <si>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</si>
  <si>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</si>
  <si>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</si>
  <si>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</si>
  <si>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</si>
  <si>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</si>
  <si>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</si>
  <si>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</si>
  <si>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</si>
  <si>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</si>
  <si>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</si>
  <si>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</si>
  <si>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</si>
  <si>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</si>
  <si>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</si>
  <si>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</si>
  <si>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</si>
  <si>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</si>
  <si>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</si>
  <si>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</si>
  <si>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</si>
  <si>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</si>
  <si>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</si>
  <si>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</si>
  <si>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</si>
  <si>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</si>
  <si>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</si>
  <si>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</si>
  <si>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</si>
  <si>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</si>
  <si>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</si>
  <si>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</si>
  <si>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</si>
  <si>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</si>
  <si>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</si>
  <si>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</si>
  <si>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</si>
  <si>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</si>
  <si>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</si>
  <si>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</si>
  <si>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</si>
  <si>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</si>
  <si>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</si>
  <si>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</si>
  <si>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</si>
  <si>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</si>
  <si>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</si>
  <si>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</si>
  <si>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</si>
  <si>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</si>
  <si>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</si>
  <si>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</si>
  <si>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</si>
  <si>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</si>
  <si>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</si>
  <si>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</si>
  <si>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</si>
  <si>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</si>
  <si>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</si>
  <si>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</si>
  <si>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</si>
  <si>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</si>
  <si>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</si>
  <si>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</si>
  <si>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</si>
  <si>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</si>
  <si>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</si>
  <si>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</si>
  <si>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</si>
  <si>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</si>
  <si>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</si>
  <si>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</si>
  <si>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</si>
  <si>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</si>
  <si>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</si>
  <si>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</si>
  <si>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</si>
  <si>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</si>
  <si>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</si>
  <si>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</si>
  <si>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</si>
  <si>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</si>
  <si>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</si>
  <si>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</si>
  <si>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</si>
  <si>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</si>
  <si>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</si>
  <si>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</si>
  <si>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</si>
  <si>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</si>
  <si>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</si>
  <si>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</si>
  <si>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</si>
  <si>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</si>
  <si>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</si>
  <si>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</si>
  <si>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</si>
  <si>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</si>
  <si>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</si>
  <si>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</si>
  <si>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</si>
  <si>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</si>
  <si>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</si>
  <si>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</si>
  <si>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</si>
  <si>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</si>
  <si>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</si>
  <si>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</si>
  <si>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</si>
  <si>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</si>
  <si>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</si>
  <si>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</si>
  <si>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</si>
  <si>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</si>
  <si>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</si>
  <si>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</si>
  <si>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</si>
  <si>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</si>
  <si>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</si>
  <si>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</si>
  <si>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</si>
  <si>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</si>
  <si>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</si>
  <si>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</si>
  <si>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</si>
  <si>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</si>
  <si>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</si>
  <si>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</si>
  <si>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</si>
  <si>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</si>
  <si>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</si>
  <si>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</si>
  <si>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</si>
  <si>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</si>
  <si>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</si>
  <si>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</si>
  <si>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</si>
  <si>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</si>
  <si>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</si>
  <si>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</si>
  <si>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</si>
  <si>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</si>
  <si>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</si>
  <si>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</si>
  <si>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</si>
  <si>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</si>
  <si>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</si>
  <si>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</si>
  <si>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</si>
  <si>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</si>
  <si>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</si>
  <si>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</si>
  <si>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</si>
  <si>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</si>
  <si>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</si>
  <si>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</si>
  <si>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</si>
  <si>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</si>
  <si>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</si>
  <si>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</si>
  <si>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</si>
  <si>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</si>
  <si>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</si>
  <si>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</si>
  <si>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</si>
  <si>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</si>
  <si>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</si>
  <si>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</si>
  <si>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</si>
  <si>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</si>
  <si>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</si>
  <si>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</si>
  <si>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</si>
  <si>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</si>
  <si>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</si>
  <si>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</si>
  <si>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</si>
  <si>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</si>
  <si>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</si>
  <si>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</si>
  <si>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</si>
  <si>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</si>
  <si>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</si>
  <si>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</si>
  <si>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</si>
  <si>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</si>
  <si>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</si>
  <si>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</si>
  <si>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</si>
  <si>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</si>
  <si>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</si>
  <si>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</si>
  <si>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</si>
  <si>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</si>
  <si>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</si>
  <si>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</si>
  <si>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</si>
  <si>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</si>
  <si>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</si>
  <si>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</si>
  <si>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</si>
  <si>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</si>
  <si>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</si>
  <si>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</si>
  <si>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</si>
  <si>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</si>
  <si>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</si>
  <si>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</si>
  <si>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</si>
  <si>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</si>
  <si>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</si>
  <si>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</si>
  <si>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</si>
  <si>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</si>
  <si>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</si>
  <si>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</si>
  <si>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</si>
  <si>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</si>
  <si>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</si>
  <si>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</si>
  <si>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</si>
  <si>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</si>
  <si>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</si>
  <si>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</si>
  <si>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</si>
  <si>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</si>
  <si>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</si>
  <si>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</si>
  <si>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</si>
  <si>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</si>
  <si>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</si>
  <si>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</si>
  <si>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</si>
  <si>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</si>
  <si>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</si>
  <si>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</si>
  <si>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</si>
  <si>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</si>
  <si>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</si>
  <si>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</si>
  <si>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</si>
  <si>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</si>
  <si>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</si>
  <si>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</si>
  <si>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</si>
  <si>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</si>
  <si>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</si>
  <si>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</si>
  <si>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</si>
  <si>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</si>
  <si>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</si>
  <si>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</si>
  <si>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</si>
  <si>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</si>
  <si>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</si>
  <si>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</si>
  <si>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</si>
  <si>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</si>
  <si>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</si>
  <si>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</si>
  <si>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</si>
  <si>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</si>
  <si>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</si>
  <si>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</si>
  <si>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</si>
  <si>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</si>
  <si>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</si>
  <si>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</si>
  <si>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</si>
  <si>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</si>
  <si>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</si>
  <si>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</si>
  <si>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</si>
  <si>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</si>
  <si>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</si>
  <si>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</si>
  <si>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</si>
  <si>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</si>
  <si>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</si>
  <si>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</si>
  <si>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</si>
  <si>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</si>
  <si>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</si>
  <si>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</si>
  <si>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</si>
  <si>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</si>
  <si>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</si>
  <si>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</si>
  <si>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</si>
  <si>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</si>
  <si>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</si>
  <si>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</si>
  <si>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</si>
  <si>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</si>
  <si>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</si>
  <si>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</si>
  <si>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</si>
  <si>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</si>
  <si>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</si>
  <si>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</si>
  <si>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</si>
  <si>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</si>
  <si>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</si>
  <si>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</si>
  <si>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</si>
  <si>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</si>
  <si>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</si>
  <si>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</si>
  <si>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</si>
  <si>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</si>
  <si>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</si>
  <si>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</si>
  <si>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</si>
  <si>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</si>
  <si>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</si>
  <si>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</si>
  <si>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</si>
  <si>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</si>
  <si>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</si>
  <si>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</si>
  <si>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</si>
  <si>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</si>
  <si>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</si>
  <si>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</si>
  <si>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</si>
  <si>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</si>
  <si>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</si>
  <si>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</si>
  <si>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</si>
  <si>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</si>
  <si>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</si>
  <si>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</si>
  <si>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</si>
  <si>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</si>
  <si>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</si>
  <si>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</si>
  <si>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</si>
  <si>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</si>
  <si>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</si>
  <si>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</si>
  <si>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</si>
  <si>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</si>
  <si>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</si>
  <si>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</si>
  <si>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</si>
  <si>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</si>
  <si>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</si>
  <si>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</si>
  <si>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</si>
  <si>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</si>
  <si>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</si>
  <si>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</si>
  <si>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</si>
  <si>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</si>
  <si>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</si>
  <si>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</si>
  <si>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</si>
  <si>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</si>
  <si>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</si>
  <si>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</si>
  <si>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</si>
  <si>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</si>
  <si>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</si>
  <si>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</si>
  <si>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</si>
  <si>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</si>
  <si>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</si>
  <si>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</si>
  <si>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</si>
  <si>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</si>
  <si>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</si>
  <si>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</si>
  <si>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</si>
  <si>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</si>
  <si>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</si>
  <si>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</si>
  <si>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</si>
  <si>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</si>
  <si>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</si>
  <si>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</si>
  <si>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</si>
  <si>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</si>
  <si>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</si>
  <si>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</si>
  <si>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</si>
  <si>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</si>
  <si>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</si>
  <si>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</si>
  <si>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</si>
  <si>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</si>
  <si>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</si>
  <si>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</si>
  <si>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</si>
  <si>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</si>
  <si>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</si>
  <si>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</si>
  <si>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</si>
  <si>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</si>
  <si>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</si>
  <si>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</si>
  <si>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</si>
  <si>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</si>
  <si>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</si>
  <si>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</si>
  <si>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</si>
  <si>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</si>
  <si>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</si>
  <si>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</si>
  <si>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</si>
  <si>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</si>
  <si>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</si>
  <si>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</si>
  <si>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</si>
  <si>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</si>
  <si>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</si>
  <si>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</si>
  <si>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</si>
  <si>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</si>
  <si>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</si>
  <si>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</si>
  <si>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</si>
  <si>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</si>
  <si>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</si>
  <si>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</si>
  <si>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</si>
  <si>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</si>
  <si>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</si>
  <si>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</si>
  <si>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</si>
  <si>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</si>
  <si>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</si>
  <si>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</si>
  <si>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</si>
  <si>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</si>
  <si>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</si>
  <si>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</si>
  <si>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</si>
  <si>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</si>
  <si>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</si>
  <si>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</si>
  <si>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</si>
  <si>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</si>
  <si>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</si>
  <si>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</si>
  <si>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</si>
  <si>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</si>
  <si>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</si>
  <si>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</si>
  <si>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</si>
  <si>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</si>
  <si>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</si>
  <si>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</si>
  <si>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</si>
  <si>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</si>
  <si>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</si>
  <si>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</si>
  <si>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</si>
  <si>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</si>
  <si>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</si>
  <si>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</si>
  <si>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</si>
  <si>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</si>
  <si>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</si>
  <si>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</si>
  <si>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</si>
  <si>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</si>
  <si>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</si>
  <si>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</si>
  <si>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</si>
  <si>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</si>
  <si>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</si>
  <si>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</si>
  <si>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</si>
  <si>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</si>
  <si>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</si>
  <si>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</si>
  <si>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</si>
  <si>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</si>
  <si>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</si>
  <si>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</si>
  <si>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</si>
  <si>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</si>
  <si>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</si>
  <si>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</si>
  <si>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</si>
  <si>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</si>
  <si>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</si>
  <si>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</si>
  <si>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</si>
  <si>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</si>
  <si>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</si>
  <si>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</si>
  <si>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</si>
  <si>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</si>
  <si>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</si>
  <si>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</si>
  <si>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</si>
  <si>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</si>
  <si>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</si>
  <si>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</si>
  <si>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</si>
  <si>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</si>
  <si>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</si>
  <si>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</si>
  <si>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</si>
  <si>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</si>
  <si>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</si>
  <si>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</si>
  <si>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</si>
  <si>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</si>
  <si>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</si>
  <si>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</si>
  <si>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</si>
  <si>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</si>
  <si>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</si>
  <si>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</si>
  <si>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</si>
  <si>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</si>
  <si>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</si>
  <si>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</si>
  <si>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</si>
  <si>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</si>
  <si>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</si>
  <si>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</si>
  <si>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</si>
  <si>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</si>
  <si>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</si>
  <si>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</si>
  <si>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</si>
  <si>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</si>
  <si>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</si>
  <si>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</si>
  <si>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</si>
  <si>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</si>
  <si>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</si>
  <si>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</si>
  <si>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</si>
  <si>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</si>
  <si>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</si>
  <si>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</si>
  <si>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</si>
  <si>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</si>
  <si>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</si>
  <si>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</si>
  <si>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</si>
  <si>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</si>
  <si>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</si>
  <si>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</si>
  <si>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</si>
  <si>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</si>
  <si>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</si>
  <si>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</si>
  <si>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</si>
  <si>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</si>
  <si>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</si>
  <si>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</si>
  <si>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</si>
  <si>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</si>
  <si>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</si>
  <si>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</si>
  <si>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</si>
  <si>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</si>
  <si>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</si>
  <si>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</si>
  <si>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</si>
  <si>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</si>
  <si>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</si>
  <si>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</si>
  <si>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</si>
  <si>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</si>
  <si>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</si>
  <si>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</si>
  <si>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</si>
  <si>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</si>
  <si>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</si>
  <si>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</si>
  <si>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</si>
  <si>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</si>
  <si>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</si>
  <si>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</si>
  <si>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</si>
  <si>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</si>
  <si>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</si>
  <si>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</si>
  <si>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</si>
  <si>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</si>
  <si>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</si>
  <si>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</si>
  <si>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</si>
  <si>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</si>
  <si>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</si>
  <si>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</si>
  <si>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</si>
  <si>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</si>
  <si>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</si>
  <si>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</si>
  <si>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</si>
  <si>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</si>
  <si>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</si>
  <si>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</si>
  <si>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</si>
  <si>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</si>
  <si>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</si>
  <si>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</si>
  <si>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</si>
  <si>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</si>
  <si>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</si>
  <si>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</si>
  <si>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</si>
  <si>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</si>
  <si>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</si>
  <si>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</si>
  <si>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</si>
  <si>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</si>
  <si>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</si>
  <si>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</si>
  <si>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</si>
  <si>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</si>
  <si>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</si>
  <si>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</si>
  <si>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</si>
  <si>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</si>
  <si>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</si>
  <si>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</si>
  <si>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</si>
  <si>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</si>
  <si>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</si>
  <si>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</si>
  <si>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</si>
  <si>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</si>
  <si>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</si>
  <si>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</si>
  <si>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</si>
  <si>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</si>
  <si>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</si>
  <si>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</si>
  <si>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</si>
  <si>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</si>
  <si>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</si>
  <si>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</si>
  <si>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</si>
  <si>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</si>
  <si>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</si>
  <si>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</si>
  <si>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</si>
  <si>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</si>
  <si>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</si>
  <si>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</si>
  <si>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</si>
  <si>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</si>
  <si>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</si>
  <si>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</si>
  <si>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</si>
  <si>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</si>
  <si>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</si>
  <si>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</si>
  <si>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</si>
  <si>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</si>
  <si>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</si>
  <si>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</si>
  <si>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</si>
  <si>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</si>
  <si>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</si>
  <si>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</si>
  <si>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</si>
  <si>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</si>
  <si>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</si>
  <si>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</si>
  <si>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</si>
  <si>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</si>
  <si>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</si>
  <si>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</si>
  <si>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</si>
  <si>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</si>
  <si>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</si>
  <si>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</si>
  <si>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</si>
  <si>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</si>
  <si>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</si>
  <si>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</si>
  <si>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</si>
  <si>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</si>
  <si>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</si>
  <si>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</si>
  <si>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</si>
  <si>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</si>
  <si>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</si>
  <si>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</si>
  <si>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</si>
  <si>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</si>
  <si>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</si>
  <si>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</si>
  <si>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</si>
  <si>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</si>
  <si>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</si>
  <si>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</si>
  <si>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</si>
  <si>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</si>
  <si>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</si>
  <si>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</si>
  <si>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</si>
  <si>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</si>
  <si>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</si>
  <si>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</si>
  <si>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</si>
  <si>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</si>
  <si>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</si>
  <si>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</si>
  <si>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</si>
  <si>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</si>
  <si>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</si>
  <si>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</si>
  <si>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</si>
  <si>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</si>
  <si>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</si>
  <si>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</si>
  <si>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</si>
  <si>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</si>
  <si>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</si>
  <si>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</si>
  <si>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</si>
  <si>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</si>
  <si>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</si>
  <si>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</si>
  <si>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</si>
  <si>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</si>
  <si>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</si>
  <si>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</si>
  <si>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</si>
  <si>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</si>
  <si>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</si>
  <si>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</si>
  <si>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</si>
  <si>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</si>
  <si>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</si>
  <si>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</si>
  <si>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</si>
  <si>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</si>
  <si>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</si>
  <si>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</si>
  <si>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</si>
  <si>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</si>
  <si>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</si>
  <si>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</si>
  <si>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</si>
  <si>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</si>
  <si>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</si>
  <si>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</si>
  <si>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</si>
  <si>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</si>
  <si>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</si>
  <si>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</si>
  <si>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</si>
  <si>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</si>
  <si>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</si>
  <si>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</si>
  <si>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</si>
  <si>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</si>
  <si>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</si>
  <si>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</si>
  <si>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</si>
  <si>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</si>
  <si>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</si>
  <si>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</si>
  <si>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</si>
  <si>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</si>
  <si>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</si>
  <si>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</si>
  <si>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</si>
  <si>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</si>
  <si>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</si>
  <si>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</si>
  <si>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</si>
  <si>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</si>
  <si>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</si>
  <si>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</si>
  <si>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</si>
  <si>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</si>
  <si>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</si>
  <si>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</si>
  <si>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</si>
  <si>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</si>
  <si>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</si>
  <si>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</si>
  <si>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</si>
  <si>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</si>
  <si>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</si>
  <si>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</si>
  <si>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</si>
  <si>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</si>
  <si>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</si>
  <si>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</si>
  <si>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</si>
  <si>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</si>
  <si>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</si>
  <si>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</si>
  <si>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</si>
  <si>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</si>
  <si>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</si>
  <si>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</si>
  <si>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</si>
  <si>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</si>
  <si>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</si>
  <si>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</si>
  <si>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</si>
  <si>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</si>
  <si>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</si>
  <si>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</si>
  <si>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</si>
  <si>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</si>
  <si>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</si>
  <si>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</si>
  <si>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</si>
  <si>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</si>
  <si>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</si>
  <si>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</si>
  <si>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</si>
  <si>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</si>
  <si>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</si>
  <si>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</si>
  <si>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</si>
  <si>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</si>
  <si>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</si>
  <si>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</si>
  <si>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</si>
  <si>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</si>
  <si>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</si>
  <si>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</si>
  <si>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</si>
  <si>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</si>
  <si>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</si>
  <si>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</si>
  <si>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</si>
  <si>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</si>
  <si>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</si>
  <si>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</si>
  <si>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</si>
  <si>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</si>
  <si>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</si>
  <si>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</si>
  <si>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</si>
  <si>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</si>
  <si>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</si>
  <si>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</si>
  <si>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</si>
  <si>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</si>
  <si>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</si>
  <si>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</si>
  <si>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</si>
  <si>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</si>
  <si>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</si>
  <si>
    <t>https://apps.apple.com/tw/app/bang-dream-%E4%BA%A4%E7%B9%94%E7%9A%84%E6%A8%82%E7%AB%A0/id6757695187</t>
  </si>
  <si>
    <t>Aniimo2026</t>
    <phoneticPr fontId="2" type="noConversion"/>
  </si>
  <si>
    <t xml:space="preserve"> 輝石x20</t>
    <phoneticPr fontId="2" type="noConversion"/>
  </si>
  <si>
    <t>aniimolaunch2026</t>
    <phoneticPr fontId="2" type="noConversion"/>
  </si>
  <si>
    <t>輝石x50、成長之花x5、高級立方x5</t>
    <phoneticPr fontId="2" type="noConversion"/>
  </si>
  <si>
    <t>aniimobonus</t>
    <phoneticPr fontId="2" type="noConversion"/>
  </si>
  <si>
    <t>輝石x50、成長之花x5、高級立方x5</t>
    <phoneticPr fontId="2" type="noConversion"/>
  </si>
  <si>
    <t>aniimowelcome</t>
    <phoneticPr fontId="2" type="noConversion"/>
  </si>
  <si>
    <t>輝石x50、成長之花x5、高級立方x5</t>
    <phoneticPr fontId="2" type="noConversion"/>
  </si>
  <si>
    <t>ANIIMOGIFT</t>
    <phoneticPr fontId="2" type="noConversion"/>
  </si>
  <si>
    <t>輝石x10、信用幣x20,000、成長之花x10、高級立方x5</t>
    <phoneticPr fontId="2" type="noConversion"/>
  </si>
  <si>
    <t>aniimotogether</t>
    <phoneticPr fontId="2" type="noConversion"/>
  </si>
  <si>
    <t xml:space="preserve"> 信用幣x20,000、成長之花x3</t>
    <phoneticPr fontId="2" type="noConversion"/>
  </si>
  <si>
    <t>aniimoopenworld</t>
    <phoneticPr fontId="2" type="noConversion"/>
  </si>
  <si>
    <t>信用幣x10,000、謎立方x5</t>
    <phoneticPr fontId="2" type="noConversion"/>
  </si>
  <si>
    <t>anyoneaniimo</t>
    <phoneticPr fontId="2" type="noConversion"/>
  </si>
  <si>
    <t>信用幣x10,000、謎立方x5</t>
    <phoneticPr fontId="2" type="noConversion"/>
  </si>
  <si>
    <t>aniimofreetoplay</t>
    <phoneticPr fontId="2" type="noConversion"/>
  </si>
  <si>
    <t>輝石x50、成長之花x5、高級立方x5</t>
    <phoneticPr fontId="2" type="noConversion"/>
  </si>
  <si>
    <t>READYON924</t>
  </si>
  <si>
    <t>Abracadabra</t>
  </si>
  <si>
    <t>樂團強化稜晶×10、硬幣×20000</t>
    <phoneticPr fontId="2" type="noConversion"/>
  </si>
  <si>
    <t xml:space="preserve"> 小型LIVE BOOST飲料×3</t>
    <phoneticPr fontId="2" type="noConversion"/>
  </si>
  <si>
    <t>主畫面的選單點進去</t>
    <phoneticPr fontId="2" type="noConversion"/>
  </si>
  <si>
    <t>LZQWE</t>
    <phoneticPr fontId="2" type="noConversion"/>
  </si>
  <si>
    <t>JNHGT</t>
    <phoneticPr fontId="2" type="noConversion"/>
  </si>
  <si>
    <t>HPLOA</t>
    <phoneticPr fontId="2" type="noConversion"/>
  </si>
  <si>
    <t>GYHNB</t>
    <phoneticPr fontId="2" type="noConversion"/>
  </si>
  <si>
    <t>8PQFCL</t>
    <phoneticPr fontId="2" type="noConversion"/>
  </si>
  <si>
    <t>點頭像進去之後找到兌換碼</t>
    <phoneticPr fontId="2" type="noConversion"/>
  </si>
  <si>
    <t>點進去兌換碼</t>
    <phoneticPr fontId="2" type="noConversion"/>
  </si>
  <si>
    <t>DUUGQF</t>
    <phoneticPr fontId="2" type="noConversion"/>
  </si>
  <si>
    <t>6FTDJQ</t>
    <phoneticPr fontId="2" type="noConversion"/>
  </si>
  <si>
    <t>WU8UX7</t>
    <phoneticPr fontId="2" type="noConversion"/>
  </si>
  <si>
    <t>CTT4J6</t>
    <phoneticPr fontId="2" type="noConversion"/>
  </si>
  <si>
    <t>soc0924</t>
    <phoneticPr fontId="2" type="noConversion"/>
  </si>
  <si>
    <t>技能卡*1、金幣*5,000</t>
    <phoneticPr fontId="2" type="noConversion"/>
  </si>
  <si>
    <t>在遊戲內點左上方頭像</t>
    <phoneticPr fontId="2" type="noConversion"/>
  </si>
  <si>
    <t>進去設定之後點兌換碼</t>
    <phoneticPr fontId="2" type="noConversion"/>
  </si>
  <si>
    <t>moon2026</t>
    <phoneticPr fontId="2" type="noConversion"/>
  </si>
  <si>
    <t>鼠鼠特攻隊</t>
    <phoneticPr fontId="2" type="noConversion"/>
  </si>
  <si>
    <t>大時代-Tvb正版授權</t>
    <phoneticPr fontId="2" type="noConversion"/>
  </si>
  <si>
    <t>https://www.facebook.com/profile.php?id=61594004471177</t>
  </si>
  <si>
    <t>VIP777</t>
    <phoneticPr fontId="2" type="noConversion"/>
  </si>
  <si>
    <t>https://apps.apple.com/tw/app/%E5%A4%A7%E6%99%82%E4%BB%A3-tvb%E6%AD%A3%E7%89%88%E6%8E%88%E6%AC%8A/id6797447450</t>
  </si>
  <si>
    <t>https://play.google.com/store/apps/details?id=com.dsdninecity.ftand&amp;fbclid=IwY2xjawUpW8FleHRuA2FlbQIxMABwZG9mAWJyaWQRMUNUOGlDZDNQZ3BjNFAxaVFzcnRjBmFwcF9pZBAyMjIwMzkxNzg4MjAwODkyAAEeMHfHxo-1fT1pZdWq6zpkk0wVkRQbqCrSrORVJqRGDhPpkbEQXdAFCKEL9G0_aem_ahT4COfCcQEDRWF_v4fBMw</t>
  </si>
  <si>
    <t>https://www.facebook.com/yscstw/?locale=zh_TW</t>
  </si>
  <si>
    <t>https://bravemousegame.com/</t>
  </si>
  <si>
    <t>https://play.google.com/store/apps/details?id=cattt.wzca.ffce&amp;fbclid=IwY2xjawUpWqVleHRuA2FlbQIxMABwZG9mAWJyaWQRMUNUOGlDZDNQZ3BjNFAxaVFzcnRjBmFwcF9pZBAyMjIwMzkxNzg4MjAwODkyAAEekuX9cOLqnH8eT05YKSHFiLNedQ69iusnsEmG0GtdCTlf6oeqyW80z6tYCmE_aem_BvK3J3Hn6ENQ1UYLd9vkjQ</t>
  </si>
  <si>
    <t>https://apps.apple.com/hk/app/%E9%BC%A0%E9%BC%A0%E7%89%B9%E6%94%BB%E9%9A%8A/id6797464117</t>
  </si>
  <si>
    <t>《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t>
  </si>
  <si>
    <t>《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t>
  </si>
  <si>
    <t>https://apps.apple.com/tw/app/%E7%98%8B%E7%8B%82%E6%B0%B4%E4%B8%96%E7%95%8C/id6780387121</t>
  </si>
  <si>
    <t>https://play.google.com/store/apps/details?id=com.clony.mamodan.tw</t>
  </si>
  <si>
    <t>https://www.facebook.com/profile.php?id=61593257952772#</t>
  </si>
  <si>
    <t>https://stk.mangot5.com/game/stk/preRegist/index</t>
  </si>
  <si>
    <t>https://apps.apple.com/tw/app/%E5%A4%A9%E4%B8%8A%E7%A2%91k/id6786564242</t>
  </si>
  <si>
    <t>https://www.facebook.com/TW.STK/</t>
  </si>
  <si>
    <t>https://play.google.com/store/apps/details?id=com.mangot5.stk</t>
  </si>
  <si>
    <t>https://apps.apple.com/tw/app/%E6%80%AA%E7%89%A9%E5%9C%B0%E5%9F%8E/id6792964778</t>
  </si>
  <si>
    <t>《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t>
  </si>
  <si>
    <t>《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t>
  </si>
  <si>
    <t>天上碑K</t>
    <phoneticPr fontId="2" type="noConversion"/>
  </si>
  <si>
    <t>怪物地城＋</t>
    <phoneticPr fontId="2" type="noConversion"/>
  </si>
  <si>
    <t>XXMFUN2026</t>
    <phoneticPr fontId="2" type="noConversion"/>
  </si>
  <si>
    <t>XXM2026</t>
    <phoneticPr fontId="2" type="noConversion"/>
  </si>
  <si>
    <t>BOSS999</t>
    <phoneticPr fontId="2" type="noConversion"/>
  </si>
  <si>
    <t>SHUSHU888</t>
    <phoneticPr fontId="2" type="noConversion"/>
  </si>
  <si>
    <t>SQUAD888</t>
  </si>
  <si>
    <t>夥伴券 ×5、鑽石 ×100</t>
  </si>
  <si>
    <t>GOHERO</t>
  </si>
  <si>
    <t>鑽石 ×200</t>
  </si>
  <si>
    <t>TEAM666</t>
  </si>
  <si>
    <t>紫色裝備寶箱 ×3、鑽石 ×100</t>
  </si>
  <si>
    <t>ATTACK777</t>
  </si>
  <si>
    <t>鑽石 ×200、5分鐘加速沙漏 ×2</t>
  </si>
  <si>
    <t>在個人資訊頁面下方點「兌換碼」</t>
    <phoneticPr fontId="2" type="noConversion"/>
  </si>
  <si>
    <t>三國：萬策爭雄</t>
  </si>
  <si>
    <t>三國超離譜</t>
  </si>
  <si>
    <t>GOD：血冠</t>
  </si>
  <si>
    <t>裝備仔：overgeared</t>
  </si>
  <si>
    <t>來種水果吧</t>
  </si>
  <si>
    <t>SSS冒險家</t>
  </si>
  <si>
    <t>劍之川</t>
  </si>
  <si>
    <t>極樂事件簿</t>
  </si>
  <si>
    <t>https://bf.gamexdd.com/</t>
  </si>
  <si>
    <t>https://apps.apple.com/tw/app/%E4%B8%89%E5%9C%8B-%E8%90%AC%E7%AD%96%E7%88%AD%E9%9B%84/id6796630048</t>
  </si>
  <si>
    <t>https://play.google.com/store/apps/details?id=com.bfjumpau.bfgg&amp;referrer=utm_source%3Dgamer.com.tw%26utm_campaign%3Dgnn</t>
  </si>
  <si>
    <t>https://www.facebook.com/profile.php?id=61592433632644</t>
  </si>
  <si>
    <t>https://www.facebook.com/bf.gamexdd</t>
  </si>
  <si>
    <t>https://apps.apple.com/tw/app/%E4%B8%89%E5%9C%8B%E8%B6%85%E9%9B%A2%E8%AD%9C/id6800674599</t>
  </si>
  <si>
    <t>https://play.google.com/store/apps/details?id=com.andbzjsg.games&amp;fbclid=IwZXh0bgNhZW0CMTAAcGRvZgFicmlkETFZMUp1eEhTNXQwUXBFN3prc3J0YwZhcHBfaWQQMjIyMDM5MTc4ODIwMDg5MgABHp5xT1IZJffVocr0iJzrjf9JZ3bTlVXHd2DQlCFebroQREqjGooXD4bJxvSS_aem_mtepXqDtgvSvtkrTlsdQFg</t>
  </si>
  <si>
    <t>https://www.facebook.com/p/God%E8%A1%80%E5%86%A0-61590260917325/</t>
  </si>
  <si>
    <t>https://god.sky-shark.com/</t>
  </si>
  <si>
    <t>https://apps.apple.com/tw/app/god-%E8%A1%80%E5%86%A0/id6788333249</t>
  </si>
  <si>
    <t>https://play.google.com/store/apps/details?id=com.r1.shark&amp;shortlink=s13le1e7&amp;source_caller=ui&amp;onelink_id=2dWS&amp;c=host-google&amp;pid=%E5%AE%98%E7%BD%91%E8%B0%B7%E6%AD%8C&amp;af_xp=custom</t>
  </si>
  <si>
    <t>https://www.facebook.com/p/%E8%A3%9D%E5%82%99%E4%BB%94Overgeared-61594439783406/</t>
  </si>
  <si>
    <t>https://tw.nexon.com/overgeared/zh/pre-register</t>
  </si>
  <si>
    <t>https://apps.apple.com/tw/app/%E8%A3%9D%E5%82%99%E4%BB%94-overgeared/id6673894896</t>
  </si>
  <si>
    <t>https://play.google.com/store/apps/details?id=com.nexon.overgeared</t>
  </si>
  <si>
    <t>https://www.facebook.com/fruitdayszh</t>
  </si>
  <si>
    <t>https://play.google.com/store/apps/details?id=com.riftsky.mfo.ap.gp&amp;onelink_id=YQEh&amp;fbclid=IwY2xjawU3OxZleHRuA2FlbQIxMABwZG9mAWJyaWQRMVkxSnV4SFM1dDBRcEU3emtzcnRjBmFwcF9pZBAyMjIwMzkxNzg4MjAwODkyAAEeV0_ezc-fqqvHAqpbK2t5W2M2qZtC1pH0J6XUjndUC9hvxa4KXpNFXfWIYpw_aem_xPZJrXBoDhVHZsLP5xh3pg&amp;af_xp=custom&amp;pid=pre_register_web&amp;shortlink=b4vic0iz&amp;source_caller=ui</t>
  </si>
  <si>
    <t>https://fruitdays.riftskygames.com/</t>
  </si>
  <si>
    <t>https://apps.apple.com/tw/app/%E4%BE%86%E7%A8%AE%E6%B0%B4%E6%9E%9C%E5%90%A7/id6806929534</t>
  </si>
  <si>
    <t>https://www.facebook.com/p/SSS-%E5%86%92%E9%9A%AA%E5%AE%B6-61591529416403/</t>
  </si>
  <si>
    <t>https://play.google.com/store/apps/details?id=com.lmyx.gptw</t>
  </si>
  <si>
    <t>https://apps.apple.com/tw/app/sss%E5%86%92%E9%9A%AA%E5%AE%B6/id6810494758</t>
  </si>
  <si>
    <t>https://www.facebook.com/p/%E5%8A%8D%E4%B9%8B%E5%B7%9D-61593697850834/</t>
  </si>
  <si>
    <t>https://sword.neptunegamez.com/zh-tw/home</t>
  </si>
  <si>
    <t>https://play.google.com/store/apps/details?id=com.neptune.dawnsedge&amp;listing=page_tc</t>
  </si>
  <si>
    <t>https://apps.apple.com/tw/app/%E5%8A%8D%E4%B9%8B%E5%B7%9D/id6762593520</t>
  </si>
  <si>
    <t>https://www.facebook.com/MAkeDrama.TW/</t>
  </si>
  <si>
    <t>https://mad.wemadeconnect.com/</t>
  </si>
  <si>
    <t>https://play.google.com/store/apps/details?id=com.wemadeconnect.aos.makedrama.google&amp;pli=1</t>
  </si>
  <si>
    <t>https://apps.apple.com/tw/app/%E6%A5%B5%E6%A8%82%E4%BA%8B%E4%BB%B6%E7%B0%BF/id6757506278</t>
  </si>
  <si>
    <t>三國：萬策爭雄是一款考驗謀略與布局的三國策略手遊，玩家可招募魏、蜀、吳、群雄名將，依據武將天賦、職業與屬性克制自由配陣，運用兵法計策在沙盤戰場攻守博弈，逐鹿天下。想快速掌握開局方向，速速幫整理新手攻略、陣容搭配、養成技巧、最新兌換碼與官方禮包碼，助你有效累積資源、提升戰力。另提供三國：萬策爭雄代儲值資訊，流程快速安全，讓你安心補給、把握成長節奏。立即查看攻略與可用福利，踏出稱霸三國的第一步！掌握戰術優勢。持續追蹤最新福利更新。</t>
  </si>
  <si>
    <t>三國超離譜是一款融合港漫畫風、無厘頭搞笑與放置卡牌策略的三國手遊，曹操、劉備、關羽、呂布等名將以顛覆形象登場。玩家可招募武將、組合隊伍，利用離線掛機累積收益，並透過抽卡與陣容調整挑戰各種關卡。想快速上手，速速幫提供新手攻略、武將培養、隊伍搭配、最新兌換碼及官方禮包碼整理，協助你掌握福利與養成方向。也能查詢三國超離譜代儲值服務，快速安全補充遊戲資源。立即查看最新資訊，輕鬆開啟爆笑三國冒險！每日關注更新，別錯過限時福利與成長機會。</t>
  </si>
  <si>
    <t>GOD：血冠是一款以北歐神話為背景的魔幻 MMORPG，玩家將踏入神魔交戰的世界，選擇五大職業，搭配技能與轉職路線，挑戰深淵魔物、世界 BOSS、神裝收集及跨服公會戰。電影級視覺、智能戰鬥與多元養成，帶來爽快的冒險體驗。想掌握開局職業、戰力提升與裝備培養，速速幫整理新手攻略、最新兌換碼、官方禮包碼與活動資訊，幫你快速追上進度。另可了解 GOD：血冠代儲值服務，快速安全補給更便利。立即查看攻略與可用福利，為爭奪血冠做好準備！活動內容請以官方公告為準。</t>
  </si>
  <si>
    <t>裝備仔: OVERGEARED 是以奇幻開放世界為舞台的 MMORPG，結合多元武器職業、連段戰鬥、裝備改造與團隊協力。玩家能探索不同區域、挑戰強敵，透過專屬裝備與 OVERGEARED 系統突破戰力極限，並參與跨次元勢力對抗。想掌握職業選擇、武器搭配、裝備養成及新手攻略，速速幫將整理最新兌換碼、官方禮包碼與重要遊戲資訊，協助你有效規劃成長路線。也可查詢裝備仔代儲值服務，快速安全補充資源。立即關注攻略與福利更新，打造自己的最強冒險者！規劃冒險與養成目標。</t>
  </si>
  <si>
    <t>來種水果吧！是一款療癒系果園模擬經營手遊，從播下種子、照料果樹到收穫水果，逐步打造專屬夢想果園。玩家可自由布置小屋與裝飾、搭配角色服裝，收集多樣水果並解鎖圖鑑；完成指定任務還有機會將遊戲成果連結現實水果獎勵，享受種植與收集的雙重樂趣。速速幫將整理新手攻略、果園經營技巧、最新兌換碼、官方禮包碼及活動情報，幫助你更有效率地累積資源。另可查看來種水果吧代儲值資訊，快速安全補給。立即查看攻略與最新福利，開始你的豐收日常！實際獎勵與活動條件請以遊戲公告為準。</t>
  </si>
  <si>
    <t>SSS冒險家帶你踏上奇幻冒險旅程，透過角色培養、裝備強化與關卡挑戰，逐步提升隊伍實力，迎戰更強大的敵人並探索未知世界。無論你是剛入坑的新手，或想提升戰力的老玩家，掌握資源分配、角色養成與戰鬥技巧，都能讓冒險更加順利。速速幫將持續整理 SSS冒險家新手攻略、角色培養建議、最新兌換碼、官方禮包碼與活動資訊，幫你掌握可用福利、減少摸索時間。另提供 SSS冒險家代儲值相關資訊，快速安全補充遊戲資源。立即查看攻略與兌換碼，展開專屬你的冒險！福利請以官方公告為準。</t>
  </si>
  <si>
    <t>劍之川是一款高自由度武俠 RPG，融合即時策略戰鬥、俠客養成、裝備心法搭配與沉浸式江湖劇情。玩家能探索廣闊世界，體驗釣魚、狩獵、烹飪、鑄造等生活玩法，並自由組合流派、運用戰術迎敵；離線放置也能累積收益，輕鬆培養俠客。速速幫整理劍之川新手攻略、俠客與心法搭配、戰力提升技巧、最新兌換碼及官方禮包碼，助你更快掌握江湖門道。想加速養成，也可查詢劍之川代儲值服務，快速安全補給。立即查看攻略與福利，闖出自己的武俠傳奇！遊戲活動與獎勵內容請以官方公告為準。</t>
  </si>
  <si>
    <t>極樂事件簿是一款結合動畫演出、懸疑喜劇劇情與美少女收集養成的策略 RPG。玩家將化身解決師，在充滿突發事件的世界中調查案件、招募角色，運用屬性相剋與連攜效果組成隊伍，挑戰不同戰局；培養角色羈絆，也能解鎖更多專屬故事與互動內容。想快速掌握角色培養、隊伍配置與戰鬥技巧，速速幫整理新手攻略、最新兌換碼、官方禮包碼及活動情報。另可查詢極樂事件簿代儲值資訊，快速安全補充所需資源。立即查看攻略與最新福利，成為掌控局勢的王牌解決師！最新活動與實際福利請以官方公告為準。</t>
  </si>
  <si>
    <t>weeka632</t>
    <phoneticPr fontId="2" type="noConversion"/>
  </si>
  <si>
    <t>遊戲主畫面內點「福利大廳」</t>
    <phoneticPr fontId="2" type="noConversion"/>
  </si>
  <si>
    <t>進去後點「兌換」</t>
    <phoneticPr fontId="2" type="noConversion"/>
  </si>
  <si>
    <t>PLAYNOW</t>
    <phoneticPr fontId="2" type="noConversion"/>
  </si>
  <si>
    <t>PREPARE</t>
    <phoneticPr fontId="2" type="noConversion"/>
  </si>
  <si>
    <t>LOVER777</t>
    <phoneticPr fontId="2" type="noConversion"/>
  </si>
  <si>
    <t>LASTDAY2</t>
    <phoneticPr fontId="2" type="noConversion"/>
  </si>
  <si>
    <t>LASTDAY3</t>
    <phoneticPr fontId="2" type="noConversion"/>
  </si>
  <si>
    <t>鑽石 ×200</t>
    <phoneticPr fontId="2" type="noConversion"/>
  </si>
  <si>
    <r>
      <rPr>
        <sz val="15"/>
        <color rgb="FF000000"/>
        <rFont val="細明體"/>
        <family val="3"/>
        <charset val="136"/>
      </rPr>
      <t>鑽石</t>
    </r>
    <r>
      <rPr>
        <sz val="15"/>
        <color rgb="FF000000"/>
        <rFont val="Arial"/>
        <family val="2"/>
      </rPr>
      <t xml:space="preserve"> ×200+</t>
    </r>
    <r>
      <rPr>
        <sz val="15"/>
        <color rgb="FF000000"/>
        <rFont val="細明體"/>
        <family val="3"/>
        <charset val="136"/>
      </rPr>
      <t>夥伴券</t>
    </r>
    <r>
      <rPr>
        <sz val="15"/>
        <color rgb="FF000000"/>
        <rFont val="Arial"/>
        <family val="2"/>
      </rPr>
      <t>*10</t>
    </r>
    <phoneticPr fontId="2" type="noConversion"/>
  </si>
  <si>
    <t>2026MADGLOBAL</t>
    <phoneticPr fontId="2" type="noConversion"/>
  </si>
  <si>
    <t>BLOODYMARY</t>
    <phoneticPr fontId="2" type="noConversion"/>
  </si>
  <si>
    <t>MAD100DAYS</t>
    <phoneticPr fontId="2" type="noConversion"/>
  </si>
  <si>
    <t>STEAMWITHMAD</t>
    <phoneticPr fontId="2" type="noConversion"/>
  </si>
  <si>
    <t>50DAYSWITHMAD</t>
    <phoneticPr fontId="2" type="noConversion"/>
  </si>
  <si>
    <t>WELCOMEMAD</t>
    <phoneticPr fontId="2" type="noConversion"/>
  </si>
  <si>
    <t>遊戲主畫面右上方三條線「選單」</t>
    <phoneticPr fontId="2" type="noConversion"/>
  </si>
  <si>
    <t>點進去「公告事單」</t>
    <phoneticPr fontId="2" type="noConversion"/>
  </si>
  <si>
    <t>切換到活動後點「輸入優惠券」</t>
    <phoneticPr fontId="2" type="noConversion"/>
  </si>
  <si>
    <t>全民修煉：重製版</t>
    <phoneticPr fontId="2" type="noConversion"/>
  </si>
  <si>
    <t>https://play.google.com/store/apps/details?id=com.daerigame.scarecrow&amp;hl=zh_TW</t>
  </si>
  <si>
    <t>https://apps.apple.com/tw/app/%E5%85%A8%E6%B0%91%E4%BF%AE%E7%85%89-%E9%87%8D%E8%A3%BD%E7%89%88/id6803365307</t>
  </si>
  <si>
    <t>《全民修煉：重製版》是一款以修煉成長為核心的1對1戰鬥RPG，結合基礎訓練、裝備合成、強化升級與PVP對戰，體驗從新手逐步成為強者的成長樂趣。想快速提升戰力？立即查看全民修煉：重製版攻略，掌握新手培養技巧、裝備強化方向、最新兌換碼與官方禮包碼，領取更多遊戲資源。透過合理分配資源、持續修煉與挑戰對手，打造專屬戰鬥優勢。需要購買遊戲點數或優惠禮包，也可選擇速速幫代儲值服務，享受快速安全的便利體驗。立即掌握最新資訊，開啟你的修煉之路！</t>
    <phoneticPr fontId="2" type="noConversion"/>
  </si>
  <si>
    <t>skytomb261010</t>
    <phoneticPr fontId="2" type="noConversion"/>
  </si>
  <si>
    <t>遊戲內點選單進去</t>
    <phoneticPr fontId="2" type="noConversion"/>
  </si>
  <si>
    <t>進去設定之後點「帳號」</t>
    <phoneticPr fontId="2" type="noConversion"/>
  </si>
  <si>
    <t>守護靈召喚券(一般-傳說)*5+幻影術召喚券(一般-傳說)*5+輕功裝備召喚券(一般-傳說)*5+八卦召喚券(一般-傳說)*5</t>
    <phoneticPr fontId="2" type="noConversion"/>
  </si>
  <si>
    <t>VIP666</t>
    <phoneticPr fontId="2" type="noConversion"/>
  </si>
  <si>
    <t>VIP888</t>
    <phoneticPr fontId="2" type="noConversion"/>
  </si>
  <si>
    <t xml:space="preserve">newyear2026 </t>
    <phoneticPr fontId="2" type="noConversion"/>
  </si>
  <si>
    <t>NANANA666</t>
    <phoneticPr fontId="2" type="noConversion"/>
  </si>
  <si>
    <t>NANANA888</t>
    <phoneticPr fontId="2" type="noConversion"/>
  </si>
  <si>
    <t>NANANA999</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</si>
</sst>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
      <sz val="15"/>
      <color rgb="FF000000"/>
      <name val="細明體"/>
      <family val="3"/>
      <charset val="136"/>
    </font>
  </fonts>
  <fills count="7">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
      <patternFill patternType="solid">
        <fgColor rgb="FFFFFFFF"/>
        <bgColor indexed="64"/>
      </patternFill>
    </fill>
    <fill>
      <patternFill patternType="solid">
        <fgColor rgb="FFF0F0F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xf numFmtId="0" fontId="11" fillId="6" borderId="0" xfId="0" applyFont="1" applyFill="1" applyAlignment="1">
      <alignment horizontal="center" vertical="center" wrapText="1"/>
    </xf>
    <xf numFmtId="0" fontId="11" fillId="6" borderId="0" xfId="0" applyFont="1" applyFill="1" applyAlignment="1">
      <alignment vertical="center" wrapText="1"/>
    </xf>
    <xf numFmtId="0" fontId="11" fillId="5" borderId="0" xfId="0" applyFont="1" applyFill="1" applyAlignment="1">
      <alignment horizontal="center" vertical="center" wrapText="1"/>
    </xf>
    <xf numFmtId="0" fontId="11" fillId="5" borderId="0" xfId="0"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366" Type="http://schemas.openxmlformats.org/officeDocument/2006/relationships/printerSettings" Target="../printerSettings/printerSettings2.bin"/><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357"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359"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361"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362"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363"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364"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354"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36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35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356"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358"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36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zoomScale="85" zoomScaleNormal="85" workbookViewId="0">
      <pane xSplit="1" ySplit="1" topLeftCell="B619" activePane="bottomRight" state="frozen"/>
      <selection pane="topRight" activeCell="B1" sqref="B1"/>
      <selection pane="bottomLeft" activeCell="A2" sqref="A2"/>
      <selection pane="bottomRight" activeCell="F624" sqref="F62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7"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20"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E572" s="9" t="s">
        <v>10099</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10035</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10036</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10037</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10000</v>
      </c>
      <c r="E603" s="9" t="s">
        <v>10047</v>
      </c>
      <c r="F603" s="8" t="str">
        <f t="shared" si="23"/>
        <v>gift-codes.html?game=BanG Dream! 交織的樂章</v>
      </c>
      <c r="G603" s="9" t="s">
        <v>9998</v>
      </c>
      <c r="H603" s="9" t="str">
        <f t="shared" si="22"/>
        <v>https://www.ssbuy.tw/game-detail.html?game=BanG Dream! 交織的樂章</v>
      </c>
      <c r="I603" s="10" t="s">
        <v>10038</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10001</v>
      </c>
      <c r="D604" s="9" t="s">
        <v>10023</v>
      </c>
      <c r="E604" s="9" t="s">
        <v>10024</v>
      </c>
      <c r="F604" s="8" t="str">
        <f t="shared" si="23"/>
        <v>gift-codes.html?game=花物語</v>
      </c>
      <c r="G604" s="9" t="s">
        <v>10002</v>
      </c>
      <c r="H604" s="9" t="str">
        <f t="shared" si="22"/>
        <v>https://www.ssbuy.tw/game-detail.html?game=花物語</v>
      </c>
      <c r="I604" s="10" t="s">
        <v>10039</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10006</v>
      </c>
      <c r="D605" s="9" t="s">
        <v>10003</v>
      </c>
      <c r="E605" s="9" t="s">
        <v>10004</v>
      </c>
      <c r="F605" s="8" t="str">
        <f t="shared" si="23"/>
        <v>gift-codes.html?game=小蝦米闖江湖</v>
      </c>
      <c r="G605" s="9" t="s">
        <v>10005</v>
      </c>
      <c r="H605" s="9" t="str">
        <f t="shared" si="22"/>
        <v>https://www.ssbuy.tw/game-detail.html?game=小蝦米闖江湖</v>
      </c>
      <c r="I605" s="10" t="s">
        <v>10040</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10008</v>
      </c>
      <c r="F606" s="8" t="str">
        <f t="shared" si="23"/>
        <v>gift-codes.html?game=米卡：地城背包客</v>
      </c>
      <c r="G606" s="9" t="s">
        <v>10007</v>
      </c>
      <c r="H606" s="9" t="str">
        <f t="shared" si="22"/>
        <v>https://www.ssbuy.tw/game-detail.html?game=米卡：地城背包客</v>
      </c>
      <c r="I606" s="10" t="s">
        <v>10041</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10009</v>
      </c>
      <c r="E607" s="9" t="s">
        <v>10011</v>
      </c>
      <c r="F607" s="8" t="str">
        <f t="shared" si="23"/>
        <v>gift-codes.html?game=永夜幻想：契約之戰</v>
      </c>
      <c r="G607" s="9" t="s">
        <v>10010</v>
      </c>
      <c r="H607" s="9" t="str">
        <f t="shared" si="22"/>
        <v>https://www.ssbuy.tw/game-detail.html?game=永夜幻想：契約之戰</v>
      </c>
      <c r="I607" s="10" t="s">
        <v>10042</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10025</v>
      </c>
      <c r="F608" s="8" t="str">
        <f t="shared" si="23"/>
        <v>gift-codes.html?game=風之痕跡</v>
      </c>
      <c r="G608" s="9" t="s">
        <v>10013</v>
      </c>
      <c r="H608" s="9" t="str">
        <f t="shared" si="22"/>
        <v>https://www.ssbuy.tw/game-detail.html?game=風之痕跡</v>
      </c>
      <c r="I608" s="10" t="s">
        <v>10043</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10014</v>
      </c>
      <c r="E609" s="9" t="s">
        <v>10015</v>
      </c>
      <c r="F609" s="8" t="str">
        <f t="shared" si="23"/>
        <v>gift-codes.html?game=魔物獵人：旅人</v>
      </c>
      <c r="G609" s="9" t="s">
        <v>10034</v>
      </c>
      <c r="H609" s="9" t="str">
        <f t="shared" si="22"/>
        <v>https://www.ssbuy.tw/game-detail.html?game=魔物獵人：旅人</v>
      </c>
      <c r="I609" s="10" t="s">
        <v>10044</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10017</v>
      </c>
      <c r="D610" s="9" t="s">
        <v>10016</v>
      </c>
      <c r="E610" s="9" t="s">
        <v>10027</v>
      </c>
      <c r="F610" s="8" t="str">
        <f t="shared" si="23"/>
        <v>gift-codes.html?game=屍控防線</v>
      </c>
      <c r="G610" s="9" t="s">
        <v>10026</v>
      </c>
      <c r="H610" s="9" t="str">
        <f t="shared" si="22"/>
        <v>https://www.ssbuy.tw/game-detail.html?game=屍控防線</v>
      </c>
      <c r="I610" s="10" t="s">
        <v>10045</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10022</v>
      </c>
      <c r="D611" s="9" t="s">
        <v>10021</v>
      </c>
      <c r="E611" s="9" t="s">
        <v>10020</v>
      </c>
      <c r="F611" s="8" t="str">
        <f t="shared" si="23"/>
        <v>gift-codes.html?game=雲海之下</v>
      </c>
      <c r="G611" s="9" t="s">
        <v>10019</v>
      </c>
      <c r="H611" s="9" t="str">
        <f t="shared" si="22"/>
        <v>https://www.ssbuy.tw/game-detail.html?game=雲海之下</v>
      </c>
      <c r="I611" s="10" t="s">
        <v>10046</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thickBot="1">
      <c r="A612" s="114" t="s">
        <v>10087</v>
      </c>
      <c r="C612" s="8" t="s">
        <v>10089</v>
      </c>
      <c r="E612" s="9" t="s">
        <v>10091</v>
      </c>
      <c r="F612" s="8" t="str">
        <f t="shared" si="23"/>
        <v>gift-codes.html?game=鼠鼠特攻隊</v>
      </c>
      <c r="G612" s="9" t="s">
        <v>10092</v>
      </c>
      <c r="H612" s="9" t="str">
        <f t="shared" si="22"/>
        <v>https://www.ssbuy.tw/game-detail.html?game=鼠鼠特攻隊</v>
      </c>
      <c r="I612" t="s">
        <v>10098</v>
      </c>
      <c r="J612" s="16" t="s">
        <v>5418</v>
      </c>
      <c r="K612" s="39" t="s">
        <v>5446</v>
      </c>
      <c r="L612" s="111" t="s">
        <v>46</v>
      </c>
      <c r="M612" s="112">
        <v>2559</v>
      </c>
      <c r="N612" s="111" t="s">
        <v>1677</v>
      </c>
      <c r="O612" s="112">
        <v>1287</v>
      </c>
      <c r="P612" s="111" t="s">
        <v>151</v>
      </c>
      <c r="Q612" s="112">
        <v>863</v>
      </c>
      <c r="R612" s="111" t="s">
        <v>152</v>
      </c>
      <c r="S612" s="112">
        <v>584</v>
      </c>
      <c r="T612" s="111" t="s">
        <v>153</v>
      </c>
      <c r="U612" s="112">
        <v>427</v>
      </c>
      <c r="V612" s="111" t="s">
        <v>6549</v>
      </c>
      <c r="W612" s="112">
        <v>279</v>
      </c>
      <c r="X612" s="111" t="s">
        <v>6550</v>
      </c>
      <c r="Y612" s="112">
        <v>131</v>
      </c>
      <c r="Z612" s="111" t="s">
        <v>8447</v>
      </c>
      <c r="AA612" s="112">
        <v>87</v>
      </c>
      <c r="AB612" s="111" t="s">
        <v>6553</v>
      </c>
      <c r="AC612" s="112">
        <v>29</v>
      </c>
    </row>
    <row r="613" spans="1:29" ht="29.25" customHeight="1" thickBot="1">
      <c r="A613" s="114" t="s">
        <v>10088</v>
      </c>
      <c r="C613" s="8" t="s">
        <v>10093</v>
      </c>
      <c r="D613" s="9" t="s">
        <v>10094</v>
      </c>
      <c r="E613" s="9" t="s">
        <v>10096</v>
      </c>
      <c r="F613" s="8" t="str">
        <f t="shared" si="23"/>
        <v>gift-codes.html?game=大時代-Tvb正版授權</v>
      </c>
      <c r="G613" s="9" t="s">
        <v>10095</v>
      </c>
      <c r="H613" s="9" t="str">
        <f t="shared" si="22"/>
        <v>https://www.ssbuy.tw/game-detail.html?game=大時代-Tvb正版授權</v>
      </c>
      <c r="I613" t="s">
        <v>10097</v>
      </c>
      <c r="J613" s="16" t="s">
        <v>5418</v>
      </c>
      <c r="K613" s="39" t="s">
        <v>5446</v>
      </c>
      <c r="L613" s="111" t="s">
        <v>46</v>
      </c>
      <c r="M613" s="112">
        <v>2559</v>
      </c>
      <c r="N613" s="111" t="s">
        <v>1677</v>
      </c>
      <c r="O613" s="112">
        <v>1287</v>
      </c>
      <c r="P613" s="111" t="s">
        <v>151</v>
      </c>
      <c r="Q613" s="112">
        <v>863</v>
      </c>
      <c r="R613" s="111" t="s">
        <v>152</v>
      </c>
      <c r="S613" s="112">
        <v>584</v>
      </c>
      <c r="T613" s="111" t="s">
        <v>153</v>
      </c>
      <c r="U613" s="112">
        <v>427</v>
      </c>
      <c r="V613" s="111" t="s">
        <v>6549</v>
      </c>
      <c r="W613" s="112">
        <v>279</v>
      </c>
      <c r="X613" s="111" t="s">
        <v>6550</v>
      </c>
      <c r="Y613" s="112">
        <v>131</v>
      </c>
      <c r="Z613" s="111" t="s">
        <v>8447</v>
      </c>
      <c r="AA613" s="112">
        <v>87</v>
      </c>
      <c r="AB613" s="111" t="s">
        <v>6553</v>
      </c>
      <c r="AC613" s="112">
        <v>29</v>
      </c>
    </row>
    <row r="614" spans="1:29" ht="29.25" customHeight="1" thickBot="1">
      <c r="A614" s="114" t="s">
        <v>10109</v>
      </c>
      <c r="C614" s="8" t="s">
        <v>10104</v>
      </c>
      <c r="D614" s="9" t="s">
        <v>10102</v>
      </c>
      <c r="E614" s="9" t="s">
        <v>10103</v>
      </c>
      <c r="F614" s="8" t="str">
        <f t="shared" si="23"/>
        <v>gift-codes.html?game=天上碑K</v>
      </c>
      <c r="G614" s="9" t="s">
        <v>10105</v>
      </c>
      <c r="H614" s="9" t="str">
        <f t="shared" si="22"/>
        <v>https://www.ssbuy.tw/game-detail.html?game=天上碑K</v>
      </c>
      <c r="I614" t="s">
        <v>10108</v>
      </c>
      <c r="J614" s="16" t="s">
        <v>5418</v>
      </c>
      <c r="K614" s="39" t="s">
        <v>5446</v>
      </c>
      <c r="L614" s="1" t="s">
        <v>5939</v>
      </c>
      <c r="M614" s="26">
        <v>2816</v>
      </c>
      <c r="N614" s="1" t="s">
        <v>5940</v>
      </c>
      <c r="O614" s="26">
        <v>1460</v>
      </c>
      <c r="P614" s="1" t="s">
        <v>5941</v>
      </c>
      <c r="Q614" s="26">
        <v>863</v>
      </c>
      <c r="R614" s="1" t="s">
        <v>5942</v>
      </c>
      <c r="S614" s="26">
        <v>759</v>
      </c>
      <c r="T614" s="1" t="s">
        <v>5943</v>
      </c>
      <c r="U614" s="26">
        <v>584</v>
      </c>
      <c r="V614" s="1" t="s">
        <v>5944</v>
      </c>
      <c r="W614" s="26">
        <v>427</v>
      </c>
      <c r="X614" s="1" t="s">
        <v>5945</v>
      </c>
      <c r="Y614" s="26">
        <v>288</v>
      </c>
      <c r="Z614" s="1" t="s">
        <v>5946</v>
      </c>
      <c r="AA614" s="26">
        <v>148</v>
      </c>
      <c r="AB614" s="1" t="s">
        <v>5947</v>
      </c>
      <c r="AC614" s="26">
        <v>29</v>
      </c>
    </row>
    <row r="615" spans="1:29" ht="29.25" customHeight="1" thickBot="1">
      <c r="A615" s="114" t="s">
        <v>10110</v>
      </c>
      <c r="C615" s="8" t="s">
        <v>10101</v>
      </c>
      <c r="E615" s="9" t="s">
        <v>10106</v>
      </c>
      <c r="F615" s="8" t="str">
        <f t="shared" si="23"/>
        <v>gift-codes.html?game=怪物地城＋</v>
      </c>
      <c r="G615" s="9" t="s">
        <v>10100</v>
      </c>
      <c r="H615" s="9" t="str">
        <f t="shared" si="22"/>
        <v>https://www.ssbuy.tw/game-detail.html?game=怪物地城＋</v>
      </c>
      <c r="I615" t="s">
        <v>10107</v>
      </c>
      <c r="J615" s="16" t="s">
        <v>5418</v>
      </c>
      <c r="K615" s="39" t="s">
        <v>5446</v>
      </c>
      <c r="L615" s="1" t="s">
        <v>5939</v>
      </c>
      <c r="M615" s="26">
        <v>2816</v>
      </c>
      <c r="N615" s="1" t="s">
        <v>5940</v>
      </c>
      <c r="O615" s="26">
        <v>1460</v>
      </c>
      <c r="P615" s="1" t="s">
        <v>5941</v>
      </c>
      <c r="Q615" s="26">
        <v>863</v>
      </c>
      <c r="R615" s="1" t="s">
        <v>5942</v>
      </c>
      <c r="S615" s="26">
        <v>759</v>
      </c>
      <c r="T615" s="1" t="s">
        <v>5943</v>
      </c>
      <c r="U615" s="26">
        <v>584</v>
      </c>
      <c r="V615" s="1" t="s">
        <v>5944</v>
      </c>
      <c r="W615" s="26">
        <v>427</v>
      </c>
      <c r="X615" s="1" t="s">
        <v>5945</v>
      </c>
      <c r="Y615" s="26">
        <v>288</v>
      </c>
      <c r="Z615" s="1" t="s">
        <v>5946</v>
      </c>
      <c r="AA615" s="26">
        <v>148</v>
      </c>
      <c r="AB615" s="1" t="s">
        <v>5947</v>
      </c>
      <c r="AC615" s="26">
        <v>29</v>
      </c>
    </row>
    <row r="616" spans="1:29" ht="29.25" customHeight="1" thickBot="1">
      <c r="A616" s="114" t="s">
        <v>10124</v>
      </c>
      <c r="C616" s="8" t="s">
        <v>10136</v>
      </c>
      <c r="D616" s="9" t="s">
        <v>10132</v>
      </c>
      <c r="E616" s="9" t="s">
        <v>10133</v>
      </c>
      <c r="F616" s="8" t="str">
        <f t="shared" si="23"/>
        <v>gift-codes.html?game=三國：萬策爭雄</v>
      </c>
      <c r="G616" s="9" t="s">
        <v>10134</v>
      </c>
      <c r="H616" s="9" t="str">
        <f t="shared" si="22"/>
        <v>https://www.ssbuy.tw/game-detail.html?game=三國：萬策爭雄</v>
      </c>
      <c r="I616" t="s">
        <v>10162</v>
      </c>
      <c r="J616" s="16" t="s">
        <v>5418</v>
      </c>
      <c r="K616" s="39" t="s">
        <v>5446</v>
      </c>
      <c r="L616" s="1" t="s">
        <v>5939</v>
      </c>
      <c r="M616" s="26">
        <v>2816</v>
      </c>
      <c r="N616" s="1" t="s">
        <v>5940</v>
      </c>
      <c r="O616" s="26">
        <v>1460</v>
      </c>
      <c r="P616" s="1" t="s">
        <v>5941</v>
      </c>
      <c r="Q616" s="26">
        <v>863</v>
      </c>
      <c r="R616" s="1" t="s">
        <v>5942</v>
      </c>
      <c r="S616" s="26">
        <v>759</v>
      </c>
      <c r="T616" s="1" t="s">
        <v>5943</v>
      </c>
      <c r="U616" s="26">
        <v>584</v>
      </c>
      <c r="V616" s="1" t="s">
        <v>5944</v>
      </c>
      <c r="W616" s="26">
        <v>427</v>
      </c>
      <c r="X616" s="1" t="s">
        <v>5945</v>
      </c>
      <c r="Y616" s="26">
        <v>288</v>
      </c>
      <c r="Z616" s="1" t="s">
        <v>5946</v>
      </c>
      <c r="AA616" s="26">
        <v>148</v>
      </c>
      <c r="AB616" s="1" t="s">
        <v>5947</v>
      </c>
      <c r="AC616" s="26">
        <v>29</v>
      </c>
    </row>
    <row r="617" spans="1:29" ht="29.25" customHeight="1" thickBot="1">
      <c r="A617" s="114" t="s">
        <v>10125</v>
      </c>
      <c r="C617" s="8" t="s">
        <v>10135</v>
      </c>
      <c r="E617" s="9" t="s">
        <v>10137</v>
      </c>
      <c r="F617" s="8" t="str">
        <f t="shared" si="23"/>
        <v>gift-codes.html?game=三國超離譜</v>
      </c>
      <c r="G617" s="9" t="s">
        <v>10138</v>
      </c>
      <c r="H617" s="9" t="str">
        <f t="shared" si="22"/>
        <v>https://www.ssbuy.tw/game-detail.html?game=三國超離譜</v>
      </c>
      <c r="I617" t="s">
        <v>10163</v>
      </c>
      <c r="J617" s="16" t="s">
        <v>5418</v>
      </c>
      <c r="K617" s="39" t="s">
        <v>5446</v>
      </c>
      <c r="L617" s="111" t="s">
        <v>46</v>
      </c>
      <c r="M617" s="112">
        <v>2559</v>
      </c>
      <c r="N617" s="111" t="s">
        <v>1677</v>
      </c>
      <c r="O617" s="112">
        <v>1287</v>
      </c>
      <c r="P617" s="111" t="s">
        <v>151</v>
      </c>
      <c r="Q617" s="112">
        <v>863</v>
      </c>
      <c r="R617" s="111" t="s">
        <v>152</v>
      </c>
      <c r="S617" s="112">
        <v>584</v>
      </c>
      <c r="T617" s="111" t="s">
        <v>153</v>
      </c>
      <c r="U617" s="112">
        <v>427</v>
      </c>
      <c r="V617" s="111" t="s">
        <v>6549</v>
      </c>
      <c r="W617" s="112">
        <v>279</v>
      </c>
      <c r="X617" s="111" t="s">
        <v>6550</v>
      </c>
      <c r="Y617" s="112">
        <v>131</v>
      </c>
      <c r="Z617" s="111" t="s">
        <v>8447</v>
      </c>
      <c r="AA617" s="112">
        <v>87</v>
      </c>
      <c r="AB617" s="111" t="s">
        <v>6553</v>
      </c>
      <c r="AC617" s="112">
        <v>29</v>
      </c>
    </row>
    <row r="618" spans="1:29" ht="29.25" customHeight="1" thickBot="1">
      <c r="A618" s="114" t="s">
        <v>10126</v>
      </c>
      <c r="C618" s="8" t="s">
        <v>10139</v>
      </c>
      <c r="D618" s="9" t="s">
        <v>10140</v>
      </c>
      <c r="E618" s="9" t="s">
        <v>10141</v>
      </c>
      <c r="F618" s="8" t="str">
        <f t="shared" si="23"/>
        <v>gift-codes.html?game=GOD：血冠</v>
      </c>
      <c r="G618" s="9" t="s">
        <v>10142</v>
      </c>
      <c r="H618" s="9" t="str">
        <f t="shared" ref="H618:H681" si="24">IF(A618="", "", "https://www.ssbuy.tw/game-detail.html?game="&amp;A618)</f>
        <v>https://www.ssbuy.tw/game-detail.html?game=GOD：血冠</v>
      </c>
      <c r="I618" t="s">
        <v>10164</v>
      </c>
      <c r="J618" s="16" t="s">
        <v>5418</v>
      </c>
      <c r="K618" s="39" t="s">
        <v>5446</v>
      </c>
      <c r="L618" s="111" t="s">
        <v>46</v>
      </c>
      <c r="M618" s="112">
        <v>2559</v>
      </c>
      <c r="N618" s="111" t="s">
        <v>1677</v>
      </c>
      <c r="O618" s="112">
        <v>1287</v>
      </c>
      <c r="P618" s="111" t="s">
        <v>151</v>
      </c>
      <c r="Q618" s="112">
        <v>863</v>
      </c>
      <c r="R618" s="111" t="s">
        <v>152</v>
      </c>
      <c r="S618" s="112">
        <v>584</v>
      </c>
      <c r="T618" s="111" t="s">
        <v>153</v>
      </c>
      <c r="U618" s="112">
        <v>427</v>
      </c>
      <c r="V618" s="111" t="s">
        <v>6549</v>
      </c>
      <c r="W618" s="112">
        <v>279</v>
      </c>
      <c r="X618" s="111" t="s">
        <v>6550</v>
      </c>
      <c r="Y618" s="112">
        <v>131</v>
      </c>
      <c r="Z618" s="111" t="s">
        <v>8447</v>
      </c>
      <c r="AA618" s="112">
        <v>87</v>
      </c>
      <c r="AB618" s="111" t="s">
        <v>6553</v>
      </c>
      <c r="AC618" s="112">
        <v>29</v>
      </c>
    </row>
    <row r="619" spans="1:29" ht="29.25" customHeight="1" thickBot="1">
      <c r="A619" s="114" t="s">
        <v>10127</v>
      </c>
      <c r="C619" s="8" t="s">
        <v>10143</v>
      </c>
      <c r="D619" s="9" t="s">
        <v>10144</v>
      </c>
      <c r="E619" s="9" t="s">
        <v>10145</v>
      </c>
      <c r="F619" s="8" t="str">
        <f t="shared" si="23"/>
        <v>gift-codes.html?game=裝備仔：overgeared</v>
      </c>
      <c r="G619" s="9" t="s">
        <v>10146</v>
      </c>
      <c r="H619" s="9" t="str">
        <f t="shared" si="24"/>
        <v>https://www.ssbuy.tw/game-detail.html?game=裝備仔：overgeared</v>
      </c>
      <c r="I619" t="s">
        <v>10165</v>
      </c>
      <c r="J619" s="16" t="s">
        <v>5418</v>
      </c>
      <c r="K619" s="39" t="s">
        <v>5446</v>
      </c>
      <c r="L619" s="111" t="s">
        <v>46</v>
      </c>
      <c r="M619" s="112">
        <v>2559</v>
      </c>
      <c r="N619" s="111" t="s">
        <v>1677</v>
      </c>
      <c r="O619" s="112">
        <v>1287</v>
      </c>
      <c r="P619" s="111" t="s">
        <v>151</v>
      </c>
      <c r="Q619" s="112">
        <v>863</v>
      </c>
      <c r="R619" s="111" t="s">
        <v>152</v>
      </c>
      <c r="S619" s="112">
        <v>584</v>
      </c>
      <c r="T619" s="111" t="s">
        <v>153</v>
      </c>
      <c r="U619" s="112">
        <v>427</v>
      </c>
      <c r="V619" s="111" t="s">
        <v>6549</v>
      </c>
      <c r="W619" s="112">
        <v>279</v>
      </c>
      <c r="X619" s="111" t="s">
        <v>6550</v>
      </c>
      <c r="Y619" s="112">
        <v>131</v>
      </c>
      <c r="Z619" s="111" t="s">
        <v>8447</v>
      </c>
      <c r="AA619" s="112">
        <v>87</v>
      </c>
      <c r="AB619" s="111" t="s">
        <v>6553</v>
      </c>
      <c r="AC619" s="112">
        <v>29</v>
      </c>
    </row>
    <row r="620" spans="1:29" ht="29.25" customHeight="1" thickBot="1">
      <c r="A620" s="114" t="s">
        <v>10128</v>
      </c>
      <c r="C620" s="8" t="s">
        <v>10147</v>
      </c>
      <c r="D620" s="9" t="s">
        <v>10149</v>
      </c>
      <c r="E620" s="9" t="s">
        <v>10150</v>
      </c>
      <c r="F620" s="8" t="str">
        <f t="shared" si="23"/>
        <v>gift-codes.html?game=來種水果吧</v>
      </c>
      <c r="G620" s="9" t="s">
        <v>10148</v>
      </c>
      <c r="H620" s="9" t="str">
        <f t="shared" si="24"/>
        <v>https://www.ssbuy.tw/game-detail.html?game=來種水果吧</v>
      </c>
      <c r="I620" t="s">
        <v>10166</v>
      </c>
      <c r="J620" s="16" t="s">
        <v>5418</v>
      </c>
      <c r="K620" s="39" t="s">
        <v>5446</v>
      </c>
      <c r="L620" s="1" t="s">
        <v>5939</v>
      </c>
      <c r="M620" s="26">
        <v>2816</v>
      </c>
      <c r="N620" s="1" t="s">
        <v>5940</v>
      </c>
      <c r="O620" s="26">
        <v>1460</v>
      </c>
      <c r="P620" s="1" t="s">
        <v>5941</v>
      </c>
      <c r="Q620" s="26">
        <v>863</v>
      </c>
      <c r="R620" s="1" t="s">
        <v>5942</v>
      </c>
      <c r="S620" s="26">
        <v>759</v>
      </c>
      <c r="T620" s="1" t="s">
        <v>5943</v>
      </c>
      <c r="U620" s="26">
        <v>584</v>
      </c>
      <c r="V620" s="1" t="s">
        <v>5944</v>
      </c>
      <c r="W620" s="26">
        <v>427</v>
      </c>
      <c r="X620" s="1" t="s">
        <v>5945</v>
      </c>
      <c r="Y620" s="26">
        <v>288</v>
      </c>
      <c r="Z620" s="1" t="s">
        <v>5946</v>
      </c>
      <c r="AA620" s="26">
        <v>148</v>
      </c>
      <c r="AB620" s="1" t="s">
        <v>5947</v>
      </c>
      <c r="AC620" s="26">
        <v>29</v>
      </c>
    </row>
    <row r="621" spans="1:29" ht="29.25" customHeight="1" thickBot="1">
      <c r="A621" s="114" t="s">
        <v>10129</v>
      </c>
      <c r="C621" s="8" t="s">
        <v>10151</v>
      </c>
      <c r="E621" s="9" t="s">
        <v>10153</v>
      </c>
      <c r="F621" s="8" t="str">
        <f t="shared" ref="F621:F684" si="25">IF(A621="", "", "gift-codes.html?game=" &amp; A621)</f>
        <v>gift-codes.html?game=SSS冒險家</v>
      </c>
      <c r="G621" s="9" t="s">
        <v>10152</v>
      </c>
      <c r="H621" s="9" t="str">
        <f t="shared" si="24"/>
        <v>https://www.ssbuy.tw/game-detail.html?game=SSS冒險家</v>
      </c>
      <c r="I621" t="s">
        <v>10167</v>
      </c>
      <c r="J621" s="16" t="s">
        <v>5418</v>
      </c>
      <c r="K621" s="39" t="s">
        <v>5446</v>
      </c>
      <c r="L621" s="1" t="s">
        <v>5939</v>
      </c>
      <c r="M621" s="26">
        <v>2816</v>
      </c>
      <c r="N621" s="1" t="s">
        <v>5940</v>
      </c>
      <c r="O621" s="26">
        <v>1460</v>
      </c>
      <c r="P621" s="1" t="s">
        <v>5941</v>
      </c>
      <c r="Q621" s="26">
        <v>863</v>
      </c>
      <c r="R621" s="1" t="s">
        <v>5942</v>
      </c>
      <c r="S621" s="26">
        <v>759</v>
      </c>
      <c r="T621" s="1" t="s">
        <v>5943</v>
      </c>
      <c r="U621" s="26">
        <v>584</v>
      </c>
      <c r="V621" s="1" t="s">
        <v>5944</v>
      </c>
      <c r="W621" s="26">
        <v>427</v>
      </c>
      <c r="X621" s="1" t="s">
        <v>5945</v>
      </c>
      <c r="Y621" s="26">
        <v>288</v>
      </c>
      <c r="Z621" s="1" t="s">
        <v>5946</v>
      </c>
      <c r="AA621" s="26">
        <v>148</v>
      </c>
      <c r="AB621" s="1" t="s">
        <v>5947</v>
      </c>
      <c r="AC621" s="26">
        <v>29</v>
      </c>
    </row>
    <row r="622" spans="1:29" ht="29.25" customHeight="1" thickBot="1">
      <c r="A622" s="114" t="s">
        <v>10130</v>
      </c>
      <c r="C622" s="8" t="s">
        <v>10154</v>
      </c>
      <c r="D622" s="9" t="s">
        <v>10155</v>
      </c>
      <c r="E622" s="9" t="s">
        <v>10157</v>
      </c>
      <c r="F622" s="8" t="str">
        <f t="shared" si="25"/>
        <v>gift-codes.html?game=劍之川</v>
      </c>
      <c r="G622" s="9" t="s">
        <v>10156</v>
      </c>
      <c r="H622" s="9" t="str">
        <f t="shared" si="24"/>
        <v>https://www.ssbuy.tw/game-detail.html?game=劍之川</v>
      </c>
      <c r="I622" t="s">
        <v>10168</v>
      </c>
      <c r="J622" s="16" t="s">
        <v>5418</v>
      </c>
      <c r="K622" s="39" t="s">
        <v>5446</v>
      </c>
      <c r="L622" s="1" t="s">
        <v>5939</v>
      </c>
      <c r="M622" s="26">
        <v>2816</v>
      </c>
      <c r="N622" s="1" t="s">
        <v>5940</v>
      </c>
      <c r="O622" s="26">
        <v>1460</v>
      </c>
      <c r="P622" s="1" t="s">
        <v>5941</v>
      </c>
      <c r="Q622" s="26">
        <v>863</v>
      </c>
      <c r="R622" s="1" t="s">
        <v>5942</v>
      </c>
      <c r="S622" s="26">
        <v>759</v>
      </c>
      <c r="T622" s="1" t="s">
        <v>5943</v>
      </c>
      <c r="U622" s="26">
        <v>584</v>
      </c>
      <c r="V622" s="1" t="s">
        <v>5944</v>
      </c>
      <c r="W622" s="26">
        <v>427</v>
      </c>
      <c r="X622" s="1" t="s">
        <v>5945</v>
      </c>
      <c r="Y622" s="26">
        <v>288</v>
      </c>
      <c r="Z622" s="1" t="s">
        <v>5946</v>
      </c>
      <c r="AA622" s="26">
        <v>148</v>
      </c>
      <c r="AB622" s="1" t="s">
        <v>5947</v>
      </c>
      <c r="AC622" s="26">
        <v>29</v>
      </c>
    </row>
    <row r="623" spans="1:29" ht="29.25" customHeight="1" thickBot="1">
      <c r="A623" s="114" t="s">
        <v>10131</v>
      </c>
      <c r="C623" s="8" t="s">
        <v>10158</v>
      </c>
      <c r="D623" s="9" t="s">
        <v>10159</v>
      </c>
      <c r="E623" s="9" t="s">
        <v>10161</v>
      </c>
      <c r="F623" s="8" t="str">
        <f t="shared" si="25"/>
        <v>gift-codes.html?game=極樂事件簿</v>
      </c>
      <c r="G623" s="9" t="s">
        <v>10160</v>
      </c>
      <c r="H623" s="9" t="str">
        <f t="shared" si="24"/>
        <v>https://www.ssbuy.tw/game-detail.html?game=極樂事件簿</v>
      </c>
      <c r="I623" t="s">
        <v>10169</v>
      </c>
      <c r="J623" s="16" t="s">
        <v>5418</v>
      </c>
      <c r="K623" s="39" t="s">
        <v>5446</v>
      </c>
      <c r="L623" s="111" t="s">
        <v>46</v>
      </c>
      <c r="M623" s="112">
        <v>2559</v>
      </c>
      <c r="N623" s="111" t="s">
        <v>1677</v>
      </c>
      <c r="O623" s="112">
        <v>1287</v>
      </c>
      <c r="P623" s="111" t="s">
        <v>151</v>
      </c>
      <c r="Q623" s="112">
        <v>863</v>
      </c>
      <c r="R623" s="111" t="s">
        <v>152</v>
      </c>
      <c r="S623" s="112">
        <v>584</v>
      </c>
      <c r="T623" s="111" t="s">
        <v>153</v>
      </c>
      <c r="U623" s="112">
        <v>427</v>
      </c>
      <c r="V623" s="111" t="s">
        <v>6549</v>
      </c>
      <c r="W623" s="112">
        <v>279</v>
      </c>
      <c r="X623" s="111" t="s">
        <v>6550</v>
      </c>
      <c r="Y623" s="112">
        <v>131</v>
      </c>
      <c r="Z623" s="111" t="s">
        <v>8447</v>
      </c>
      <c r="AA623" s="112">
        <v>87</v>
      </c>
      <c r="AB623" s="111" t="s">
        <v>6553</v>
      </c>
      <c r="AC623" s="112">
        <v>29</v>
      </c>
    </row>
    <row r="624" spans="1:29" ht="29.25" customHeight="1" thickBot="1">
      <c r="A624" s="114" t="s">
        <v>10189</v>
      </c>
      <c r="D624" s="9" t="s">
        <v>3685</v>
      </c>
      <c r="E624" s="9" t="s">
        <v>10191</v>
      </c>
      <c r="F624" s="8" t="str">
        <f t="shared" si="25"/>
        <v>gift-codes.html?game=全民修煉：重製版</v>
      </c>
      <c r="G624" s="9" t="s">
        <v>10190</v>
      </c>
      <c r="H624" s="9" t="str">
        <f t="shared" si="24"/>
        <v>https://www.ssbuy.tw/game-detail.html?game=全民修煉：重製版</v>
      </c>
      <c r="I624" s="10" t="s">
        <v>10192</v>
      </c>
      <c r="J624" s="16" t="s">
        <v>5418</v>
      </c>
      <c r="K624" s="39" t="s">
        <v>5446</v>
      </c>
      <c r="L624" s="111" t="s">
        <v>46</v>
      </c>
      <c r="M624" s="112">
        <v>2559</v>
      </c>
      <c r="N624" s="111" t="s">
        <v>1677</v>
      </c>
      <c r="O624" s="112">
        <v>1287</v>
      </c>
      <c r="P624" s="111" t="s">
        <v>151</v>
      </c>
      <c r="Q624" s="112">
        <v>863</v>
      </c>
      <c r="R624" s="111" t="s">
        <v>152</v>
      </c>
      <c r="S624" s="112">
        <v>584</v>
      </c>
      <c r="T624" s="111" t="s">
        <v>153</v>
      </c>
      <c r="U624" s="112">
        <v>427</v>
      </c>
      <c r="V624" s="111" t="s">
        <v>6549</v>
      </c>
      <c r="W624" s="112">
        <v>279</v>
      </c>
      <c r="X624" s="111" t="s">
        <v>6550</v>
      </c>
      <c r="Y624" s="112">
        <v>131</v>
      </c>
      <c r="Z624" s="111" t="s">
        <v>8447</v>
      </c>
      <c r="AA624" s="112">
        <v>87</v>
      </c>
      <c r="AB624" s="111" t="s">
        <v>6553</v>
      </c>
      <c r="AC624" s="112">
        <v>29</v>
      </c>
    </row>
    <row r="625" spans="6:8" ht="29.25" customHeight="1">
      <c r="F625" s="8" t="str">
        <f t="shared" si="25"/>
        <v/>
      </c>
      <c r="H625" s="9" t="str">
        <f t="shared" si="24"/>
        <v/>
      </c>
    </row>
    <row r="626" spans="6:8" ht="29.25" customHeight="1">
      <c r="F626" s="8" t="str">
        <f t="shared" si="25"/>
        <v/>
      </c>
      <c r="H626" s="9" t="str">
        <f t="shared" si="24"/>
        <v/>
      </c>
    </row>
    <row r="627" spans="6:8" ht="29.25" customHeight="1">
      <c r="F627" s="8" t="str">
        <f t="shared" si="25"/>
        <v/>
      </c>
      <c r="H627" s="9" t="str">
        <f t="shared" si="24"/>
        <v/>
      </c>
    </row>
    <row r="628" spans="6:8" ht="29.25" customHeight="1">
      <c r="F628" s="8" t="str">
        <f t="shared" si="25"/>
        <v/>
      </c>
      <c r="H628" s="9" t="str">
        <f t="shared" si="24"/>
        <v/>
      </c>
    </row>
    <row r="629" spans="6:8" ht="29.25" customHeight="1">
      <c r="F629" s="8" t="str">
        <f t="shared" si="25"/>
        <v/>
      </c>
      <c r="H629" s="9" t="str">
        <f t="shared" si="24"/>
        <v/>
      </c>
    </row>
    <row r="630" spans="6:8" ht="29.25" customHeight="1">
      <c r="F630" s="8" t="str">
        <f t="shared" si="25"/>
        <v/>
      </c>
      <c r="H630" s="9" t="str">
        <f t="shared" si="24"/>
        <v/>
      </c>
    </row>
    <row r="631" spans="6:8" ht="29.25" customHeight="1">
      <c r="F631" s="8" t="str">
        <f t="shared" si="25"/>
        <v/>
      </c>
      <c r="H631" s="9" t="str">
        <f t="shared" si="24"/>
        <v/>
      </c>
    </row>
    <row r="632" spans="6:8" ht="29.25" customHeight="1">
      <c r="F632" s="8" t="str">
        <f t="shared" si="25"/>
        <v/>
      </c>
      <c r="H632" s="9" t="str">
        <f t="shared" si="24"/>
        <v/>
      </c>
    </row>
    <row r="633" spans="6:8" ht="29.25" customHeight="1">
      <c r="F633" s="8" t="str">
        <f t="shared" si="25"/>
        <v/>
      </c>
      <c r="H633" s="9" t="str">
        <f t="shared" si="24"/>
        <v/>
      </c>
    </row>
    <row r="634" spans="6:8" ht="29.25" customHeight="1">
      <c r="F634" s="8" t="str">
        <f t="shared" si="25"/>
        <v/>
      </c>
      <c r="H634" s="9" t="str">
        <f t="shared" si="24"/>
        <v/>
      </c>
    </row>
    <row r="635" spans="6:8" ht="29.25" customHeight="1">
      <c r="F635" s="8" t="str">
        <f t="shared" si="25"/>
        <v/>
      </c>
      <c r="H635" s="9" t="str">
        <f t="shared" si="24"/>
        <v/>
      </c>
    </row>
    <row r="636" spans="6:8" ht="29.25" customHeight="1">
      <c r="F636" s="8" t="str">
        <f t="shared" si="25"/>
        <v/>
      </c>
      <c r="H636" s="9" t="str">
        <f t="shared" si="24"/>
        <v/>
      </c>
    </row>
    <row r="637" spans="6:8" ht="29.25" customHeight="1">
      <c r="F637" s="8" t="str">
        <f t="shared" si="25"/>
        <v/>
      </c>
      <c r="H637" s="9" t="str">
        <f t="shared" si="24"/>
        <v/>
      </c>
    </row>
    <row r="638" spans="6:8" ht="29.25" customHeight="1">
      <c r="F638" s="8" t="str">
        <f t="shared" si="25"/>
        <v/>
      </c>
      <c r="H638" s="9" t="str">
        <f t="shared" si="24"/>
        <v/>
      </c>
    </row>
    <row r="639" spans="6:8" ht="29.25" customHeight="1">
      <c r="F639" s="8" t="str">
        <f t="shared" si="25"/>
        <v/>
      </c>
      <c r="H639" s="9" t="str">
        <f t="shared" si="24"/>
        <v/>
      </c>
    </row>
    <row r="640" spans="6:8" ht="29.25" customHeight="1">
      <c r="F640" s="8" t="str">
        <f t="shared" si="25"/>
        <v/>
      </c>
      <c r="H640" s="9" t="str">
        <f t="shared" si="24"/>
        <v/>
      </c>
    </row>
    <row r="641" spans="6:8" ht="29.25" customHeight="1">
      <c r="F641" s="8" t="str">
        <f t="shared" si="25"/>
        <v/>
      </c>
      <c r="H641" s="9" t="str">
        <f t="shared" si="24"/>
        <v/>
      </c>
    </row>
    <row r="642" spans="6:8" ht="29.25" customHeight="1">
      <c r="F642" s="8" t="str">
        <f t="shared" si="25"/>
        <v/>
      </c>
      <c r="H642" s="9" t="str">
        <f t="shared" si="24"/>
        <v/>
      </c>
    </row>
    <row r="643" spans="6:8" ht="29.25" customHeight="1">
      <c r="F643" s="8" t="str">
        <f t="shared" si="25"/>
        <v/>
      </c>
      <c r="H643" s="9" t="str">
        <f t="shared" si="24"/>
        <v/>
      </c>
    </row>
    <row r="644" spans="6:8" ht="29.25" customHeight="1">
      <c r="F644" s="8" t="str">
        <f t="shared" si="25"/>
        <v/>
      </c>
      <c r="H644" s="9" t="str">
        <f t="shared" si="24"/>
        <v/>
      </c>
    </row>
    <row r="645" spans="6:8" ht="29.25" customHeight="1">
      <c r="F645" s="8" t="str">
        <f t="shared" si="25"/>
        <v/>
      </c>
      <c r="H645" s="9" t="str">
        <f t="shared" si="24"/>
        <v/>
      </c>
    </row>
    <row r="646" spans="6:8" ht="29.25" customHeight="1">
      <c r="F646" s="8" t="str">
        <f t="shared" si="25"/>
        <v/>
      </c>
      <c r="H646" s="9" t="str">
        <f t="shared" si="24"/>
        <v/>
      </c>
    </row>
    <row r="647" spans="6:8" ht="29.25" customHeight="1">
      <c r="F647" s="8" t="str">
        <f t="shared" si="25"/>
        <v/>
      </c>
      <c r="H647" s="9" t="str">
        <f t="shared" si="24"/>
        <v/>
      </c>
    </row>
    <row r="648" spans="6:8" ht="29.25" customHeight="1">
      <c r="F648" s="8" t="str">
        <f t="shared" si="25"/>
        <v/>
      </c>
      <c r="H648" s="9" t="str">
        <f t="shared" si="24"/>
        <v/>
      </c>
    </row>
    <row r="649" spans="6:8" ht="29.25" customHeight="1">
      <c r="F649" s="8" t="str">
        <f t="shared" si="25"/>
        <v/>
      </c>
      <c r="H649" s="9" t="str">
        <f t="shared" si="24"/>
        <v/>
      </c>
    </row>
    <row r="650" spans="6:8" ht="29.25" customHeight="1">
      <c r="F650" s="8" t="str">
        <f t="shared" si="25"/>
        <v/>
      </c>
      <c r="H650" s="9" t="str">
        <f t="shared" si="24"/>
        <v/>
      </c>
    </row>
    <row r="651" spans="6:8" ht="29.25" customHeight="1">
      <c r="F651" s="8" t="str">
        <f t="shared" si="25"/>
        <v/>
      </c>
      <c r="H651" s="9" t="str">
        <f t="shared" si="24"/>
        <v/>
      </c>
    </row>
    <row r="652" spans="6:8" ht="29.25" customHeight="1">
      <c r="F652" s="8" t="str">
        <f t="shared" si="25"/>
        <v/>
      </c>
      <c r="H652" s="9" t="str">
        <f t="shared" si="24"/>
        <v/>
      </c>
    </row>
    <row r="653" spans="6:8" ht="29.25" customHeight="1">
      <c r="F653" s="8" t="str">
        <f t="shared" si="25"/>
        <v/>
      </c>
      <c r="H653" s="9" t="str">
        <f t="shared" si="24"/>
        <v/>
      </c>
    </row>
    <row r="654" spans="6:8" ht="29.25" customHeight="1">
      <c r="F654" s="8" t="str">
        <f t="shared" si="25"/>
        <v/>
      </c>
      <c r="H654" s="9" t="str">
        <f t="shared" si="24"/>
        <v/>
      </c>
    </row>
    <row r="655" spans="6:8" ht="29.25" customHeight="1">
      <c r="F655" s="8" t="str">
        <f t="shared" si="25"/>
        <v/>
      </c>
      <c r="H655" s="9" t="str">
        <f t="shared" si="24"/>
        <v/>
      </c>
    </row>
    <row r="656" spans="6:8" ht="29.25" customHeight="1">
      <c r="F656" s="8" t="str">
        <f t="shared" si="25"/>
        <v/>
      </c>
      <c r="H656" s="9" t="str">
        <f t="shared" si="24"/>
        <v/>
      </c>
    </row>
    <row r="657" spans="6:8" ht="29.25" customHeight="1">
      <c r="F657" s="8" t="str">
        <f t="shared" si="25"/>
        <v/>
      </c>
      <c r="H657" s="9" t="str">
        <f t="shared" si="24"/>
        <v/>
      </c>
    </row>
    <row r="658" spans="6:8" ht="29.25" customHeight="1">
      <c r="F658" s="8" t="str">
        <f t="shared" si="25"/>
        <v/>
      </c>
      <c r="H658" s="9" t="str">
        <f t="shared" si="24"/>
        <v/>
      </c>
    </row>
    <row r="659" spans="6:8" ht="29.25" customHeight="1">
      <c r="F659" s="8" t="str">
        <f t="shared" si="25"/>
        <v/>
      </c>
      <c r="H659" s="9" t="str">
        <f t="shared" si="24"/>
        <v/>
      </c>
    </row>
    <row r="660" spans="6:8" ht="29.25" customHeight="1">
      <c r="F660" s="8" t="str">
        <f t="shared" si="25"/>
        <v/>
      </c>
      <c r="H660" s="9" t="str">
        <f t="shared" si="24"/>
        <v/>
      </c>
    </row>
    <row r="661" spans="6:8" ht="29.25" customHeight="1">
      <c r="F661" s="8" t="str">
        <f t="shared" si="25"/>
        <v/>
      </c>
      <c r="H661" s="9" t="str">
        <f t="shared" si="24"/>
        <v/>
      </c>
    </row>
    <row r="662" spans="6:8" ht="29.25" customHeight="1">
      <c r="F662" s="8" t="str">
        <f t="shared" si="25"/>
        <v/>
      </c>
      <c r="H662" s="9" t="str">
        <f t="shared" si="24"/>
        <v/>
      </c>
    </row>
    <row r="663" spans="6:8" ht="29.25" customHeight="1">
      <c r="F663" s="8" t="str">
        <f t="shared" si="25"/>
        <v/>
      </c>
      <c r="H663" s="9" t="str">
        <f t="shared" si="24"/>
        <v/>
      </c>
    </row>
    <row r="664" spans="6:8" ht="29.25" customHeight="1">
      <c r="F664" s="8" t="str">
        <f t="shared" si="25"/>
        <v/>
      </c>
      <c r="H664" s="9" t="str">
        <f t="shared" si="24"/>
        <v/>
      </c>
    </row>
    <row r="665" spans="6:8" ht="29.25" customHeight="1">
      <c r="F665" s="8" t="str">
        <f t="shared" si="25"/>
        <v/>
      </c>
      <c r="H665" s="9" t="str">
        <f t="shared" si="24"/>
        <v/>
      </c>
    </row>
    <row r="666" spans="6:8" ht="29.25" customHeight="1">
      <c r="F666" s="8" t="str">
        <f t="shared" si="25"/>
        <v/>
      </c>
      <c r="H666" s="9" t="str">
        <f t="shared" si="24"/>
        <v/>
      </c>
    </row>
    <row r="667" spans="6:8" ht="29.25" customHeight="1">
      <c r="F667" s="8" t="str">
        <f t="shared" si="25"/>
        <v/>
      </c>
      <c r="H667" s="9" t="str">
        <f t="shared" si="24"/>
        <v/>
      </c>
    </row>
    <row r="668" spans="6:8" ht="29.25" customHeight="1">
      <c r="F668" s="8" t="str">
        <f t="shared" si="25"/>
        <v/>
      </c>
      <c r="H668" s="9" t="str">
        <f t="shared" si="24"/>
        <v/>
      </c>
    </row>
    <row r="669" spans="6:8" ht="29.25" customHeight="1">
      <c r="F669" s="8" t="str">
        <f t="shared" si="25"/>
        <v/>
      </c>
      <c r="H669" s="9" t="str">
        <f t="shared" si="24"/>
        <v/>
      </c>
    </row>
    <row r="670" spans="6:8" ht="29.25" customHeight="1">
      <c r="F670" s="8" t="str">
        <f t="shared" si="25"/>
        <v/>
      </c>
      <c r="H670" s="9" t="str">
        <f t="shared" si="24"/>
        <v/>
      </c>
    </row>
    <row r="671" spans="6:8" ht="29.25" customHeight="1">
      <c r="F671" s="8" t="str">
        <f t="shared" si="25"/>
        <v/>
      </c>
      <c r="H671" s="9" t="str">
        <f t="shared" si="24"/>
        <v/>
      </c>
    </row>
    <row r="672" spans="6:8" ht="29.25" customHeight="1">
      <c r="F672" s="8" t="str">
        <f t="shared" si="25"/>
        <v/>
      </c>
      <c r="H672" s="9" t="str">
        <f t="shared" si="24"/>
        <v/>
      </c>
    </row>
    <row r="673" spans="6:8" ht="29.25" customHeight="1">
      <c r="F673" s="8" t="str">
        <f t="shared" si="25"/>
        <v/>
      </c>
      <c r="H673" s="9" t="str">
        <f t="shared" si="24"/>
        <v/>
      </c>
    </row>
    <row r="674" spans="6:8" ht="29.25" customHeight="1">
      <c r="F674" s="8" t="str">
        <f t="shared" si="25"/>
        <v/>
      </c>
      <c r="H674" s="9" t="str">
        <f t="shared" si="24"/>
        <v/>
      </c>
    </row>
    <row r="675" spans="6:8" ht="29.25" customHeight="1">
      <c r="F675" s="8" t="str">
        <f t="shared" si="25"/>
        <v/>
      </c>
      <c r="H675" s="9" t="str">
        <f t="shared" si="24"/>
        <v/>
      </c>
    </row>
    <row r="676" spans="6:8" ht="29.25" customHeight="1">
      <c r="F676" s="8" t="str">
        <f t="shared" si="25"/>
        <v/>
      </c>
      <c r="H676" s="9" t="str">
        <f t="shared" si="24"/>
        <v/>
      </c>
    </row>
    <row r="677" spans="6:8" ht="29.25" customHeight="1">
      <c r="F677" s="8" t="str">
        <f t="shared" si="25"/>
        <v/>
      </c>
      <c r="H677" s="9" t="str">
        <f t="shared" si="24"/>
        <v/>
      </c>
    </row>
    <row r="678" spans="6:8" ht="29.25" customHeight="1">
      <c r="F678" s="8" t="str">
        <f t="shared" si="25"/>
        <v/>
      </c>
      <c r="H678" s="9" t="str">
        <f t="shared" si="24"/>
        <v/>
      </c>
    </row>
    <row r="679" spans="6:8" ht="29.25" customHeight="1">
      <c r="F679" s="8" t="str">
        <f t="shared" si="25"/>
        <v/>
      </c>
      <c r="H679" s="9" t="str">
        <f t="shared" si="24"/>
        <v/>
      </c>
    </row>
    <row r="680" spans="6:8" ht="29.25" customHeight="1">
      <c r="F680" s="8" t="str">
        <f t="shared" si="25"/>
        <v/>
      </c>
      <c r="H680" s="9" t="str">
        <f t="shared" si="24"/>
        <v/>
      </c>
    </row>
    <row r="681" spans="6:8" ht="29.25" customHeight="1">
      <c r="F681" s="8" t="str">
        <f t="shared" si="25"/>
        <v/>
      </c>
      <c r="H681" s="9" t="str">
        <f t="shared" si="24"/>
        <v/>
      </c>
    </row>
    <row r="682" spans="6:8" ht="29.25" customHeight="1">
      <c r="F682" s="8" t="str">
        <f t="shared" si="25"/>
        <v/>
      </c>
      <c r="H682" s="9" t="str">
        <f t="shared" ref="H682:H717" si="26">IF(A682="", "", "https://www.ssbuy.tw/game-detail.html?game="&amp;A682)</f>
        <v/>
      </c>
    </row>
    <row r="683" spans="6:8" ht="29.25" customHeight="1">
      <c r="F683" s="8" t="str">
        <f t="shared" si="25"/>
        <v/>
      </c>
      <c r="H683" s="9" t="str">
        <f t="shared" si="26"/>
        <v/>
      </c>
    </row>
    <row r="684" spans="6:8" ht="29.25" customHeight="1">
      <c r="F684" s="8" t="str">
        <f t="shared" si="25"/>
        <v/>
      </c>
      <c r="H684" s="9" t="str">
        <f t="shared" si="26"/>
        <v/>
      </c>
    </row>
    <row r="685" spans="6:8" ht="29.25" customHeight="1">
      <c r="F685" s="8" t="str">
        <f t="shared" ref="F685:F748" si="27">IF(A685="", "", "gift-codes.html?game=" &amp; A685)</f>
        <v/>
      </c>
      <c r="H685" s="9" t="str">
        <f t="shared" si="26"/>
        <v/>
      </c>
    </row>
    <row r="686" spans="6:8" ht="29.25" customHeight="1">
      <c r="F686" s="8" t="str">
        <f t="shared" si="27"/>
        <v/>
      </c>
      <c r="H686" s="9" t="str">
        <f t="shared" si="26"/>
        <v/>
      </c>
    </row>
    <row r="687" spans="6:8" ht="29.25" customHeight="1">
      <c r="F687" s="8" t="str">
        <f t="shared" si="27"/>
        <v/>
      </c>
      <c r="H687" s="9" t="str">
        <f t="shared" si="26"/>
        <v/>
      </c>
    </row>
    <row r="688" spans="6:8" ht="29.25" customHeight="1">
      <c r="F688" s="8" t="str">
        <f t="shared" si="27"/>
        <v/>
      </c>
      <c r="H688" s="9" t="str">
        <f t="shared" si="26"/>
        <v/>
      </c>
    </row>
    <row r="689" spans="6:8" ht="29.25" customHeight="1">
      <c r="F689" s="8" t="str">
        <f t="shared" si="27"/>
        <v/>
      </c>
      <c r="H689" s="9" t="str">
        <f t="shared" si="26"/>
        <v/>
      </c>
    </row>
    <row r="690" spans="6:8" ht="29.25" customHeight="1">
      <c r="F690" s="8" t="str">
        <f t="shared" si="27"/>
        <v/>
      </c>
      <c r="H690" s="9" t="str">
        <f t="shared" si="26"/>
        <v/>
      </c>
    </row>
    <row r="691" spans="6:8" ht="29.25" customHeight="1">
      <c r="F691" s="8" t="str">
        <f t="shared" si="27"/>
        <v/>
      </c>
      <c r="H691" s="9" t="str">
        <f t="shared" si="26"/>
        <v/>
      </c>
    </row>
    <row r="692" spans="6:8" ht="29.25" customHeight="1">
      <c r="F692" s="8" t="str">
        <f t="shared" si="27"/>
        <v/>
      </c>
      <c r="H692" s="9" t="str">
        <f t="shared" si="26"/>
        <v/>
      </c>
    </row>
    <row r="693" spans="6:8" ht="29.25" customHeight="1">
      <c r="F693" s="8" t="str">
        <f t="shared" si="27"/>
        <v/>
      </c>
      <c r="H693" s="9" t="str">
        <f t="shared" si="26"/>
        <v/>
      </c>
    </row>
    <row r="694" spans="6:8" ht="29.25" customHeight="1">
      <c r="F694" s="8" t="str">
        <f t="shared" si="27"/>
        <v/>
      </c>
      <c r="H694" s="9" t="str">
        <f t="shared" si="26"/>
        <v/>
      </c>
    </row>
    <row r="695" spans="6:8" ht="29.25" customHeight="1">
      <c r="F695" s="8" t="str">
        <f t="shared" si="27"/>
        <v/>
      </c>
      <c r="H695" s="9" t="str">
        <f t="shared" si="26"/>
        <v/>
      </c>
    </row>
    <row r="696" spans="6:8" ht="29.25" customHeight="1">
      <c r="F696" s="8" t="str">
        <f t="shared" si="27"/>
        <v/>
      </c>
      <c r="H696" s="9" t="str">
        <f t="shared" si="26"/>
        <v/>
      </c>
    </row>
    <row r="697" spans="6:8" ht="29.25" customHeight="1">
      <c r="F697" s="8" t="str">
        <f t="shared" si="27"/>
        <v/>
      </c>
      <c r="H697" s="9" t="str">
        <f t="shared" si="26"/>
        <v/>
      </c>
    </row>
    <row r="698" spans="6:8" ht="29.25" customHeight="1">
      <c r="F698" s="8" t="str">
        <f t="shared" si="27"/>
        <v/>
      </c>
      <c r="H698" s="9" t="str">
        <f t="shared" si="26"/>
        <v/>
      </c>
    </row>
    <row r="699" spans="6:8" ht="29.25" customHeight="1">
      <c r="F699" s="8" t="str">
        <f t="shared" si="27"/>
        <v/>
      </c>
      <c r="H699" s="9" t="str">
        <f t="shared" si="26"/>
        <v/>
      </c>
    </row>
    <row r="700" spans="6:8" ht="29.25" customHeight="1">
      <c r="F700" s="8" t="str">
        <f t="shared" si="27"/>
        <v/>
      </c>
      <c r="H700" s="9" t="str">
        <f t="shared" si="26"/>
        <v/>
      </c>
    </row>
    <row r="701" spans="6:8" ht="29.25" customHeight="1">
      <c r="F701" s="8" t="str">
        <f t="shared" si="27"/>
        <v/>
      </c>
      <c r="H701" s="9" t="str">
        <f t="shared" si="26"/>
        <v/>
      </c>
    </row>
    <row r="702" spans="6:8" ht="29.25" customHeight="1">
      <c r="F702" s="8" t="str">
        <f t="shared" si="27"/>
        <v/>
      </c>
      <c r="H702" s="9" t="str">
        <f t="shared" si="26"/>
        <v/>
      </c>
    </row>
    <row r="703" spans="6:8" ht="29.25" customHeight="1">
      <c r="F703" s="8" t="str">
        <f t="shared" si="27"/>
        <v/>
      </c>
      <c r="H703" s="9" t="str">
        <f t="shared" si="26"/>
        <v/>
      </c>
    </row>
    <row r="704" spans="6:8" ht="29.25" customHeight="1">
      <c r="F704" s="8" t="str">
        <f t="shared" si="27"/>
        <v/>
      </c>
      <c r="H704" s="9" t="str">
        <f t="shared" si="26"/>
        <v/>
      </c>
    </row>
    <row r="705" spans="6:8" ht="29.25" customHeight="1">
      <c r="F705" s="8" t="str">
        <f t="shared" si="27"/>
        <v/>
      </c>
      <c r="H705" s="9" t="str">
        <f t="shared" si="26"/>
        <v/>
      </c>
    </row>
    <row r="706" spans="6:8" ht="29.25" customHeight="1">
      <c r="F706" s="8" t="str">
        <f t="shared" si="27"/>
        <v/>
      </c>
      <c r="H706" s="9" t="str">
        <f t="shared" si="26"/>
        <v/>
      </c>
    </row>
    <row r="707" spans="6:8" ht="29.25" customHeight="1">
      <c r="F707" s="8" t="str">
        <f t="shared" si="27"/>
        <v/>
      </c>
      <c r="H707" s="9" t="str">
        <f t="shared" si="26"/>
        <v/>
      </c>
    </row>
    <row r="708" spans="6:8" ht="29.25" customHeight="1">
      <c r="F708" s="8" t="str">
        <f t="shared" si="27"/>
        <v/>
      </c>
      <c r="H708" s="9" t="str">
        <f t="shared" si="26"/>
        <v/>
      </c>
    </row>
    <row r="709" spans="6:8" ht="29.25" customHeight="1">
      <c r="F709" s="8" t="str">
        <f t="shared" si="27"/>
        <v/>
      </c>
      <c r="H709" s="9" t="str">
        <f t="shared" si="26"/>
        <v/>
      </c>
    </row>
    <row r="710" spans="6:8" ht="29.25" customHeight="1">
      <c r="F710" s="8" t="str">
        <f t="shared" si="27"/>
        <v/>
      </c>
      <c r="H710" s="9" t="str">
        <f t="shared" si="26"/>
        <v/>
      </c>
    </row>
    <row r="711" spans="6:8" ht="29.25" customHeight="1">
      <c r="F711" s="8" t="str">
        <f t="shared" si="27"/>
        <v/>
      </c>
      <c r="H711" s="9" t="str">
        <f t="shared" si="26"/>
        <v/>
      </c>
    </row>
    <row r="712" spans="6:8" ht="29.25" customHeight="1">
      <c r="F712" s="8" t="str">
        <f t="shared" si="27"/>
        <v/>
      </c>
      <c r="H712" s="9" t="str">
        <f t="shared" si="26"/>
        <v/>
      </c>
    </row>
    <row r="713" spans="6:8" ht="29.25" customHeight="1">
      <c r="F713" s="8" t="str">
        <f t="shared" si="27"/>
        <v/>
      </c>
      <c r="H713" s="9" t="str">
        <f t="shared" si="26"/>
        <v/>
      </c>
    </row>
    <row r="714" spans="6:8" ht="29.25" customHeight="1">
      <c r="F714" s="8" t="str">
        <f t="shared" si="27"/>
        <v/>
      </c>
      <c r="H714" s="9" t="str">
        <f t="shared" si="26"/>
        <v/>
      </c>
    </row>
    <row r="715" spans="6:8" ht="29.25" customHeight="1">
      <c r="F715" s="8" t="str">
        <f t="shared" si="27"/>
        <v/>
      </c>
      <c r="H715" s="9" t="str">
        <f t="shared" si="26"/>
        <v/>
      </c>
    </row>
    <row r="716" spans="6:8" ht="29.25" customHeight="1">
      <c r="F716" s="8" t="str">
        <f t="shared" si="27"/>
        <v/>
      </c>
      <c r="H716" s="9" t="str">
        <f t="shared" si="26"/>
        <v/>
      </c>
    </row>
    <row r="717" spans="6:8" ht="29.25" customHeight="1">
      <c r="F717" s="8" t="str">
        <f t="shared" si="27"/>
        <v/>
      </c>
      <c r="H717" s="9" t="str">
        <f t="shared" si="26"/>
        <v/>
      </c>
    </row>
    <row r="718" spans="6:8" ht="29.25" customHeight="1">
      <c r="F718" s="8" t="str">
        <f t="shared" si="27"/>
        <v/>
      </c>
    </row>
    <row r="719" spans="6:8" ht="29.25" customHeight="1">
      <c r="F719" s="8" t="str">
        <f t="shared" si="27"/>
        <v/>
      </c>
    </row>
    <row r="720" spans="6:8" ht="29.25" customHeight="1">
      <c r="F720" s="8" t="str">
        <f t="shared" si="27"/>
        <v/>
      </c>
    </row>
    <row r="721" spans="6:6" ht="29.25" customHeight="1">
      <c r="F721" s="8" t="str">
        <f t="shared" si="27"/>
        <v/>
      </c>
    </row>
    <row r="722" spans="6:6" ht="29.25" customHeight="1">
      <c r="F722" s="8" t="str">
        <f t="shared" si="27"/>
        <v/>
      </c>
    </row>
    <row r="723" spans="6:6" ht="29.25" customHeight="1">
      <c r="F723" s="8" t="str">
        <f t="shared" si="27"/>
        <v/>
      </c>
    </row>
    <row r="724" spans="6:6" ht="29.25" customHeight="1">
      <c r="F724" s="8" t="str">
        <f t="shared" si="27"/>
        <v/>
      </c>
    </row>
    <row r="725" spans="6:6" ht="29.25" customHeight="1">
      <c r="F725" s="8" t="str">
        <f t="shared" si="27"/>
        <v/>
      </c>
    </row>
    <row r="726" spans="6:6" ht="29.25" customHeight="1">
      <c r="F726" s="8" t="str">
        <f t="shared" si="27"/>
        <v/>
      </c>
    </row>
    <row r="727" spans="6:6" ht="29.25" customHeight="1">
      <c r="F727" s="8" t="str">
        <f t="shared" si="27"/>
        <v/>
      </c>
    </row>
    <row r="728" spans="6:6" ht="29.25" customHeight="1">
      <c r="F728" s="8" t="str">
        <f t="shared" si="27"/>
        <v/>
      </c>
    </row>
    <row r="729" spans="6:6" ht="29.25" customHeight="1">
      <c r="F729" s="8" t="str">
        <f t="shared" si="27"/>
        <v/>
      </c>
    </row>
    <row r="730" spans="6:6" ht="29.25" customHeight="1">
      <c r="F730" s="8" t="str">
        <f t="shared" si="27"/>
        <v/>
      </c>
    </row>
    <row r="731" spans="6:6" ht="29.25" customHeight="1">
      <c r="F731" s="8" t="str">
        <f t="shared" si="27"/>
        <v/>
      </c>
    </row>
    <row r="732" spans="6:6" ht="29.25" customHeight="1">
      <c r="F732" s="8" t="str">
        <f t="shared" si="27"/>
        <v/>
      </c>
    </row>
    <row r="733" spans="6:6" ht="29.25" customHeight="1">
      <c r="F733" s="8" t="str">
        <f t="shared" si="27"/>
        <v/>
      </c>
    </row>
    <row r="734" spans="6:6" ht="29.25" customHeight="1">
      <c r="F734" s="8" t="str">
        <f t="shared" si="27"/>
        <v/>
      </c>
    </row>
    <row r="735" spans="6:6" ht="29.25" customHeight="1">
      <c r="F735" s="8" t="str">
        <f t="shared" si="27"/>
        <v/>
      </c>
    </row>
    <row r="736" spans="6:6" ht="29.25" customHeight="1">
      <c r="F736" s="8" t="str">
        <f t="shared" si="27"/>
        <v/>
      </c>
    </row>
    <row r="737" spans="6:6" ht="29.25" customHeight="1">
      <c r="F737" s="8" t="str">
        <f t="shared" si="27"/>
        <v/>
      </c>
    </row>
    <row r="738" spans="6:6" ht="29.25" customHeight="1">
      <c r="F738" s="8" t="str">
        <f t="shared" si="27"/>
        <v/>
      </c>
    </row>
    <row r="739" spans="6:6" ht="29.25" customHeight="1">
      <c r="F739" s="8" t="str">
        <f t="shared" si="27"/>
        <v/>
      </c>
    </row>
    <row r="740" spans="6:6" ht="29.25" customHeight="1">
      <c r="F740" s="8" t="str">
        <f t="shared" si="27"/>
        <v/>
      </c>
    </row>
    <row r="741" spans="6:6" ht="29.25" customHeight="1">
      <c r="F741" s="8" t="str">
        <f t="shared" si="27"/>
        <v/>
      </c>
    </row>
    <row r="742" spans="6:6" ht="29.25" customHeight="1">
      <c r="F742" s="8" t="str">
        <f t="shared" si="27"/>
        <v/>
      </c>
    </row>
    <row r="743" spans="6:6" ht="29.25" customHeight="1">
      <c r="F743" s="8" t="str">
        <f t="shared" si="27"/>
        <v/>
      </c>
    </row>
    <row r="744" spans="6:6" ht="29.25" customHeight="1">
      <c r="F744" s="8" t="str">
        <f t="shared" si="27"/>
        <v/>
      </c>
    </row>
    <row r="745" spans="6:6" ht="29.25" customHeight="1">
      <c r="F745" s="8" t="str">
        <f t="shared" si="27"/>
        <v/>
      </c>
    </row>
    <row r="746" spans="6:6" ht="29.25" customHeight="1">
      <c r="F746" s="8" t="str">
        <f t="shared" si="27"/>
        <v/>
      </c>
    </row>
    <row r="747" spans="6:6" ht="29.25" customHeight="1">
      <c r="F747" s="8" t="str">
        <f t="shared" si="27"/>
        <v/>
      </c>
    </row>
    <row r="748" spans="6:6" ht="29.25" customHeight="1">
      <c r="F748" s="8" t="str">
        <f t="shared" si="27"/>
        <v/>
      </c>
    </row>
    <row r="749" spans="6:6" ht="29.25" customHeight="1">
      <c r="F749" s="8" t="str">
        <f t="shared" ref="F749" si="28">IF(A749="", "", "gift-codes.html?game=" &amp; A749)</f>
        <v/>
      </c>
    </row>
    <row r="750" spans="6:6" ht="29.25" customHeight="1"/>
    <row r="751" spans="6:6" ht="29.25" customHeight="1"/>
    <row r="752" spans="6:6"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tabSelected="1" zoomScale="85" zoomScaleNormal="85" workbookViewId="0">
      <pane xSplit="1" ySplit="1" topLeftCell="B608" activePane="bottomRight" state="frozen"/>
      <selection pane="topRight" activeCell="B1" sqref="B1"/>
      <selection pane="bottomLeft" activeCell="A2" sqref="A2"/>
      <selection pane="bottomRight" activeCell="C621" sqref="C62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tr">
        <f t="shared" ref="F413:F415" si="18">"《"&amp;A413&amp;"》最新禮包碼與兌換碼小編持續全網追蹤中！目前官方暫無發放最新虛寶序號，本頁面將每日即時更新。歡迎先收藏本頁，或加入 SSbuy 官方 LINE 領取專屬代儲值優惠與第一手抽獎好康！"</f>
        <v>《靈龍谷 - 孵化與養成》最新禮包碼與兌換碼小編持續全網追蹤中！目前官方暫無發放最新虛寶序號，本頁面將每日即時更新。歡迎先收藏本頁，或加入 SSbuy 官方 LINE 領取專屬代儲值優惠與第一手抽獎好康！</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tr">
        <f t="shared" si="18"/>
        <v>《對魔忍特遣隊》最新禮包碼與兌換碼小編持續全網追蹤中！目前官方暫無發放最新虛寶序號，本頁面將每日即時更新。歡迎先收藏本頁，或加入 SSbuy 官方 LINE 領取專屬代儲值優惠與第一手抽獎好康！</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tr">
        <f t="shared" si="18"/>
        <v>《刀劍朝鮮》最新禮包碼與兌換碼小編持續全網追蹤中！目前官方暫無發放最新虛寶序號，本頁面將每日即時更新。歡迎先收藏本頁，或加入 SSbuy 官方 LINE 領取專屬代儲值優惠與第一手抽獎好康！</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9">IF(A418="","", "giftcodesbanner/" &amp; A418 &amp; "-禮包碼.jpg")</f>
        <v>giftcodesbanner/決勝之心-禮包碼.jpg</v>
      </c>
      <c r="D418" s="51" t="str">
        <f t="shared" ref="D418:D480" si="20">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9"/>
        <v>giftcodesbanner/我推的浴姬-禮包碼.jpg</v>
      </c>
      <c r="D419" s="51" t="str">
        <f t="shared" si="20"/>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9"/>
        <v>giftcodesbanner/約定之日-禮包碼.jpg</v>
      </c>
      <c r="D420" s="51" t="str">
        <f t="shared" si="20"/>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9"/>
        <v>giftcodesbanner/同盟塔防戰-禮包碼.jpg</v>
      </c>
      <c r="D421" s="51" t="str">
        <f t="shared" si="20"/>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9"/>
        <v>giftcodesbanner/不正經魔王軍-禮包碼.jpg</v>
      </c>
      <c r="D422" s="51" t="str">
        <f t="shared" si="20"/>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9"/>
        <v>giftcodesbanner/星之救援者-禮包碼.jpg</v>
      </c>
      <c r="D423" s="51" t="str">
        <f t="shared" si="20"/>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9"/>
        <v>giftcodesbanner/希望M ON CROSS-禮包碼.jpg</v>
      </c>
      <c r="D424" s="51" t="str">
        <f t="shared" si="20"/>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9"/>
        <v>giftcodesbanner/RO仙境傳說：愛如初見Classic-禮包碼.jpg</v>
      </c>
      <c r="D425" s="51" t="str">
        <f t="shared" si="20"/>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9"/>
        <v>giftcodesbanner/鐳明閃擊-禮包碼.jpg</v>
      </c>
      <c r="D426" s="51" t="str">
        <f t="shared" si="20"/>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9"/>
        <v>giftcodesbanner/最後的迴響-禮包碼.jpg</v>
      </c>
      <c r="D427" s="51" t="str">
        <f t="shared" si="20"/>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tr">
        <f>"《"&amp;A427&amp;"》最新禮包碼與兌換碼小編持續全網追蹤中！目前官方暫無發放最新虛寶序號，本頁面將每日即時更新。歡迎先收藏本頁，或加入 SSbuy 官方 LINE 領取專屬代儲值優惠與第一手抽獎好康！"</f>
        <v>《最後的迴響》最新禮包碼與兌換碼小編持續全網追蹤中！目前官方暫無發放最新虛寶序號，本頁面將每日即時更新。歡迎先收藏本頁，或加入 SSbuy 官方 LINE 領取專屬代儲值優惠與第一手抽獎好康！</v>
      </c>
      <c r="K427" s="100" t="s">
        <v>6343</v>
      </c>
      <c r="L427" s="51" t="s">
        <v>5496</v>
      </c>
    </row>
    <row r="428" spans="1:70" ht="24.75" customHeight="1">
      <c r="A428" s="67" t="str">
        <f>IF(games!A428="", "", games!A428)</f>
        <v>極樂仙途</v>
      </c>
      <c r="C428" s="51" t="str">
        <f t="shared" si="19"/>
        <v>giftcodesbanner/極樂仙途-禮包碼.jpg</v>
      </c>
      <c r="D428" s="51" t="str">
        <f t="shared" si="20"/>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9"/>
        <v>giftcodesbanner/七大罪：origin-禮包碼.jpg</v>
      </c>
      <c r="D429" s="51" t="str">
        <f t="shared" si="20"/>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9"/>
        <v>giftcodesbanner/DISSIDIA FF-禮包碼.jpg</v>
      </c>
      <c r="D430" s="51" t="str">
        <f t="shared" si="20"/>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tr">
        <f t="shared" ref="F430:F431" si="21">"《"&amp;A430&amp;"》最新禮包碼與兌換碼小編持續全網追蹤中！目前官方暫無發放最新虛寶序號，本頁面將每日即時更新。歡迎先收藏本頁，或加入 SSbuy 官方 LINE 領取專屬代儲值優惠與第一手抽獎好康！"</f>
        <v>《DISSIDIA FF》最新禮包碼與兌換碼小編持續全網追蹤中！目前官方暫無發放最新虛寶序號，本頁面將每日即時更新。歡迎先收藏本頁，或加入 SSbuy 官方 LINE 領取專屬代儲值優惠與第一手抽獎好康！</v>
      </c>
      <c r="K430" s="100" t="s">
        <v>6343</v>
      </c>
      <c r="L430" s="51" t="s">
        <v>5496</v>
      </c>
    </row>
    <row r="431" spans="1:70" ht="24.75" customHeight="1">
      <c r="A431" s="67" t="str">
        <f>IF(games!A431="", "", games!A431)</f>
        <v>全境封鎖：曙光</v>
      </c>
      <c r="C431" s="51" t="str">
        <f t="shared" si="19"/>
        <v>giftcodesbanner/全境封鎖：曙光-禮包碼.jpg</v>
      </c>
      <c r="D431" s="51" t="str">
        <f t="shared" si="20"/>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tr">
        <f t="shared" si="21"/>
        <v>《全境封鎖：曙光》最新禮包碼與兌換碼小編持續全網追蹤中！目前官方暫無發放最新虛寶序號，本頁面將每日即時更新。歡迎先收藏本頁，或加入 SSbuy 官方 LINE 領取專屬代儲值優惠與第一手抽獎好康！</v>
      </c>
      <c r="K431" s="100" t="s">
        <v>6343</v>
      </c>
      <c r="L431" s="51" t="s">
        <v>5496</v>
      </c>
    </row>
    <row r="432" spans="1:70" ht="24.75" customHeight="1">
      <c r="A432" s="67" t="str">
        <f>IF(games!A432="", "", games!A432)</f>
        <v>天龍八部2：血戰江湖</v>
      </c>
      <c r="C432" s="51" t="str">
        <f t="shared" si="19"/>
        <v>giftcodesbanner/天龍八部2：血戰江湖-禮包碼.jpg</v>
      </c>
      <c r="D432" s="51" t="str">
        <f t="shared" si="20"/>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9"/>
        <v>giftcodesbanner/永恆迴圈：戰術放置RPG-禮包碼.jpg</v>
      </c>
      <c r="D433" s="51" t="str">
        <f t="shared" si="20"/>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tr">
        <f t="shared" ref="F433:F434" si="22">"《"&amp;A433&amp;"》最新禮包碼與兌換碼小編持續全網追蹤中！目前官方暫無發放最新虛寶序號，本頁面將每日即時更新。歡迎先收藏本頁，或加入 SSbuy 官方 LINE 領取專屬代儲值優惠與第一手抽獎好康！"</f>
        <v>《永恆迴圈：戰術放置RPG》最新禮包碼與兌換碼小編持續全網追蹤中！目前官方暫無發放最新虛寶序號，本頁面將每日即時更新。歡迎先收藏本頁，或加入 SSbuy 官方 LINE 領取專屬代儲值優惠與第一手抽獎好康！</v>
      </c>
      <c r="K433" s="100" t="s">
        <v>6343</v>
      </c>
      <c r="L433" s="51" t="s">
        <v>5496</v>
      </c>
    </row>
    <row r="434" spans="1:49" ht="24.75" customHeight="1">
      <c r="A434" s="67" t="str">
        <f>IF(games!A434="", "", games!A434)</f>
        <v>王於興師</v>
      </c>
      <c r="C434" s="51" t="str">
        <f t="shared" si="19"/>
        <v>giftcodesbanner/王於興師-禮包碼.jpg</v>
      </c>
      <c r="D434" s="51" t="str">
        <f t="shared" si="20"/>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tr">
        <f t="shared" si="22"/>
        <v>《王於興師》最新禮包碼與兌換碼小編持續全網追蹤中！目前官方暫無發放最新虛寶序號，本頁面將每日即時更新。歡迎先收藏本頁，或加入 SSbuy 官方 LINE 領取專屬代儲值優惠與第一手抽獎好康！</v>
      </c>
      <c r="K434" s="100" t="s">
        <v>6343</v>
      </c>
      <c r="L434" s="51" t="s">
        <v>5496</v>
      </c>
    </row>
    <row r="435" spans="1:49" ht="24.75" customHeight="1">
      <c r="A435" s="67" t="str">
        <f>IF(games!A435="", "", games!A435)</f>
        <v>幻海神域</v>
      </c>
      <c r="C435" s="51" t="str">
        <f t="shared" si="19"/>
        <v>giftcodesbanner/幻海神域-禮包碼.jpg</v>
      </c>
      <c r="D435" s="51" t="str">
        <f t="shared" si="20"/>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9"/>
        <v>giftcodesbanner/小小騎士團：開箱放置-禮包碼.jpg</v>
      </c>
      <c r="D436" s="51" t="str">
        <f t="shared" si="20"/>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9"/>
        <v>giftcodesbanner/好萊塢合成：星夢逆襲-禮包碼.jpg</v>
      </c>
      <c r="D437" s="51" t="str">
        <f t="shared" si="20"/>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tr">
        <f t="shared" ref="F437:F439" si="23">"《"&amp;A437&amp;"》最新禮包碼與兌換碼小編持續全網追蹤中！目前官方暫無發放最新虛寶序號，本頁面將每日即時更新。歡迎先收藏本頁，或加入 SSbuy 官方 LINE 領取專屬代儲值優惠與第一手抽獎好康！"</f>
        <v>《好萊塢合成：星夢逆襲》最新禮包碼與兌換碼小編持續全網追蹤中！目前官方暫無發放最新虛寶序號，本頁面將每日即時更新。歡迎先收藏本頁，或加入 SSbuy 官方 LINE 領取專屬代儲值優惠與第一手抽獎好康！</v>
      </c>
      <c r="K437" s="100" t="s">
        <v>5495</v>
      </c>
      <c r="L437" s="51" t="s">
        <v>5496</v>
      </c>
    </row>
    <row r="438" spans="1:49" ht="24.75" customHeight="1">
      <c r="A438" s="67" t="str">
        <f>IF(games!A438="", "", games!A438)</f>
        <v>少女喚靈</v>
      </c>
      <c r="C438" s="51" t="str">
        <f t="shared" si="19"/>
        <v>giftcodesbanner/少女喚靈-禮包碼.jpg</v>
      </c>
      <c r="D438" s="51" t="str">
        <f t="shared" si="20"/>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tr">
        <f t="shared" si="23"/>
        <v>《少女喚靈》最新禮包碼與兌換碼小編持續全網追蹤中！目前官方暫無發放最新虛寶序號，本頁面將每日即時更新。歡迎先收藏本頁，或加入 SSbuy 官方 LINE 領取專屬代儲值優惠與第一手抽獎好康！</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9"/>
        <v>giftcodesbanner/逆命女武神-禮包碼.jpg</v>
      </c>
      <c r="D439" s="51" t="str">
        <f t="shared" si="20"/>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tr">
        <f t="shared" si="23"/>
        <v>《逆命女武神》最新禮包碼與兌換碼小編持續全網追蹤中！目前官方暫無發放最新虛寶序號，本頁面將每日即時更新。歡迎先收藏本頁，或加入 SSbuy 官方 LINE 領取專屬代儲值優惠與第一手抽獎好康！</v>
      </c>
      <c r="K439" s="100" t="s">
        <v>5495</v>
      </c>
      <c r="L439" s="51" t="s">
        <v>5496</v>
      </c>
    </row>
    <row r="440" spans="1:49" ht="24.75" customHeight="1">
      <c r="A440" s="67" t="str">
        <f>IF(games!A440="", "", games!A440)</f>
        <v>幻想少女公會</v>
      </c>
      <c r="C440" s="51" t="str">
        <f t="shared" si="19"/>
        <v>giftcodesbanner/幻想少女公會-禮包碼.jpg</v>
      </c>
      <c r="D440" s="51" t="str">
        <f t="shared" si="20"/>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9"/>
        <v>giftcodesbanner/童話出走中-禮包碼.jpg</v>
      </c>
      <c r="D441" s="51" t="str">
        <f t="shared" si="20"/>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tr">
        <f>"《"&amp;A441&amp;"》最新禮包碼與兌換碼小編持續全網追蹤中！目前官方暫無發放最新虛寶序號，本頁面將每日即時更新。歡迎先收藏本頁，或加入 SSbuy 官方 LINE 領取專屬代儲值優惠與第一手抽獎好康！"</f>
        <v>《童話出走中》最新禮包碼與兌換碼小編持續全網追蹤中！目前官方暫無發放最新虛寶序號，本頁面將每日即時更新。歡迎先收藏本頁，或加入 SSbuy 官方 LINE 領取專屬代儲值優惠與第一手抽獎好康！</v>
      </c>
      <c r="K441" s="100" t="s">
        <v>5495</v>
      </c>
      <c r="L441" s="51" t="s">
        <v>5496</v>
      </c>
    </row>
    <row r="442" spans="1:49" ht="24.75" customHeight="1">
      <c r="A442" s="67" t="str">
        <f>IF(games!A442="", "", games!A442)</f>
        <v>織夢花園：森系輕經營</v>
      </c>
      <c r="C442" s="51" t="str">
        <f t="shared" si="19"/>
        <v>giftcodesbanner/織夢花園：森系輕經營-禮包碼.jpg</v>
      </c>
      <c r="D442" s="51" t="str">
        <f t="shared" si="20"/>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9"/>
        <v>giftcodesbanner/魔御：Star Dive-禮包碼.jpg</v>
      </c>
      <c r="D443" s="51" t="str">
        <f t="shared" si="20"/>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9"/>
        <v>giftcodesbanner/馬賽克騎士團：放置冒險 RPG-禮包碼.jpg</v>
      </c>
      <c r="D444" s="51" t="str">
        <f t="shared" si="20"/>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9"/>
        <v>giftcodesbanner/侏羅紀：重啟-禮包碼.jpg</v>
      </c>
      <c r="D445" s="51" t="str">
        <f t="shared" si="20"/>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9"/>
        <v>giftcodesbanner/寄生噪-禮包碼.jpg</v>
      </c>
      <c r="D446" s="51" t="str">
        <f t="shared" si="20"/>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tr">
        <f>"《"&amp;A446&amp;"》最新禮包碼與兌換碼小編持續全網追蹤中！目前官方暫無發放最新虛寶序號，本頁面將每日即時更新。歡迎先收藏本頁，或加入 SSbuy 官方 LINE 領取專屬代儲值優惠與第一手抽獎好康！"</f>
        <v>《寄生噪》最新禮包碼與兌換碼小編持續全網追蹤中！目前官方暫無發放最新虛寶序號，本頁面將每日即時更新。歡迎先收藏本頁，或加入 SSbuy 官方 LINE 領取專屬代儲值優惠與第一手抽獎好康！</v>
      </c>
      <c r="K446" s="100" t="s">
        <v>5495</v>
      </c>
      <c r="L446" s="51" t="s">
        <v>5496</v>
      </c>
    </row>
    <row r="447" spans="1:49" ht="24.75" customHeight="1">
      <c r="A447" s="67" t="str">
        <f>IF(games!A447="", "", games!A447)</f>
        <v>心動防線</v>
      </c>
      <c r="C447" s="51" t="str">
        <f t="shared" si="19"/>
        <v>giftcodesbanner/心動防線-禮包碼.jpg</v>
      </c>
      <c r="D447" s="51" t="str">
        <f t="shared" si="20"/>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9"/>
        <v>giftcodesbanner/新熱血江湖：世界-禮包碼.jpg</v>
      </c>
      <c r="D448" s="51" t="str">
        <f t="shared" si="20"/>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9"/>
        <v>giftcodesbanner/點點英雄：骰子傳說-禮包碼.jpg</v>
      </c>
      <c r="D449" s="51" t="str">
        <f t="shared" si="20"/>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9"/>
        <v>giftcodesbanner/夢幻旅團-禮包碼.jpg</v>
      </c>
      <c r="D450" s="51" t="str">
        <f t="shared" si="20"/>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9"/>
        <v>giftcodesbanner/無盡輪迴：鬼域摸金-禮包碼.jpg</v>
      </c>
      <c r="D451" s="51" t="str">
        <f t="shared" si="20"/>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9"/>
        <v>giftcodesbanner/詛咒裝備與地下城-禮包碼.jpg</v>
      </c>
      <c r="D452" s="51" t="str">
        <f t="shared" si="20"/>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tr">
        <f>"《"&amp;A452&amp;"》最新禮包碼與兌換碼小編持續全網追蹤中！目前官方暫無發放最新虛寶序號，本頁面將每日即時更新。歡迎先收藏本頁，或加入 SSbuy 官方 LINE 領取專屬代儲值優惠與第一手抽獎好康！"</f>
        <v>《詛咒裝備與地下城》最新禮包碼與兌換碼小編持續全網追蹤中！目前官方暫無發放最新虛寶序號，本頁面將每日即時更新。歡迎先收藏本頁，或加入 SSbuy 官方 LINE 領取專屬代儲值優惠與第一手抽獎好康！</v>
      </c>
      <c r="K452" s="100" t="s">
        <v>5495</v>
      </c>
      <c r="L452" s="51" t="s">
        <v>5496</v>
      </c>
    </row>
    <row r="453" spans="1:69" ht="24.75" customHeight="1">
      <c r="A453" s="67" t="str">
        <f>IF(games!A453="", "", games!A453)</f>
        <v>寶石勇者團：破曉</v>
      </c>
      <c r="C453" s="51" t="str">
        <f t="shared" si="19"/>
        <v>giftcodesbanner/寶石勇者團：破曉-禮包碼.jpg</v>
      </c>
      <c r="D453" s="51" t="str">
        <f t="shared" si="20"/>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9"/>
        <v>giftcodesbanner/武俠自走棋-禮包碼.jpg</v>
      </c>
      <c r="D454" s="51" t="str">
        <f t="shared" si="20"/>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9"/>
        <v>giftcodesbanner/忍者大戰：世界-禮包碼.jpg</v>
      </c>
      <c r="D455" s="51" t="str">
        <f t="shared" si="20"/>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tr">
        <f t="shared" ref="F455:F457" si="24">"《"&amp;A455&amp;"》最新禮包碼與兌換碼小編持續全網追蹤中！目前官方暫無發放最新虛寶序號，本頁面將每日即時更新。歡迎先收藏本頁，或加入 SSbuy 官方 LINE 領取專屬代儲值優惠與第一手抽獎好康！"</f>
        <v>《忍者大戰：世界》最新禮包碼與兌換碼小編持續全網追蹤中！目前官方暫無發放最新虛寶序號，本頁面將每日即時更新。歡迎先收藏本頁，或加入 SSbuy 官方 LINE 領取專屬代儲值優惠與第一手抽獎好康！</v>
      </c>
      <c r="K455" s="100" t="s">
        <v>5495</v>
      </c>
      <c r="L455" s="51" t="s">
        <v>5496</v>
      </c>
    </row>
    <row r="456" spans="1:69" ht="24.75" customHeight="1">
      <c r="A456" s="67" t="str">
        <f>IF(games!A456="", "", games!A456)</f>
        <v>瘋狂競技場</v>
      </c>
      <c r="C456" s="51" t="str">
        <f t="shared" si="19"/>
        <v>giftcodesbanner/瘋狂競技場-禮包碼.jpg</v>
      </c>
      <c r="D456" s="51" t="str">
        <f t="shared" si="20"/>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tr">
        <f t="shared" si="24"/>
        <v>《瘋狂競技場》最新禮包碼與兌換碼小編持續全網追蹤中！目前官方暫無發放最新虛寶序號，本頁面將每日即時更新。歡迎先收藏本頁，或加入 SSbuy 官方 LINE 領取專屬代儲值優惠與第一手抽獎好康！</v>
      </c>
      <c r="K456" s="100" t="s">
        <v>5495</v>
      </c>
      <c r="L456" s="51" t="s">
        <v>5496</v>
      </c>
    </row>
    <row r="457" spans="1:69" ht="24.75" customHeight="1">
      <c r="A457" s="67" t="str">
        <f>IF(games!A457="", "", games!A457)</f>
        <v>全勤守護者：放置型RPG</v>
      </c>
      <c r="C457" s="51" t="str">
        <f t="shared" si="19"/>
        <v>giftcodesbanner/全勤守護者：放置型RPG-禮包碼.jpg</v>
      </c>
      <c r="D457" s="51" t="str">
        <f t="shared" si="20"/>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tr">
        <f t="shared" si="24"/>
        <v>《全勤守護者：放置型RPG》最新禮包碼與兌換碼小編持續全網追蹤中！目前官方暫無發放最新虛寶序號，本頁面將每日即時更新。歡迎先收藏本頁，或加入 SSbuy 官方 LINE 領取專屬代儲值優惠與第一手抽獎好康！</v>
      </c>
      <c r="K457" s="100" t="s">
        <v>5495</v>
      </c>
      <c r="L457" s="51" t="s">
        <v>5496</v>
      </c>
    </row>
    <row r="458" spans="1:69" ht="24.75" customHeight="1">
      <c r="A458" s="67" t="str">
        <f>IF(games!A458="", "", games!A458)</f>
        <v>龍魂契約</v>
      </c>
      <c r="C458" s="51" t="str">
        <f t="shared" si="19"/>
        <v>giftcodesbanner/龍魂契約-禮包碼.jpg</v>
      </c>
      <c r="D458" s="51" t="str">
        <f t="shared" si="20"/>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9"/>
        <v>giftcodesbanner/挖你老墓-禮包碼.jpg</v>
      </c>
      <c r="D459" s="51" t="str">
        <f t="shared" si="20"/>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9"/>
        <v>giftcodesbanner/風與龍之歌-禮包碼.jpg</v>
      </c>
      <c r="D460" s="51" t="str">
        <f t="shared" si="20"/>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9"/>
        <v>giftcodesbanner/異環-禮包碼.jpg</v>
      </c>
      <c r="D461" s="51" t="str">
        <f t="shared" si="20"/>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9"/>
        <v>giftcodesbanner/薑餅人大亂鬥-禮包碼.jpg</v>
      </c>
      <c r="D462" s="51" t="str">
        <f t="shared" si="20"/>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9"/>
        <v>giftcodesbanner/貓娘樂園 世界連結-禮包碼.jpg</v>
      </c>
      <c r="D463" s="51" t="str">
        <f t="shared" si="20"/>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tr">
        <f t="shared" ref="F463:F465" si="25">"《"&amp;A463&amp;"》最新禮包碼與兌換碼小編持續全網追蹤中！目前官方暫無發放最新虛寶序號，本頁面將每日即時更新。歡迎先收藏本頁，或加入 SSbuy 官方 LINE 領取專屬代儲值優惠與第一手抽獎好康！"</f>
        <v>《貓娘樂園 世界連結》最新禮包碼與兌換碼小編持續全網追蹤中！目前官方暫無發放最新虛寶序號，本頁面將每日即時更新。歡迎先收藏本頁，或加入 SSbuy 官方 LINE 領取專屬代儲值優惠與第一手抽獎好康！</v>
      </c>
      <c r="K463" s="100" t="s">
        <v>5495</v>
      </c>
      <c r="L463" s="51" t="s">
        <v>5496</v>
      </c>
    </row>
    <row r="464" spans="1:69" ht="24.75" customHeight="1">
      <c r="A464" s="67" t="str">
        <f>IF(games!A464="", "", games!A464)</f>
        <v>環形戰爭</v>
      </c>
      <c r="C464" s="51" t="str">
        <f t="shared" si="19"/>
        <v>giftcodesbanner/環形戰爭-禮包碼.jpg</v>
      </c>
      <c r="D464" s="51" t="str">
        <f t="shared" si="20"/>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tr">
        <f t="shared" si="25"/>
        <v>《環形戰爭》最新禮包碼與兌換碼小編持續全網追蹤中！目前官方暫無發放最新虛寶序號，本頁面將每日即時更新。歡迎先收藏本頁，或加入 SSbuy 官方 LINE 領取專屬代儲值優惠與第一手抽獎好康！</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9"/>
        <v>giftcodesbanner/Slot &amp; Brave：Roguelike RPG-禮包碼.jpg</v>
      </c>
      <c r="D465" s="51" t="str">
        <f t="shared" si="20"/>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tr">
        <f t="shared" si="25"/>
        <v>《Slot &amp; Brave：Roguelike RPG》最新禮包碼與兌換碼小編持續全網追蹤中！目前官方暫無發放最新虛寶序號，本頁面將每日即時更新。歡迎先收藏本頁，或加入 SSbuy 官方 LINE 領取專屬代儲值優惠與第一手抽獎好康！</v>
      </c>
      <c r="K465" s="100" t="s">
        <v>5495</v>
      </c>
      <c r="L465" s="51" t="s">
        <v>5496</v>
      </c>
    </row>
    <row r="466" spans="1:41" ht="24.75" customHeight="1">
      <c r="A466" s="67" t="str">
        <f>IF(games!A466="", "", games!A466)</f>
        <v>小小三國志：暴走群雄傳</v>
      </c>
      <c r="C466" s="51" t="str">
        <f t="shared" si="19"/>
        <v>giftcodesbanner/小小三國志：暴走群雄傳-禮包碼.jpg</v>
      </c>
      <c r="D466" s="51" t="str">
        <f t="shared" si="20"/>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9"/>
        <v>giftcodesbanner/勇者鬥惡龍 破限亂鬥-禮包碼.jpg</v>
      </c>
      <c r="D467" s="51" t="str">
        <f t="shared" si="20"/>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tr">
        <f>"《"&amp;A467&amp;"》最新禮包碼與兌換碼小編持續全網追蹤中！目前官方暫無發放最新虛寶序號，本頁面將每日即時更新。歡迎先收藏本頁，或加入 SSbuy 官方 LINE 領取專屬代儲值優惠與第一手抽獎好康！"</f>
        <v>《勇者鬥惡龍 破限亂鬥》最新禮包碼與兌換碼小編持續全網追蹤中！目前官方暫無發放最新虛寶序號，本頁面將每日即時更新。歡迎先收藏本頁，或加入 SSbuy 官方 LINE 領取專屬代儲值優惠與第一手抽獎好康！</v>
      </c>
      <c r="K467" s="100" t="s">
        <v>5495</v>
      </c>
      <c r="L467" s="51" t="s">
        <v>5496</v>
      </c>
    </row>
    <row r="468" spans="1:41" ht="24.75" customHeight="1">
      <c r="A468" s="67" t="str">
        <f>IF(games!A468="", "", games!A468)</f>
        <v>鬼雄三國：主公有夠鬼</v>
      </c>
      <c r="C468" s="51" t="str">
        <f t="shared" si="19"/>
        <v>giftcodesbanner/鬼雄三國：主公有夠鬼-禮包碼.jpg</v>
      </c>
      <c r="D468" s="51" t="str">
        <f t="shared" si="20"/>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9"/>
        <v>giftcodesbanner/NBA王朝崛起-禮包碼.jpg</v>
      </c>
      <c r="D469" s="51" t="str">
        <f t="shared" si="20"/>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9"/>
        <v>giftcodesbanner/仙逆M-禮包碼.jpg</v>
      </c>
      <c r="D470" s="51" t="str">
        <f t="shared" si="20"/>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9"/>
        <v>giftcodesbanner/貓咪與湯：魔法與美食-禮包碼.jpg</v>
      </c>
      <c r="D471" s="51" t="str">
        <f t="shared" si="20"/>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9"/>
        <v>giftcodesbanner/終結獵鋒K：首爾-禮包碼.jpg</v>
      </c>
      <c r="D472" s="51" t="str">
        <f t="shared" si="20"/>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tr">
        <f>"《"&amp;A472&amp;"》最新禮包碼與兌換碼小編持續全網追蹤中！目前官方暫無發放最新虛寶序號，本頁面將每日即時更新。歡迎先收藏本頁，或加入 SSbuy 官方 LINE 領取專屬代儲值優惠與第一手抽獎好康！"</f>
        <v>《終結獵鋒K：首爾》最新禮包碼與兌換碼小編持續全網追蹤中！目前官方暫無發放最新虛寶序號，本頁面將每日即時更新。歡迎先收藏本頁，或加入 SSbuy 官方 LINE 領取專屬代儲值優惠與第一手抽獎好康！</v>
      </c>
      <c r="K472" s="100" t="s">
        <v>5495</v>
      </c>
      <c r="L472" s="51" t="s">
        <v>5496</v>
      </c>
    </row>
    <row r="473" spans="1:41" ht="24.75" customHeight="1">
      <c r="A473" s="67" t="str">
        <f>IF(games!A473="", "", games!A473)</f>
        <v>霸起：暗影重生</v>
      </c>
      <c r="C473" s="51" t="str">
        <f t="shared" si="19"/>
        <v>giftcodesbanner/霸起：暗影重生-禮包碼.jpg</v>
      </c>
      <c r="D473" s="51" t="str">
        <f t="shared" si="20"/>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9"/>
        <v>giftcodesbanner/心契少女：萌熊覺醒-禮包碼.jpg</v>
      </c>
      <c r="D474" s="51" t="str">
        <f t="shared" si="20"/>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tr">
        <f t="shared" ref="F474:F476" si="26">"《"&amp;A474&amp;"》最新禮包碼與兌換碼小編持續全網追蹤中！目前官方暫無發放最新虛寶序號，本頁面將每日即時更新。歡迎先收藏本頁，或加入 SSbuy 官方 LINE 領取專屬代儲值優惠與第一手抽獎好康！"</f>
        <v>《心契少女：萌熊覺醒》最新禮包碼與兌換碼小編持續全網追蹤中！目前官方暫無發放最新虛寶序號，本頁面將每日即時更新。歡迎先收藏本頁，或加入 SSbuy 官方 LINE 領取專屬代儲值優惠與第一手抽獎好康！</v>
      </c>
      <c r="K474" s="100" t="s">
        <v>5495</v>
      </c>
      <c r="L474" s="51" t="s">
        <v>5496</v>
      </c>
    </row>
    <row r="475" spans="1:41" ht="24.75" customHeight="1">
      <c r="A475" s="67" t="str">
        <f>IF(games!A475="", "", games!A475)</f>
        <v>瑞利昂：NPC的生存記</v>
      </c>
      <c r="C475" s="51" t="str">
        <f t="shared" si="19"/>
        <v>giftcodesbanner/瑞利昂：NPC的生存記-禮包碼.jpg</v>
      </c>
      <c r="D475" s="51" t="str">
        <f t="shared" si="20"/>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tr">
        <f t="shared" si="26"/>
        <v>《瑞利昂：NPC的生存記》最新禮包碼與兌換碼小編持續全網追蹤中！目前官方暫無發放最新虛寶序號，本頁面將每日即時更新。歡迎先收藏本頁，或加入 SSbuy 官方 LINE 領取專屬代儲值優惠與第一手抽獎好康！</v>
      </c>
      <c r="K475" s="100" t="s">
        <v>5495</v>
      </c>
      <c r="L475" s="51" t="s">
        <v>5496</v>
      </c>
    </row>
    <row r="476" spans="1:41" ht="24.75" customHeight="1">
      <c r="A476" s="67" t="str">
        <f>IF(games!A476="", "", games!A476)</f>
        <v>拉蒂亞的骰子之旅</v>
      </c>
      <c r="C476" s="51" t="str">
        <f t="shared" si="19"/>
        <v>giftcodesbanner/拉蒂亞的骰子之旅-禮包碼.jpg</v>
      </c>
      <c r="D476" s="51" t="str">
        <f t="shared" si="20"/>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tr">
        <f t="shared" si="26"/>
        <v>《拉蒂亞的骰子之旅》最新禮包碼與兌換碼小編持續全網追蹤中！目前官方暫無發放最新虛寶序號，本頁面將每日即時更新。歡迎先收藏本頁，或加入 SSbuy 官方 LINE 領取專屬代儲值優惠與第一手抽獎好康！</v>
      </c>
      <c r="K476" s="100" t="s">
        <v>5495</v>
      </c>
      <c r="L476" s="51" t="s">
        <v>5496</v>
      </c>
    </row>
    <row r="477" spans="1:41" ht="24.75" customHeight="1">
      <c r="A477" s="67" t="str">
        <f>IF(games!A477="", "", games!A477)</f>
        <v>ISEKAI GATE</v>
      </c>
      <c r="C477" s="51" t="str">
        <f t="shared" si="19"/>
        <v>giftcodesbanner/ISEKAI GATE-禮包碼.jpg</v>
      </c>
      <c r="D477" s="51" t="str">
        <f t="shared" si="20"/>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9"/>
        <v>giftcodesbanner/燃燒紀元：摸魚拯救世界-禮包碼.jpg</v>
      </c>
      <c r="D478" s="51" t="str">
        <f t="shared" si="20"/>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9"/>
        <v>giftcodesbanner/暗影紀元：魔幻冒險之旅-禮包碼.jpg</v>
      </c>
      <c r="D479" s="51" t="str">
        <f t="shared" si="20"/>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9"/>
        <v>giftcodesbanner/青丘世界：緣起-禮包碼.jpg</v>
      </c>
      <c r="D480" s="51" t="str">
        <f t="shared" si="20"/>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7">IF(A481="","", "giftcodesbanner/" &amp; A481 &amp; "-禮包碼.jpg")</f>
        <v>giftcodesbanner/集團雄兵：疾風作戰-禮包碼.jpg</v>
      </c>
      <c r="D481" s="51" t="str">
        <f t="shared" ref="D481:D544" si="28">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7"/>
        <v>giftcodesbanner/SNK：全明星覺醒-禮包碼.jpg</v>
      </c>
      <c r="D482" s="51" t="str">
        <f t="shared" si="28"/>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7"/>
        <v>giftcodesbanner/超時空街球對決-禮包碼.jpg</v>
      </c>
      <c r="D483" s="51" t="str">
        <f t="shared" si="28"/>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7"/>
        <v>giftcodesbanner/數碼寶貝UP-禮包碼.jpg</v>
      </c>
      <c r="D484" s="51" t="str">
        <f t="shared" si="28"/>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tr">
        <f>"《"&amp;A484&amp;"》最新禮包碼與兌換碼小編持續全網追蹤中！目前官方暫無發放最新虛寶序號，本頁面將每日即時更新。歡迎先收藏本頁，或加入 SSbuy 官方 LINE 領取專屬代儲值優惠與第一手抽獎好康！"</f>
        <v>《數碼寶貝UP》最新禮包碼與兌換碼小編持續全網追蹤中！目前官方暫無發放最新虛寶序號，本頁面將每日即時更新。歡迎先收藏本頁，或加入 SSbuy 官方 LINE 領取專屬代儲值優惠與第一手抽獎好康！</v>
      </c>
      <c r="K484" s="100" t="s">
        <v>5495</v>
      </c>
      <c r="L484" s="51" t="s">
        <v>5496</v>
      </c>
    </row>
    <row r="485" spans="1:33" ht="24.75" customHeight="1">
      <c r="A485" s="67" t="str">
        <f>IF(games!A485="", "", games!A485)</f>
        <v>權力遊戲：國王大道</v>
      </c>
      <c r="C485" s="51" t="str">
        <f t="shared" si="27"/>
        <v>giftcodesbanner/權力遊戲：國王大道-禮包碼.jpg</v>
      </c>
      <c r="D485" s="51" t="str">
        <f t="shared" si="28"/>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7"/>
        <v>giftcodesbanner/這三國有點獸-禮包碼.jpg</v>
      </c>
      <c r="D486" s="51" t="str">
        <f t="shared" si="28"/>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7"/>
        <v>giftcodesbanner/Monster GO-禮包碼.jpg</v>
      </c>
      <c r="D487" s="51" t="str">
        <f t="shared" si="28"/>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tr">
        <f>"《"&amp;A487&amp;"》最新禮包碼與兌換碼小編持續全網追蹤中！目前官方暫無發放最新虛寶序號，本頁面將每日即時更新。歡迎先收藏本頁，或加入 SSbuy 官方 LINE 領取專屬代儲值優惠與第一手抽獎好康！"</f>
        <v>《Monster GO》最新禮包碼與兌換碼小編持續全網追蹤中！目前官方暫無發放最新虛寶序號，本頁面將每日即時更新。歡迎先收藏本頁，或加入 SSbuy 官方 LINE 領取專屬代儲值優惠與第一手抽獎好康！</v>
      </c>
      <c r="K487" s="100" t="s">
        <v>5495</v>
      </c>
      <c r="L487" s="51" t="s">
        <v>5496</v>
      </c>
    </row>
    <row r="488" spans="1:33" ht="24.75" customHeight="1">
      <c r="A488" s="67" t="str">
        <f>IF(games!A488="", "", games!A488)</f>
        <v>幻獸之旅：新紀元</v>
      </c>
      <c r="C488" s="51" t="str">
        <f t="shared" si="27"/>
        <v>giftcodesbanner/幻獸之旅：新紀元-禮包碼.jpg</v>
      </c>
      <c r="D488" s="51" t="str">
        <f t="shared" si="28"/>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tr">
        <f>"《"&amp;A488&amp;"》最新禮包碼與兌換碼小編持續全網追蹤中！目前官方暫無發放最新虛寶序號，本頁面將每日即時更新。歡迎先收藏本頁，或加入 SSbuy 官方 LINE 領取專屬代儲值優惠與第一手抽獎好康！"</f>
        <v>《幻獸之旅：新紀元》最新禮包碼與兌換碼小編持續全網追蹤中！目前官方暫無發放最新虛寶序號，本頁面將每日即時更新。歡迎先收藏本頁，或加入 SSbuy 官方 LINE 領取專屬代儲值優惠與第一手抽獎好康！</v>
      </c>
      <c r="K488" s="100" t="s">
        <v>5495</v>
      </c>
      <c r="L488" s="51" t="s">
        <v>5496</v>
      </c>
      <c r="M488" s="6" t="s">
        <v>8765</v>
      </c>
    </row>
    <row r="489" spans="1:33" ht="24.75" customHeight="1">
      <c r="A489" s="67" t="str">
        <f>IF(games!A489="", "", games!A489)</f>
        <v>聖三國蜀漢霸業</v>
      </c>
      <c r="C489" s="51" t="str">
        <f t="shared" si="27"/>
        <v>giftcodesbanner/聖三國蜀漢霸業-禮包碼.jpg</v>
      </c>
      <c r="D489" s="51" t="str">
        <f t="shared" si="28"/>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7"/>
        <v>giftcodesbanner/亂世美人傳-禮包碼.jpg</v>
      </c>
      <c r="D490" s="51" t="str">
        <f t="shared" si="28"/>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7"/>
        <v>giftcodesbanner/Pond Pals-禮包碼.jpg</v>
      </c>
      <c r="D491" s="51" t="str">
        <f t="shared" si="28"/>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tr">
        <f t="shared" ref="F491:F492" si="29">"《"&amp;A491&amp;"》最新禮包碼與兌換碼小編持續全網追蹤中！目前官方暫無發放最新虛寶序號，本頁面將每日即時更新。歡迎先收藏本頁，或加入 SSbuy 官方 LINE 領取專屬代儲值優惠與第一手抽獎好康！"</f>
        <v>《Pond Pals》最新禮包碼與兌換碼小編持續全網追蹤中！目前官方暫無發放最新虛寶序號，本頁面將每日即時更新。歡迎先收藏本頁，或加入 SSbuy 官方 LINE 領取專屬代儲值優惠與第一手抽獎好康！</v>
      </c>
      <c r="K491" s="100" t="s">
        <v>5495</v>
      </c>
      <c r="L491" s="51" t="s">
        <v>5496</v>
      </c>
    </row>
    <row r="492" spans="1:33" ht="24.75" customHeight="1">
      <c r="A492" s="67" t="str">
        <f>IF(games!A492="", "", games!A492)</f>
        <v>永恆迴圈：戰術放置RPG</v>
      </c>
      <c r="C492" s="51" t="str">
        <f t="shared" si="27"/>
        <v>giftcodesbanner/永恆迴圈：戰術放置RPG-禮包碼.jpg</v>
      </c>
      <c r="D492" s="51" t="str">
        <f t="shared" si="28"/>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tr">
        <f t="shared" si="29"/>
        <v>《永恆迴圈：戰術放置RPG》最新禮包碼與兌換碼小編持續全網追蹤中！目前官方暫無發放最新虛寶序號，本頁面將每日即時更新。歡迎先收藏本頁，或加入 SSbuy 官方 LINE 領取專屬代儲值優惠與第一手抽獎好康！</v>
      </c>
      <c r="K492" s="100" t="s">
        <v>5495</v>
      </c>
      <c r="L492" s="51" t="s">
        <v>5496</v>
      </c>
    </row>
    <row r="493" spans="1:33" ht="24.75" customHeight="1">
      <c r="A493" s="67" t="str">
        <f>IF(games!A493="", "", games!A493)</f>
        <v>嘎嘎奇兵：蛋力來勝</v>
      </c>
      <c r="C493" s="51" t="str">
        <f t="shared" si="27"/>
        <v>giftcodesbanner/嘎嘎奇兵：蛋力來勝-禮包碼.jpg</v>
      </c>
      <c r="D493" s="51" t="str">
        <f t="shared" si="28"/>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7"/>
        <v>giftcodesbanner/三國異將錄-禮包碼.jpg</v>
      </c>
      <c r="D494" s="51" t="str">
        <f t="shared" si="28"/>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7"/>
        <v>giftcodesbanner/三國志KING-禮包碼.jpg</v>
      </c>
      <c r="D495" s="51" t="str">
        <f t="shared" si="28"/>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tr">
        <f>"《"&amp;A495&amp;"》最新禮包碼與兌換碼小編持續全網追蹤中！目前官方暫無發放最新虛寶序號，本頁面將每日即時更新。歡迎先收藏本頁，或加入 SSbuy 官方 LINE 領取專屬代儲值優惠與第一手抽獎好康！"</f>
        <v>《三國志KING》最新禮包碼與兌換碼小編持續全網追蹤中！目前官方暫無發放最新虛寶序號，本頁面將每日即時更新。歡迎先收藏本頁，或加入 SSbuy 官方 LINE 領取專屬代儲值優惠與第一手抽獎好康！</v>
      </c>
      <c r="K495" s="100" t="s">
        <v>5495</v>
      </c>
      <c r="L495" s="51" t="s">
        <v>5496</v>
      </c>
    </row>
    <row r="496" spans="1:33" ht="24.75" customHeight="1">
      <c r="A496" s="67" t="str">
        <f>IF(games!A496="", "", games!A496)</f>
        <v>骷髏要稱王</v>
      </c>
      <c r="C496" s="51" t="str">
        <f t="shared" si="27"/>
        <v>giftcodesbanner/骷髏要稱王-禮包碼.jpg</v>
      </c>
      <c r="D496" s="51" t="str">
        <f t="shared" si="28"/>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7"/>
        <v>giftcodesbanner/丞相請出山：破局-禮包碼.jpg</v>
      </c>
      <c r="D497" s="51" t="str">
        <f t="shared" si="28"/>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tr">
        <f t="shared" ref="F497:F498" si="30">"《"&amp;A497&amp;"》最新禮包碼與兌換碼小編持續全網追蹤中！目前官方暫無發放最新虛寶序號，本頁面將每日即時更新。歡迎先收藏本頁，或加入 SSbuy 官方 LINE 領取專屬代儲值優惠與第一手抽獎好康！"</f>
        <v>《丞相請出山：破局》最新禮包碼與兌換碼小編持續全網追蹤中！目前官方暫無發放最新虛寶序號，本頁面將每日即時更新。歡迎先收藏本頁，或加入 SSbuy 官方 LINE 領取專屬代儲值優惠與第一手抽獎好康！</v>
      </c>
      <c r="K497" s="100" t="s">
        <v>5495</v>
      </c>
      <c r="L497" s="51" t="s">
        <v>5496</v>
      </c>
      <c r="M497" s="6" t="s">
        <v>8894</v>
      </c>
    </row>
    <row r="498" spans="1:42" ht="24.75" customHeight="1">
      <c r="A498" s="67" t="str">
        <f>IF(games!A498="", "", games!A498)</f>
        <v>MLB® The Show™</v>
      </c>
      <c r="C498" s="51" t="str">
        <f t="shared" si="27"/>
        <v>giftcodesbanner/MLB® The Show™-禮包碼.jpg</v>
      </c>
      <c r="D498" s="51" t="str">
        <f t="shared" si="28"/>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tr">
        <f t="shared" si="30"/>
        <v>《MLB® The Show™》最新禮包碼與兌換碼小編持續全網追蹤中！目前官方暫無發放最新虛寶序號，本頁面將每日即時更新。歡迎先收藏本頁，或加入 SSbuy 官方 LINE 領取專屬代儲值優惠與第一手抽獎好康！</v>
      </c>
      <c r="K498" s="100" t="s">
        <v>5495</v>
      </c>
      <c r="L498" s="51" t="s">
        <v>5496</v>
      </c>
    </row>
    <row r="499" spans="1:42" ht="24.75" customHeight="1">
      <c r="A499" s="67" t="str">
        <f>IF(games!A499="", "", games!A499)</f>
        <v>龍村3</v>
      </c>
      <c r="C499" s="51" t="str">
        <f t="shared" si="27"/>
        <v>giftcodesbanner/龍村3-禮包碼.jpg</v>
      </c>
      <c r="D499" s="51" t="str">
        <f t="shared" si="28"/>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7"/>
        <v>giftcodesbanner/車車屍搭普-禮包碼.jpg</v>
      </c>
      <c r="D500" s="51" t="str">
        <f t="shared" si="28"/>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7"/>
        <v>giftcodesbanner/鋼嵐-禮包碼.jpg</v>
      </c>
      <c r="D501" s="51" t="str">
        <f t="shared" si="28"/>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7"/>
        <v>giftcodesbanner/Illusion Connect：Re-禮包碼.jpg</v>
      </c>
      <c r="D502" s="51" t="str">
        <f t="shared" si="28"/>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7"/>
        <v>giftcodesbanner/最強石器：重返尼斯-禮包碼.jpg</v>
      </c>
      <c r="D503" s="51" t="str">
        <f t="shared" si="28"/>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7"/>
        <v>giftcodesbanner/雙面神姬-禮包碼.jpg</v>
      </c>
      <c r="D504" s="51" t="str">
        <f t="shared" si="28"/>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7"/>
        <v>giftcodesbanner/生存33天-禮包碼.jpg</v>
      </c>
      <c r="D505" s="51" t="str">
        <f t="shared" si="28"/>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7"/>
        <v>giftcodesbanner/初心者傳説：夢境大冒險-禮包碼.jpg</v>
      </c>
      <c r="D506" s="51" t="str">
        <f t="shared" si="28"/>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7"/>
        <v>giftcodesbanner/隊長小翼：我的黃金十一人-禮包碼.jpg</v>
      </c>
      <c r="D507" s="51" t="str">
        <f t="shared" si="28"/>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tr">
        <f>"《"&amp;A507&amp;"》最新禮包碼與兌換碼小編持續全網追蹤中！目前官方暫無發放最新虛寶序號，本頁面將每日即時更新。歡迎先收藏本頁，或加入 SSbuy 官方 LINE 領取專屬代儲值優惠與第一手抽獎好康！"</f>
        <v>《隊長小翼：我的黃金十一人》最新禮包碼與兌換碼小編持續全網追蹤中！目前官方暫無發放最新虛寶序號，本頁面將每日即時更新。歡迎先收藏本頁，或加入 SSbuy 官方 LINE 領取專屬代儲值優惠與第一手抽獎好康！</v>
      </c>
      <c r="K507" s="100" t="s">
        <v>5495</v>
      </c>
      <c r="L507" s="51" t="s">
        <v>5496</v>
      </c>
    </row>
    <row r="508" spans="1:42" ht="24.75" customHeight="1">
      <c r="A508" s="67" t="str">
        <f>IF(games!A508="", "", games!A508)</f>
        <v>肥鵝美食街</v>
      </c>
      <c r="C508" s="51" t="str">
        <f t="shared" si="27"/>
        <v>giftcodesbanner/肥鵝美食街-禮包碼.jpg</v>
      </c>
      <c r="D508" s="51" t="str">
        <f t="shared" si="28"/>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tr">
        <f>"《"&amp;A508&amp;"》最新禮包碼與兌換碼小編持續全網追蹤中！目前官方暫無發放最新虛寶序號，本頁面將每日即時更新。歡迎先收藏本頁，或加入 SSbuy 官方 LINE 領取專屬代儲值優惠與第一手抽獎好康！"</f>
        <v>《肥鵝美食街》最新禮包碼與兌換碼小編持續全網追蹤中！目前官方暫無發放最新虛寶序號，本頁面將每日即時更新。歡迎先收藏本頁，或加入 SSbuy 官方 LINE 領取專屬代儲值優惠與第一手抽獎好康！</v>
      </c>
      <c r="K508" s="100" t="s">
        <v>5495</v>
      </c>
      <c r="L508" s="51" t="s">
        <v>5496</v>
      </c>
    </row>
    <row r="509" spans="1:42" ht="24.75" customHeight="1">
      <c r="A509" s="67" t="str">
        <f>IF(games!A509="", "", games!A509)</f>
        <v>練氣3000層：墮落女帝逼我飛升</v>
      </c>
      <c r="C509" s="51" t="str">
        <f t="shared" si="27"/>
        <v>giftcodesbanner/練氣3000層：墮落女帝逼我飛升-禮包碼.jpg</v>
      </c>
      <c r="D509" s="51" t="str">
        <f t="shared" si="28"/>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7"/>
        <v>giftcodesbanner/DC：Dark Legion-禮包碼.jpg</v>
      </c>
      <c r="D510" s="51" t="str">
        <f t="shared" si="28"/>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7"/>
        <v>giftcodesbanner/戰爭誓言-禮包碼.jpg</v>
      </c>
      <c r="D511" s="51" t="str">
        <f t="shared" si="28"/>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7"/>
        <v>giftcodesbanner/口袋神兵：類Rogue塔防-禮包碼.jpg</v>
      </c>
      <c r="D512" s="51" t="str">
        <f t="shared" si="28"/>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tr">
        <f>"《"&amp;A512&amp;"》最新禮包碼與兌換碼小編持續全網追蹤中！目前官方暫無發放最新虛寶序號，本頁面將每日即時更新。歡迎先收藏本頁，或加入 SSbuy 官方 LINE 領取專屬代儲值優惠與第一手抽獎好康！"</f>
        <v>《口袋神兵：類Rogue塔防》最新禮包碼與兌換碼小編持續全網追蹤中！目前官方暫無發放最新虛寶序號，本頁面將每日即時更新。歡迎先收藏本頁，或加入 SSbuy 官方 LINE 領取專屬代儲值優惠與第一手抽獎好康！</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7"/>
        <v>giftcodesbanner/從前有條街-禮包碼.jpg</v>
      </c>
      <c r="D513" s="51" t="str">
        <f t="shared" si="28"/>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7"/>
        <v>giftcodesbanner/靈魂守護者2-禮包碼.jpg</v>
      </c>
      <c r="D514" s="51" t="str">
        <f t="shared" si="28"/>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tr">
        <f>"《"&amp;A514&amp;"》最新禮包碼與兌換碼小編持續全網追蹤中！目前官方暫無發放最新虛寶序號，本頁面將每日即時更新。歡迎先收藏本頁，或加入 SSbuy 官方 LINE 領取專屬代儲值優惠與第一手抽獎好康！"</f>
        <v>《靈魂守護者2》最新禮包碼與兌換碼小編持續全網追蹤中！目前官方暫無發放最新虛寶序號，本頁面將每日即時更新。歡迎先收藏本頁，或加入 SSbuy 官方 LINE 領取專屬代儲值優惠與第一手抽獎好康！</v>
      </c>
      <c r="K514" s="100" t="s">
        <v>5495</v>
      </c>
      <c r="L514" s="51" t="s">
        <v>5496</v>
      </c>
    </row>
    <row r="515" spans="1:45" ht="24.75" customHeight="1">
      <c r="A515" s="67" t="str">
        <f>IF(games!A515="", "", games!A515)</f>
        <v>JUMP全明星亂鬥</v>
      </c>
      <c r="C515" s="51" t="str">
        <f t="shared" si="27"/>
        <v>giftcodesbanner/JUMP全明星亂鬥-禮包碼.jpg</v>
      </c>
      <c r="D515" s="51" t="str">
        <f t="shared" si="28"/>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7"/>
        <v>giftcodesbanner/命運骰很大-禮包碼.jpg</v>
      </c>
      <c r="D516" s="51" t="str">
        <f t="shared" si="28"/>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tr">
        <f>"《"&amp;A516&amp;"》最新禮包碼與兌換碼小編持續全網追蹤中！目前官方暫無發放最新虛寶序號，本頁面將每日即時更新。歡迎先收藏本頁，或加入 SSbuy 官方 LINE 領取專屬代儲值優惠與第一手抽獎好康！"</f>
        <v>《命運骰很大》最新禮包碼與兌換碼小編持續全網追蹤中！目前官方暫無發放最新虛寶序號，本頁面將每日即時更新。歡迎先收藏本頁，或加入 SSbuy 官方 LINE 領取專屬代儲值優惠與第一手抽獎好康！</v>
      </c>
      <c r="K516" s="100" t="s">
        <v>5495</v>
      </c>
      <c r="L516" s="51" t="s">
        <v>5496</v>
      </c>
    </row>
    <row r="517" spans="1:45" ht="24.75" customHeight="1">
      <c r="A517" s="67" t="str">
        <f>IF(games!A517="", "", games!A517)</f>
        <v>Pokémon Champions</v>
      </c>
      <c r="C517" s="51" t="str">
        <f t="shared" si="27"/>
        <v>giftcodesbanner/Pokémon Champions-禮包碼.jpg</v>
      </c>
      <c r="D517" s="51" t="str">
        <f t="shared" si="28"/>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7"/>
        <v>giftcodesbanner/逆水寒：新世界-禮包碼.jpg</v>
      </c>
      <c r="D518" s="51" t="str">
        <f t="shared" si="28"/>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tr">
        <f>"《"&amp;A518&amp;"》最新禮包碼與兌換碼小編持續全網追蹤中！目前官方暫無發放最新虛寶序號，本頁面將每日即時更新。歡迎先收藏本頁，或加入 SSbuy 官方 LINE 領取專屬代儲值優惠與第一手抽獎好康！"</f>
        <v>《逆水寒：新世界》最新禮包碼與兌換碼小編持續全網追蹤中！目前官方暫無發放最新虛寶序號，本頁面將每日即時更新。歡迎先收藏本頁，或加入 SSbuy 官方 LINE 領取專屬代儲值優惠與第一手抽獎好康！</v>
      </c>
      <c r="K518" s="100" t="s">
        <v>5495</v>
      </c>
      <c r="L518" s="51" t="s">
        <v>5496</v>
      </c>
    </row>
    <row r="519" spans="1:45" ht="24.75" customHeight="1">
      <c r="A519" s="67" t="str">
        <f>IF(games!A519="", "", games!A519)</f>
        <v>狂化啟示錄</v>
      </c>
      <c r="C519" s="51" t="str">
        <f t="shared" si="27"/>
        <v>giftcodesbanner/狂化啟示錄-禮包碼.jpg</v>
      </c>
      <c r="D519" s="51" t="str">
        <f t="shared" si="28"/>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7"/>
        <v>giftcodesbanner/海洋時代-Ocean Age-禮包碼.jpg</v>
      </c>
      <c r="D520" s="51" t="str">
        <f t="shared" si="28"/>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7"/>
        <v>giftcodesbanner/星絆之旅-禮包碼.jpg</v>
      </c>
      <c r="D521" s="51" t="str">
        <f t="shared" si="28"/>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7"/>
        <v>giftcodesbanner/隨機遇見你-禮包碼.jpg</v>
      </c>
      <c r="D522" s="51" t="str">
        <f t="shared" si="28"/>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7"/>
        <v>giftcodesbanner/蠟燭騎士-禮包碼.jpg</v>
      </c>
      <c r="D523" s="51" t="str">
        <f t="shared" si="28"/>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tr">
        <f>"《"&amp;A523&amp;"》最新禮包碼與兌換碼小編持續全網追蹤中！目前官方暫無發放最新虛寶序號，本頁面將每日即時更新。歡迎先收藏本頁，或加入 SSbuy 官方 LINE 領取專屬代儲值優惠與第一手抽獎好康！"</f>
        <v>《蠟燭騎士》最新禮包碼與兌換碼小編持續全網追蹤中！目前官方暫無發放最新虛寶序號，本頁面將每日即時更新。歡迎先收藏本頁，或加入 SSbuy 官方 LINE 領取專屬代儲值優惠與第一手抽獎好康！</v>
      </c>
      <c r="K523" s="100" t="s">
        <v>5495</v>
      </c>
      <c r="L523" s="51" t="s">
        <v>5496</v>
      </c>
    </row>
    <row r="524" spans="1:45" ht="24.75" customHeight="1">
      <c r="A524" s="67" t="str">
        <f>IF(games!A524="", "", games!A524)</f>
        <v>百味食光</v>
      </c>
      <c r="C524" s="51" t="str">
        <f t="shared" si="27"/>
        <v>giftcodesbanner/百味食光-禮包碼.jpg</v>
      </c>
      <c r="D524" s="51" t="str">
        <f t="shared" si="28"/>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7"/>
        <v>giftcodesbanner/醫起救世界：鼠裡逃生-禮包碼.jpg</v>
      </c>
      <c r="D525" s="51" t="str">
        <f t="shared" si="28"/>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tr">
        <f>"《"&amp;A525&amp;"》最新禮包碼與兌換碼小編持續全網追蹤中！目前官方暫無發放最新虛寶序號，本頁面將每日即時更新。歡迎先收藏本頁，或加入 SSbuy 官方 LINE 領取專屬代儲值優惠與第一手抽獎好康！"</f>
        <v>《醫起救世界：鼠裡逃生》最新禮包碼與兌換碼小編持續全網追蹤中！目前官方暫無發放最新虛寶序號，本頁面將每日即時更新。歡迎先收藏本頁，或加入 SSbuy 官方 LINE 領取專屬代儲值優惠與第一手抽獎好康！</v>
      </c>
      <c r="K525" s="100" t="s">
        <v>5495</v>
      </c>
      <c r="L525" s="51" t="s">
        <v>5496</v>
      </c>
    </row>
    <row r="526" spans="1:45" ht="24.75" customHeight="1">
      <c r="A526" s="67" t="str">
        <f>IF(games!A526="", "", games!A526)</f>
        <v>箭神請息怒</v>
      </c>
      <c r="C526" s="51" t="str">
        <f t="shared" si="27"/>
        <v>giftcodesbanner/箭神請息怒-禮包碼.jpg</v>
      </c>
      <c r="D526" s="51" t="str">
        <f t="shared" si="28"/>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7"/>
        <v>giftcodesbanner/守護！森友家園-禮包碼.jpg</v>
      </c>
      <c r="D527" s="51" t="str">
        <f t="shared" si="28"/>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tr">
        <f>"《"&amp;A527&amp;"》最新禮包碼與兌換碼小編持續全網追蹤中！目前官方暫無發放最新虛寶序號，本頁面將每日即時更新。歡迎先收藏本頁，或加入 SSbuy 官方 LINE 領取專屬代儲值優惠與第一手抽獎好康！"</f>
        <v>《守護！森友家園》最新禮包碼與兌換碼小編持續全網追蹤中！目前官方暫無發放最新虛寶序號，本頁面將每日即時更新。歡迎先收藏本頁，或加入 SSbuy 官方 LINE 領取專屬代儲值優惠與第一手抽獎好康！</v>
      </c>
      <c r="K527" s="100" t="s">
        <v>5495</v>
      </c>
      <c r="L527" s="51" t="s">
        <v>5496</v>
      </c>
    </row>
    <row r="528" spans="1:45" ht="24.75" customHeight="1">
      <c r="A528" s="67" t="str">
        <f>IF(games!A528="", "", games!A528)</f>
        <v>CookieRun Classic</v>
      </c>
      <c r="C528" s="51" t="str">
        <f t="shared" si="27"/>
        <v>giftcodesbanner/CookieRun Classic-禮包碼.jpg</v>
      </c>
      <c r="D528" s="51" t="str">
        <f t="shared" si="28"/>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7"/>
        <v>giftcodesbanner/世界之外-禮包碼.jpg</v>
      </c>
      <c r="D529" s="51" t="str">
        <f t="shared" si="28"/>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tr">
        <f t="shared" ref="F529:F531" si="31">"《"&amp;A529&amp;"》最新禮包碼與兌換碼小編持續全網追蹤中！目前官方暫無發放最新虛寶序號，本頁面將每日即時更新。歡迎先收藏本頁，或加入 SSbuy 官方 LINE 領取專屬代儲值優惠與第一手抽獎好康！"</f>
        <v>《世界之外》最新禮包碼與兌換碼小編持續全網追蹤中！目前官方暫無發放最新虛寶序號，本頁面將每日即時更新。歡迎先收藏本頁，或加入 SSbuy 官方 LINE 領取專屬代儲值優惠與第一手抽獎好康！</v>
      </c>
      <c r="K529" s="100" t="s">
        <v>5495</v>
      </c>
      <c r="L529" s="51" t="s">
        <v>5496</v>
      </c>
    </row>
    <row r="530" spans="1:47" ht="24.75" customHeight="1">
      <c r="A530" s="67" t="str">
        <f>IF(games!A530="", "", games!A530)</f>
        <v>疾風騎士團 放置型RPG</v>
      </c>
      <c r="C530" s="51" t="str">
        <f t="shared" si="27"/>
        <v>giftcodesbanner/疾風騎士團 放置型RPG-禮包碼.jpg</v>
      </c>
      <c r="D530" s="51" t="str">
        <f t="shared" si="28"/>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tr">
        <f t="shared" si="31"/>
        <v>《疾風騎士團 放置型RPG》最新禮包碼與兌換碼小編持續全網追蹤中！目前官方暫無發放最新虛寶序號，本頁面將每日即時更新。歡迎先收藏本頁，或加入 SSbuy 官方 LINE 領取專屬代儲值優惠與第一手抽獎好康！</v>
      </c>
      <c r="K530" s="100" t="s">
        <v>5495</v>
      </c>
      <c r="L530" s="51" t="s">
        <v>5496</v>
      </c>
    </row>
    <row r="531" spans="1:47" ht="24.75" customHeight="1">
      <c r="A531" s="67" t="str">
        <f>IF(games!A531="", "", games!A531)</f>
        <v>蟋蟀江湖</v>
      </c>
      <c r="C531" s="51" t="str">
        <f t="shared" si="27"/>
        <v>giftcodesbanner/蟋蟀江湖-禮包碼.jpg</v>
      </c>
      <c r="D531" s="51" t="str">
        <f t="shared" si="28"/>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tr">
        <f t="shared" si="31"/>
        <v>《蟋蟀江湖》最新禮包碼與兌換碼小編持續全網追蹤中！目前官方暫無發放最新虛寶序號，本頁面將每日即時更新。歡迎先收藏本頁，或加入 SSbuy 官方 LINE 領取專屬代儲值優惠與第一手抽獎好康！</v>
      </c>
      <c r="K531" s="100" t="s">
        <v>5495</v>
      </c>
      <c r="L531" s="51" t="s">
        <v>5496</v>
      </c>
    </row>
    <row r="532" spans="1:47" ht="24.75" customHeight="1">
      <c r="A532" s="67" t="str">
        <f>IF(games!A532="", "", games!A532)</f>
        <v>星海奇航</v>
      </c>
      <c r="C532" s="51" t="str">
        <f t="shared" si="27"/>
        <v>giftcodesbanner/星海奇航-禮包碼.jpg</v>
      </c>
      <c r="D532" s="51" t="str">
        <f t="shared" si="28"/>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7"/>
        <v>giftcodesbanner/天命：六道輪迴-禮包碼.jpg</v>
      </c>
      <c r="D533" s="51" t="str">
        <f t="shared" si="28"/>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7"/>
        <v>giftcodesbanner/屍傅別追我：泰多鬼啦-禮包碼.jpg</v>
      </c>
      <c r="D534" s="51" t="str">
        <f t="shared" si="28"/>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tr">
        <f t="shared" ref="F534:F535" si="32">"《"&amp;A534&amp;"》最新禮包碼與兌換碼小編持續全網追蹤中！目前官方暫無發放最新虛寶序號，本頁面將每日即時更新。歡迎先收藏本頁，或加入 SSbuy 官方 LINE 領取專屬代儲值優惠與第一手抽獎好康！"</f>
        <v>《屍傅別追我：泰多鬼啦》最新禮包碼與兌換碼小編持續全網追蹤中！目前官方暫無發放最新虛寶序號，本頁面將每日即時更新。歡迎先收藏本頁，或加入 SSbuy 官方 LINE 領取專屬代儲值優惠與第一手抽獎好康！</v>
      </c>
      <c r="K534" s="100" t="s">
        <v>5495</v>
      </c>
      <c r="L534" s="51" t="s">
        <v>5496</v>
      </c>
    </row>
    <row r="535" spans="1:47" ht="24.75" customHeight="1">
      <c r="A535" s="67" t="str">
        <f>IF(games!A535="", "", games!A535)</f>
        <v>地獄重生</v>
      </c>
      <c r="C535" s="51" t="str">
        <f t="shared" si="27"/>
        <v>giftcodesbanner/地獄重生-禮包碼.jpg</v>
      </c>
      <c r="D535" s="51" t="str">
        <f t="shared" si="28"/>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tr">
        <f t="shared" si="32"/>
        <v>《地獄重生》最新禮包碼與兌換碼小編持續全網追蹤中！目前官方暫無發放最新虛寶序號，本頁面將每日即時更新。歡迎先收藏本頁，或加入 SSbuy 官方 LINE 領取專屬代儲值優惠與第一手抽獎好康！</v>
      </c>
      <c r="K535" s="100" t="s">
        <v>5495</v>
      </c>
      <c r="L535" s="51" t="s">
        <v>5496</v>
      </c>
    </row>
    <row r="536" spans="1:47" ht="24.75" customHeight="1">
      <c r="A536" s="67" t="str">
        <f>IF(games!A536="", "", games!A536)</f>
        <v>獨步仙途</v>
      </c>
      <c r="C536" s="51" t="str">
        <f t="shared" si="27"/>
        <v>giftcodesbanner/獨步仙途-禮包碼.jpg</v>
      </c>
      <c r="D536" s="51" t="str">
        <f t="shared" si="28"/>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7"/>
        <v>giftcodesbanner/褪色界域：瑟匹亞-禮包碼.jpg</v>
      </c>
      <c r="D537" s="51" t="str">
        <f t="shared" si="28"/>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7"/>
        <v>giftcodesbanner/刃與三國：烽火爭霸-禮包碼.jpg</v>
      </c>
      <c r="D538" s="51" t="str">
        <f t="shared" si="28"/>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7"/>
        <v>giftcodesbanner/我在江湖開後宮-禮包碼.jpg</v>
      </c>
      <c r="D539" s="51" t="str">
        <f t="shared" si="28"/>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7"/>
        <v>giftcodesbanner/猛鬼三國-禮包碼.jpg</v>
      </c>
      <c r="D540" s="51" t="str">
        <f t="shared" si="28"/>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7"/>
        <v>giftcodesbanner/大航海：怒海遠征-禮包碼.jpg</v>
      </c>
      <c r="D541" s="51" t="str">
        <f t="shared" si="28"/>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tr">
        <f t="shared" ref="F541:F542" si="33">"《"&amp;A541&amp;"》最新禮包碼與兌換碼小編持續全網追蹤中！目前官方暫無發放最新虛寶序號，本頁面將每日即時更新。歡迎先收藏本頁，或加入 SSbuy 官方 LINE 領取專屬代儲值優惠與第一手抽獎好康！"</f>
        <v>《大航海：怒海遠征》最新禮包碼與兌換碼小編持續全網追蹤中！目前官方暫無發放最新虛寶序號，本頁面將每日即時更新。歡迎先收藏本頁，或加入 SSbuy 官方 LINE 領取專屬代儲值優惠與第一手抽獎好康！</v>
      </c>
      <c r="K541" s="100" t="s">
        <v>5495</v>
      </c>
      <c r="L541" s="51" t="s">
        <v>5496</v>
      </c>
    </row>
    <row r="542" spans="1:47" ht="24.75" customHeight="1">
      <c r="A542" s="67" t="str">
        <f>IF(games!A542="", "", games!A542)</f>
        <v>hololive Dreams</v>
      </c>
      <c r="C542" s="51" t="str">
        <f t="shared" si="27"/>
        <v>giftcodesbanner/hololive Dreams-禮包碼.jpg</v>
      </c>
      <c r="D542" s="51" t="str">
        <f t="shared" si="28"/>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tr">
        <f t="shared" si="33"/>
        <v>《hololive Dreams》最新禮包碼與兌換碼小編持續全網追蹤中！目前官方暫無發放最新虛寶序號，本頁面將每日即時更新。歡迎先收藏本頁，或加入 SSbuy 官方 LINE 領取專屬代儲值優惠與第一手抽獎好康！</v>
      </c>
      <c r="K542" s="100" t="s">
        <v>5495</v>
      </c>
      <c r="L542" s="51" t="s">
        <v>5496</v>
      </c>
    </row>
    <row r="543" spans="1:47" ht="24.75" customHeight="1">
      <c r="A543" s="67" t="str">
        <f>IF(games!A543="", "", games!A543)</f>
        <v>萬象山海</v>
      </c>
      <c r="C543" s="51" t="str">
        <f t="shared" si="27"/>
        <v>giftcodesbanner/萬象山海-禮包碼.jpg</v>
      </c>
      <c r="D543" s="51" t="str">
        <f t="shared" si="28"/>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7"/>
        <v>giftcodesbanner/三國觀滄海-禮包碼.jpg</v>
      </c>
      <c r="D544" s="51" t="str">
        <f t="shared" si="28"/>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tr">
        <f t="shared" ref="F544:F547" si="34">"《"&amp;A544&amp;"》最新禮包碼與兌換碼小編持續全網追蹤中！目前官方暫無發放最新虛寶序號，本頁面將每日即時更新。歡迎先收藏本頁，或加入 SSbuy 官方 LINE 領取專屬代儲值優惠與第一手抽獎好康！"</f>
        <v>《三國觀滄海》最新禮包碼與兌換碼小編持續全網追蹤中！目前官方暫無發放最新虛寶序號，本頁面將每日即時更新。歡迎先收藏本頁，或加入 SSbuy 官方 LINE 領取專屬代儲值優惠與第一手抽獎好康！</v>
      </c>
      <c r="K544" s="100" t="s">
        <v>5495</v>
      </c>
      <c r="L544" s="51" t="s">
        <v>5496</v>
      </c>
    </row>
    <row r="545" spans="1:41" ht="24.75" customHeight="1">
      <c r="A545" s="67" t="str">
        <f>IF(games!A545="", "", games!A545)</f>
        <v>美男戰國</v>
      </c>
      <c r="C545" s="51" t="str">
        <f t="shared" ref="C545:C579" si="35">IF(A545="","", "giftcodesbanner/" &amp; A545 &amp; "-禮包碼.jpg")</f>
        <v>giftcodesbanner/美男戰國-禮包碼.jpg</v>
      </c>
      <c r="D545" s="51" t="str">
        <f t="shared" ref="D545:D579" si="36">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tr">
        <f t="shared" si="34"/>
        <v>《美男戰國》最新禮包碼與兌換碼小編持續全網追蹤中！目前官方暫無發放最新虛寶序號，本頁面將每日即時更新。歡迎先收藏本頁，或加入 SSbuy 官方 LINE 領取專屬代儲值優惠與第一手抽獎好康！</v>
      </c>
      <c r="K545" s="100" t="s">
        <v>5495</v>
      </c>
      <c r="L545" s="51" t="s">
        <v>5496</v>
      </c>
    </row>
    <row r="546" spans="1:41" ht="24.75" customHeight="1">
      <c r="A546" s="67" t="str">
        <f>IF(games!A546="", "", games!A546)</f>
        <v>搞鬼M</v>
      </c>
      <c r="C546" s="51" t="str">
        <f t="shared" si="35"/>
        <v>giftcodesbanner/搞鬼M-禮包碼.jpg</v>
      </c>
      <c r="D546" s="51" t="str">
        <f t="shared" si="36"/>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tr">
        <f t="shared" si="34"/>
        <v>《搞鬼M》最新禮包碼與兌換碼小編持續全網追蹤中！目前官方暫無發放最新虛寶序號，本頁面將每日即時更新。歡迎先收藏本頁，或加入 SSbuy 官方 LINE 領取專屬代儲值優惠與第一手抽獎好康！</v>
      </c>
      <c r="K546" s="100" t="s">
        <v>5495</v>
      </c>
      <c r="L546" s="51" t="s">
        <v>5496</v>
      </c>
    </row>
    <row r="547" spans="1:41" ht="24.75" customHeight="1">
      <c r="A547" s="67" t="str">
        <f>IF(games!A547="", "", games!A547)</f>
        <v>喵喵騎士：放置RPG</v>
      </c>
      <c r="C547" s="51" t="str">
        <f t="shared" si="35"/>
        <v>giftcodesbanner/喵喵騎士：放置RPG-禮包碼.jpg</v>
      </c>
      <c r="D547" s="51" t="str">
        <f t="shared" si="36"/>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tr">
        <f t="shared" si="34"/>
        <v>《喵喵騎士：放置RPG》最新禮包碼與兌換碼小編持續全網追蹤中！目前官方暫無發放最新虛寶序號，本頁面將每日即時更新。歡迎先收藏本頁，或加入 SSbuy 官方 LINE 領取專屬代儲值優惠與第一手抽獎好康！</v>
      </c>
      <c r="K547" s="100" t="s">
        <v>5495</v>
      </c>
      <c r="L547" s="51" t="s">
        <v>5496</v>
      </c>
    </row>
    <row r="548" spans="1:41" ht="24.75" customHeight="1">
      <c r="A548" s="67" t="str">
        <f>IF(games!A548="", "", games!A548)</f>
        <v>女神帝國：天使降臨</v>
      </c>
      <c r="C548" s="51" t="str">
        <f t="shared" si="35"/>
        <v>giftcodesbanner/女神帝國：天使降臨-禮包碼.jpg</v>
      </c>
      <c r="D548" s="51" t="str">
        <f t="shared" si="36"/>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35"/>
        <v>giftcodesbanner/地下城見聞錄-禮包碼.jpg</v>
      </c>
      <c r="D549" s="51" t="str">
        <f t="shared" si="36"/>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tr">
        <f>"《"&amp;A549&amp;"》最新禮包碼與兌換碼小編持續全網追蹤中！目前官方暫無發放最新虛寶序號，本頁面將每日即時更新。歡迎先收藏本頁，或加入 SSbuy 官方 LINE 領取專屬代儲值優惠與第一手抽獎好康！"</f>
        <v>《地下城見聞錄》最新禮包碼與兌換碼小編持續全網追蹤中！目前官方暫無發放最新虛寶序號，本頁面將每日即時更新。歡迎先收藏本頁，或加入 SSbuy 官方 LINE 領取專屬代儲值優惠與第一手抽獎好康！</v>
      </c>
      <c r="K549" s="100" t="s">
        <v>5495</v>
      </c>
      <c r="L549" s="51" t="s">
        <v>5496</v>
      </c>
    </row>
    <row r="550" spans="1:41" ht="24.75" customHeight="1">
      <c r="A550" s="67" t="str">
        <f>IF(games!A550="", "", games!A550)</f>
        <v>鬥破蒼穹M：少年崛起</v>
      </c>
      <c r="C550" s="51" t="str">
        <f t="shared" si="35"/>
        <v>giftcodesbanner/鬥破蒼穹M：少年崛起-禮包碼.jpg</v>
      </c>
      <c r="D550" s="51" t="str">
        <f t="shared" si="36"/>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35"/>
        <v>giftcodesbanner/開局一座島-禮包碼.jpg</v>
      </c>
      <c r="D551" s="51" t="str">
        <f t="shared" si="36"/>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35"/>
        <v>giftcodesbanner/真三國無雙・霸-禮包碼.jpg</v>
      </c>
      <c r="D552" s="51" t="str">
        <f t="shared" si="36"/>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35"/>
        <v>giftcodesbanner/賽爾號：巔峰之戰-禮包碼.jpg</v>
      </c>
      <c r="D553" s="51" t="str">
        <f t="shared" si="36"/>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35"/>
        <v>giftcodesbanner/Astro Arena：恆星激鬥 PvP-禮包碼.jpg</v>
      </c>
      <c r="D554" s="51" t="str">
        <f t="shared" si="36"/>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tr">
        <f t="shared" ref="F554:F555" si="37">"《"&amp;A554&amp;"》最新禮包碼與兌換碼小編持續全網追蹤中！目前官方暫無發放最新虛寶序號，本頁面將每日即時更新。歡迎先收藏本頁，或加入 SSbuy 官方 LINE 領取專屬代儲值優惠與第一手抽獎好康！"</f>
        <v>《Astro Arena：恆星激鬥 PvP》最新禮包碼與兌換碼小編持續全網追蹤中！目前官方暫無發放最新虛寶序號，本頁面將每日即時更新。歡迎先收藏本頁，或加入 SSbuy 官方 LINE 領取專屬代儲值優惠與第一手抽獎好康！</v>
      </c>
      <c r="K554" s="100" t="s">
        <v>5495</v>
      </c>
      <c r="L554" s="51" t="s">
        <v>5496</v>
      </c>
    </row>
    <row r="555" spans="1:41" ht="24.75" customHeight="1">
      <c r="A555" s="67" t="str">
        <f>IF(games!A555="", "", games!A555)</f>
        <v>METAL SLUG RUSH</v>
      </c>
      <c r="C555" s="51" t="str">
        <f t="shared" si="35"/>
        <v>giftcodesbanner/METAL SLUG RUSH-禮包碼.jpg</v>
      </c>
      <c r="D555" s="51" t="str">
        <f t="shared" si="36"/>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tr">
        <f t="shared" si="37"/>
        <v>《METAL SLUG RUSH》最新禮包碼與兌換碼小編持續全網追蹤中！目前官方暫無發放最新虛寶序號，本頁面將每日即時更新。歡迎先收藏本頁，或加入 SSbuy 官方 LINE 領取專屬代儲值優惠與第一手抽獎好康！</v>
      </c>
      <c r="K555" s="100" t="s">
        <v>5495</v>
      </c>
      <c r="L555" s="51" t="s">
        <v>5496</v>
      </c>
    </row>
    <row r="556" spans="1:41" ht="24.75" customHeight="1">
      <c r="A556" s="67" t="str">
        <f>IF(games!A556="", "", games!A556)</f>
        <v>塔塔冒險隊</v>
      </c>
      <c r="C556" s="51" t="str">
        <f t="shared" si="35"/>
        <v>giftcodesbanner/塔塔冒險隊-禮包碼.jpg</v>
      </c>
      <c r="D556" s="51" t="str">
        <f t="shared" si="36"/>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35"/>
        <v>giftcodesbanner/亡靈別太狂：部落大作戰-禮包碼.jpg</v>
      </c>
      <c r="D557" s="51" t="str">
        <f t="shared" si="36"/>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35"/>
        <v>giftcodesbanner/爆走摸魚君-禮包碼.jpg</v>
      </c>
      <c r="D558" s="51" t="str">
        <f t="shared" si="36"/>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35"/>
        <v>giftcodesbanner/小貓咪大史記-禮包碼.jpg</v>
      </c>
      <c r="D559" s="51" t="str">
        <f t="shared" si="36"/>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tr">
        <f t="shared" ref="F559:F561" si="38">"《"&amp;A559&amp;"》最新禮包碼與兌換碼小編持續全網追蹤中！目前官方暫無發放最新虛寶序號，本頁面將每日即時更新。歡迎先收藏本頁，或加入 SSbuy 官方 LINE 領取專屬代儲值優惠與第一手抽獎好康！"</f>
        <v>《小貓咪大史記》最新禮包碼與兌換碼小編持續全網追蹤中！目前官方暫無發放最新虛寶序號，本頁面將每日即時更新。歡迎先收藏本頁，或加入 SSbuy 官方 LINE 領取專屬代儲值優惠與第一手抽獎好康！</v>
      </c>
      <c r="K559" s="100" t="s">
        <v>5495</v>
      </c>
      <c r="L559" s="51" t="s">
        <v>5496</v>
      </c>
    </row>
    <row r="560" spans="1:41" ht="24.75" customHeight="1">
      <c r="A560" s="67" t="str">
        <f>IF(games!A560="", "", games!A560)</f>
        <v>星辰連結</v>
      </c>
      <c r="C560" s="51" t="str">
        <f t="shared" si="35"/>
        <v>giftcodesbanner/星辰連結-禮包碼.jpg</v>
      </c>
      <c r="D560" s="51" t="str">
        <f t="shared" si="36"/>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tr">
        <f t="shared" si="38"/>
        <v>《星辰連結》最新禮包碼與兌換碼小編持續全網追蹤中！目前官方暫無發放最新虛寶序號，本頁面將每日即時更新。歡迎先收藏本頁，或加入 SSbuy 官方 LINE 領取專屬代儲值優惠與第一手抽獎好康！</v>
      </c>
      <c r="K560" s="100" t="s">
        <v>5495</v>
      </c>
      <c r="L560" s="51" t="s">
        <v>5496</v>
      </c>
    </row>
    <row r="561" spans="1:34" ht="24.75" customHeight="1">
      <c r="A561" s="67" t="str">
        <f>IF(games!A561="", "", games!A561)</f>
        <v>喵吱大作戰：放置類RPG</v>
      </c>
      <c r="C561" s="51" t="str">
        <f t="shared" si="35"/>
        <v>giftcodesbanner/喵吱大作戰：放置類RPG-禮包碼.jpg</v>
      </c>
      <c r="D561" s="51" t="str">
        <f t="shared" si="36"/>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tr">
        <f t="shared" si="38"/>
        <v>《喵吱大作戰：放置類RPG》最新禮包碼與兌換碼小編持續全網追蹤中！目前官方暫無發放最新虛寶序號，本頁面將每日即時更新。歡迎先收藏本頁，或加入 SSbuy 官方 LINE 領取專屬代儲值優惠與第一手抽獎好康！</v>
      </c>
      <c r="K561" s="100" t="s">
        <v>5495</v>
      </c>
      <c r="L561" s="51" t="s">
        <v>5496</v>
      </c>
    </row>
    <row r="562" spans="1:34" ht="24.75" customHeight="1">
      <c r="A562" s="67" t="str">
        <f>IF(games!A562="", "", games!A562)</f>
        <v>森之歌：世界</v>
      </c>
      <c r="C562" s="51" t="str">
        <f t="shared" si="35"/>
        <v>giftcodesbanner/森之歌：世界-禮包碼.jpg</v>
      </c>
      <c r="D562" s="51" t="str">
        <f t="shared" si="36"/>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35"/>
        <v>giftcodesbanner/三國志：群雄之弈-禮包碼.jpg</v>
      </c>
      <c r="D563" s="51" t="str">
        <f t="shared" si="36"/>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35"/>
        <v>giftcodesbanner/轉運江湖-禮包碼.jpg</v>
      </c>
      <c r="D564" s="51" t="str">
        <f t="shared" si="36"/>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tr">
        <f>"《"&amp;A564&amp;"》最新禮包碼與兌換碼小編持續全網追蹤中！目前官方暫無發放最新虛寶序號，本頁面將每日即時更新。歡迎先收藏本頁，或加入 SSbuy 官方 LINE 領取專屬代儲值優惠與第一手抽獎好康！"</f>
        <v>《轉運江湖》最新禮包碼與兌換碼小編持續全網追蹤中！目前官方暫無發放最新虛寶序號，本頁面將每日即時更新。歡迎先收藏本頁，或加入 SSbuy 官方 LINE 領取專屬代儲值優惠與第一手抽獎好康！</v>
      </c>
      <c r="K564" s="100" t="s">
        <v>5495</v>
      </c>
      <c r="L564" s="51" t="s">
        <v>5496</v>
      </c>
    </row>
    <row r="565" spans="1:34" ht="24.75" customHeight="1">
      <c r="A565" s="67" t="str">
        <f>IF(games!A565="", "", games!A565)</f>
        <v>MAJO - 末日策略 RPG</v>
      </c>
      <c r="C565" s="51" t="str">
        <f t="shared" si="35"/>
        <v>giftcodesbanner/MAJO - 末日策略 RPG-禮包碼.jpg</v>
      </c>
      <c r="D565" s="51" t="str">
        <f t="shared" si="36"/>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35"/>
        <v>giftcodesbanner/丐小北的冒險日記-禮包碼.jpg</v>
      </c>
      <c r="D566" s="51" t="str">
        <f t="shared" si="36"/>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35"/>
        <v>giftcodesbanner/果燃很派-禮包碼.jpg</v>
      </c>
      <c r="D567" s="51" t="str">
        <f t="shared" si="36"/>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35"/>
        <v>giftcodesbanner/薑餅人放置大戰爭-禮包碼.jpg</v>
      </c>
      <c r="D568" s="51" t="str">
        <f t="shared" si="36"/>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35"/>
        <v>giftcodesbanner/隨機骰子2-禮包碼.jpg</v>
      </c>
      <c r="D569" s="51" t="str">
        <f t="shared" si="36"/>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tr">
        <f>"《"&amp;A569&amp;"》最新禮包碼與兌換碼小編持續全網追蹤中！目前官方暫無發放最新虛寶序號，本頁面將每日即時更新。歡迎先收藏本頁，或加入 SSbuy 官方 LINE 領取專屬代儲值優惠與第一手抽獎好康！"</f>
        <v>《隨機骰子2》最新禮包碼與兌換碼小編持續全網追蹤中！目前官方暫無發放最新虛寶序號，本頁面將每日即時更新。歡迎先收藏本頁，或加入 SSbuy 官方 LINE 領取專屬代儲值優惠與第一手抽獎好康！</v>
      </c>
      <c r="K569" s="100" t="s">
        <v>5495</v>
      </c>
      <c r="L569" s="51" t="s">
        <v>5496</v>
      </c>
    </row>
    <row r="570" spans="1:34" ht="24.75" customHeight="1">
      <c r="A570" s="67" t="str">
        <f>IF(games!A570="", "", games!A570)</f>
        <v>三國群英傳：策定九州</v>
      </c>
      <c r="C570" s="51" t="str">
        <f t="shared" si="35"/>
        <v>giftcodesbanner/三國群英傳：策定九州-禮包碼.jpg</v>
      </c>
      <c r="D570" s="51" t="str">
        <f t="shared" si="36"/>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35"/>
        <v>giftcodesbanner/幻想三國：武姬集結-禮包碼.jpg</v>
      </c>
      <c r="D571" s="51" t="str">
        <f t="shared" si="36"/>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35"/>
        <v>giftcodesbanner/瘋狂水世界-禮包碼.jpg</v>
      </c>
      <c r="D572" s="51" t="str">
        <f t="shared" si="36"/>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35"/>
        <v>giftcodesbanner/別砸了！是精靈啦-禮包碼.jpg</v>
      </c>
      <c r="D573" s="51" t="str">
        <f t="shared" si="36"/>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35"/>
        <v>giftcodesbanner/錢途無量-禮包碼.jpg</v>
      </c>
      <c r="D574" s="51" t="str">
        <f t="shared" si="36"/>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35"/>
        <v>giftcodesbanner/解憂夢幻島-禮包碼.jpg</v>
      </c>
      <c r="D575" s="51" t="str">
        <f t="shared" si="36"/>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35"/>
        <v>giftcodesbanner/諸天之上-禮包碼.jpg</v>
      </c>
      <c r="D576" s="51" t="str">
        <f t="shared" si="36"/>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tr">
        <f t="shared" ref="F576:F577" si="39">"《"&amp;A576&amp;"》最新禮包碼與兌換碼小編持續全網追蹤中！目前官方暫無發放最新虛寶序號，本頁面將每日即時更新。歡迎先收藏本頁，或加入 SSbuy 官方 LINE 領取專屬代儲值優惠與第一手抽獎好康！"</f>
        <v>《諸天之上》最新禮包碼與兌換碼小編持續全網追蹤中！目前官方暫無發放最新虛寶序號，本頁面將每日即時更新。歡迎先收藏本頁，或加入 SSbuy 官方 LINE 領取專屬代儲值優惠與第一手抽獎好康！</v>
      </c>
      <c r="K576" s="100" t="s">
        <v>5495</v>
      </c>
      <c r="L576" s="51" t="s">
        <v>5496</v>
      </c>
    </row>
    <row r="577" spans="1:31" ht="24.75" customHeight="1">
      <c r="A577" s="67" t="str">
        <f>IF(games!A577="", "", games!A577)</f>
        <v>三國神將錄</v>
      </c>
      <c r="C577" s="51" t="str">
        <f t="shared" si="35"/>
        <v>giftcodesbanner/三國神將錄-禮包碼.jpg</v>
      </c>
      <c r="D577" s="51" t="str">
        <f t="shared" si="36"/>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tr">
        <f t="shared" si="39"/>
        <v>《三國神將錄》最新禮包碼與兌換碼小編持續全網追蹤中！目前官方暫無發放最新虛寶序號，本頁面將每日即時更新。歡迎先收藏本頁，或加入 SSbuy 官方 LINE 領取專屬代儲值優惠與第一手抽獎好康！</v>
      </c>
      <c r="K577" s="100" t="s">
        <v>5495</v>
      </c>
      <c r="L577" s="51" t="s">
        <v>5496</v>
      </c>
      <c r="M577" s="6" t="s">
        <v>9754</v>
      </c>
    </row>
    <row r="578" spans="1:31" ht="24.75" customHeight="1">
      <c r="A578" s="67" t="str">
        <f>IF(games!A578="", "", games!A578)</f>
        <v>不良人：破局</v>
      </c>
      <c r="C578" s="51" t="str">
        <f t="shared" si="35"/>
        <v>giftcodesbanner/不良人：破局-禮包碼.jpg</v>
      </c>
      <c r="D578" s="51" t="str">
        <f t="shared" si="36"/>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35"/>
        <v>giftcodesbanner/我欲修仙-塔防肉鴿-禮包碼.jpg</v>
      </c>
      <c r="D579" s="51" t="str">
        <f t="shared" si="36"/>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40">IF(A580="","", "giftcodesbanner/" &amp; A580 &amp; "-禮包碼.jpg")</f>
        <v>giftcodesbanner/永恆聖域-禮包碼.jpg</v>
      </c>
      <c r="D580" s="51" t="str">
        <f t="shared" ref="D580:D642" si="41">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tr">
        <f>"《"&amp;A580&amp;"》最新禮包碼與兌換碼小編持續全網追蹤中！目前官方暫無發放最新虛寶序號，本頁面將每日即時更新。歡迎先收藏本頁，或加入 SSbuy 官方 LINE 領取專屬代儲值優惠與第一手抽獎好康！"</f>
        <v>《永恆聖域》最新禮包碼與兌換碼小編持續全網追蹤中！目前官方暫無發放最新虛寶序號，本頁面將每日即時更新。歡迎先收藏本頁，或加入 SSbuy 官方 LINE 領取專屬代儲值優惠與第一手抽獎好康！</v>
      </c>
      <c r="K580" s="100" t="s">
        <v>5495</v>
      </c>
      <c r="L580" s="51" t="s">
        <v>5496</v>
      </c>
    </row>
    <row r="581" spans="1:31" ht="24.75" customHeight="1">
      <c r="A581" s="67" t="str">
        <f>IF(games!A581="", "", games!A581)</f>
        <v>嘎嘎特攻</v>
      </c>
      <c r="C581" s="51" t="str">
        <f t="shared" si="40"/>
        <v>giftcodesbanner/嘎嘎特攻-禮包碼.jpg</v>
      </c>
      <c r="D581" s="51" t="str">
        <f t="shared" si="41"/>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40"/>
        <v>giftcodesbanner/賢者同盟-禮包碼.jpg</v>
      </c>
      <c r="D582" s="51" t="str">
        <f t="shared" si="41"/>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40"/>
        <v>giftcodesbanner/弓姬城塞：放置守城 RPG-禮包碼.jpg</v>
      </c>
      <c r="D583" s="51" t="str">
        <f t="shared" si="41"/>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tr">
        <f>"《"&amp;A583&amp;"》最新禮包碼與兌換碼小編持續全網追蹤中！目前官方暫無發放最新虛寶序號，本頁面將每日即時更新。歡迎先收藏本頁，或加入 SSbuy 官方 LINE 領取專屬代儲值優惠與第一手抽獎好康！"</f>
        <v>《弓姬城塞：放置守城 RPG》最新禮包碼與兌換碼小編持續全網追蹤中！目前官方暫無發放最新虛寶序號，本頁面將每日即時更新。歡迎先收藏本頁，或加入 SSbuy 官方 LINE 領取專屬代儲值優惠與第一手抽獎好康！</v>
      </c>
      <c r="K583" s="100" t="s">
        <v>5495</v>
      </c>
      <c r="L583" s="51" t="s">
        <v>5496</v>
      </c>
    </row>
    <row r="584" spans="1:31" ht="24.75" customHeight="1">
      <c r="A584" s="67" t="str">
        <f>IF(games!A584="", "", games!A584)</f>
        <v>癲狂三國：少年無雙</v>
      </c>
      <c r="C584" s="51" t="str">
        <f t="shared" si="40"/>
        <v>giftcodesbanner/癲狂三國：少年無雙-禮包碼.jpg</v>
      </c>
      <c r="D584" s="51" t="str">
        <f t="shared" si="41"/>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40"/>
        <v>giftcodesbanner/藍色星原：旅謠-禮包碼.jpg</v>
      </c>
      <c r="D585" s="51" t="str">
        <f t="shared" si="41"/>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tr">
        <f t="shared" ref="F585:F586" si="42">"《"&amp;A585&amp;"》最新禮包碼與兌換碼小編持續全網追蹤中！目前官方暫無發放最新虛寶序號，本頁面將每日即時更新。歡迎先收藏本頁，或加入 SSbuy 官方 LINE 領取專屬代儲值優惠與第一手抽獎好康！"</f>
        <v>《藍色星原：旅謠》最新禮包碼與兌換碼小編持續全網追蹤中！目前官方暫無發放最新虛寶序號，本頁面將每日即時更新。歡迎先收藏本頁，或加入 SSbuy 官方 LINE 領取專屬代儲值優惠與第一手抽獎好康！</v>
      </c>
      <c r="K585" s="100" t="s">
        <v>5495</v>
      </c>
      <c r="L585" s="51" t="s">
        <v>5496</v>
      </c>
    </row>
    <row r="586" spans="1:31" ht="24.75" customHeight="1">
      <c r="A586" s="67" t="str">
        <f>IF(games!A586="", "", games!A586)</f>
        <v>鬥陣騎士 Knightica</v>
      </c>
      <c r="C586" s="51" t="str">
        <f t="shared" si="40"/>
        <v>giftcodesbanner/鬥陣騎士 Knightica-禮包碼.jpg</v>
      </c>
      <c r="D586" s="51" t="str">
        <f t="shared" si="41"/>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tr">
        <f t="shared" si="42"/>
        <v>《鬥陣騎士 Knightica》最新禮包碼與兌換碼小編持續全網追蹤中！目前官方暫無發放最新虛寶序號，本頁面將每日即時更新。歡迎先收藏本頁，或加入 SSbuy 官方 LINE 領取專屬代儲值優惠與第一手抽獎好康！</v>
      </c>
      <c r="K586" s="100" t="s">
        <v>5495</v>
      </c>
      <c r="L586" s="51" t="s">
        <v>5496</v>
      </c>
    </row>
    <row r="587" spans="1:31" ht="24.75" customHeight="1">
      <c r="A587" s="67" t="str">
        <f>IF(games!A587="", "", games!A587)</f>
        <v>敖丙-頑強進化</v>
      </c>
      <c r="C587" s="51" t="str">
        <f t="shared" si="40"/>
        <v>giftcodesbanner/敖丙-頑強進化-禮包碼.jpg</v>
      </c>
      <c r="D587" s="51" t="str">
        <f t="shared" si="41"/>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40"/>
        <v>giftcodesbanner/劍與盾少女：放置型RPG-禮包碼.jpg</v>
      </c>
      <c r="D588" s="51" t="str">
        <f t="shared" si="41"/>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tr">
        <f t="shared" ref="F588:F590" si="43">"《"&amp;A588&amp;"》最新禮包碼與兌換碼小編持續全網追蹤中！目前官方暫無發放最新虛寶序號，本頁面將每日即時更新。歡迎先收藏本頁，或加入 SSbuy 官方 LINE 領取專屬代儲值優惠與第一手抽獎好康！"</f>
        <v>《劍與盾少女：放置型RPG》最新禮包碼與兌換碼小編持續全網追蹤中！目前官方暫無發放最新虛寶序號，本頁面將每日即時更新。歡迎先收藏本頁，或加入 SSbuy 官方 LINE 領取專屬代儲值優惠與第一手抽獎好康！</v>
      </c>
      <c r="K588" s="100" t="s">
        <v>5495</v>
      </c>
      <c r="L588" s="51" t="s">
        <v>5496</v>
      </c>
    </row>
    <row r="589" spans="1:31" ht="24.75" customHeight="1">
      <c r="A589" s="67" t="str">
        <f>IF(games!A589="", "", games!A589)</f>
        <v>半夜別修仙</v>
      </c>
      <c r="C589" s="51" t="str">
        <f t="shared" si="40"/>
        <v>giftcodesbanner/半夜別修仙-禮包碼.jpg</v>
      </c>
      <c r="D589" s="51" t="str">
        <f t="shared" si="41"/>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tr">
        <f t="shared" si="43"/>
        <v>《半夜別修仙》最新禮包碼與兌換碼小編持續全網追蹤中！目前官方暫無發放最新虛寶序號，本頁面將每日即時更新。歡迎先收藏本頁，或加入 SSbuy 官方 LINE 領取專屬代儲值優惠與第一手抽獎好康！</v>
      </c>
      <c r="K589" s="100" t="s">
        <v>5495</v>
      </c>
      <c r="L589" s="51" t="s">
        <v>5496</v>
      </c>
    </row>
    <row r="590" spans="1:31" ht="24.75" customHeight="1">
      <c r="A590" s="67" t="str">
        <f>IF(games!A590="", "", games!A590)</f>
        <v>少女迷境</v>
      </c>
      <c r="C590" s="51" t="str">
        <f t="shared" si="40"/>
        <v>giftcodesbanner/少女迷境-禮包碼.jpg</v>
      </c>
      <c r="D590" s="51" t="str">
        <f t="shared" si="41"/>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tr">
        <f t="shared" si="43"/>
        <v>《少女迷境》最新禮包碼與兌換碼小編持續全網追蹤中！目前官方暫無發放最新虛寶序號，本頁面將每日即時更新。歡迎先收藏本頁，或加入 SSbuy 官方 LINE 領取專屬代儲值優惠與第一手抽獎好康！</v>
      </c>
      <c r="K590" s="100" t="s">
        <v>5495</v>
      </c>
      <c r="L590" s="51" t="s">
        <v>5496</v>
      </c>
    </row>
    <row r="591" spans="1:31" ht="24.75" customHeight="1">
      <c r="A591" s="67" t="str">
        <f>IF(games!A591="", "", games!A591)</f>
        <v>魔卡紀元</v>
      </c>
      <c r="C591" s="51" t="str">
        <f t="shared" si="40"/>
        <v>giftcodesbanner/魔卡紀元-禮包碼.jpg</v>
      </c>
      <c r="D591" s="51" t="str">
        <f t="shared" si="41"/>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40"/>
        <v>giftcodesbanner/牛馬通緝令-禮包碼.jpg</v>
      </c>
      <c r="D592" s="51" t="str">
        <f t="shared" si="41"/>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40"/>
        <v>giftcodesbanner/我在三國當村長-禮包碼.jpg</v>
      </c>
      <c r="D593" s="51" t="str">
        <f t="shared" si="41"/>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tr">
        <f t="shared" ref="F593:F594" si="44">"《"&amp;A593&amp;"》最新禮包碼與兌換碼小編持續全網追蹤中！目前官方暫無發放最新虛寶序號，本頁面將每日即時更新。歡迎先收藏本頁，或加入 SSbuy 官方 LINE 領取專屬代儲值優惠與第一手抽獎好康！"</f>
        <v>《我在三國當村長》最新禮包碼與兌換碼小編持續全網追蹤中！目前官方暫無發放最新虛寶序號，本頁面將每日即時更新。歡迎先收藏本頁，或加入 SSbuy 官方 LINE 領取專屬代儲值優惠與第一手抽獎好康！</v>
      </c>
      <c r="K593" s="100" t="s">
        <v>5495</v>
      </c>
      <c r="L593" s="51" t="s">
        <v>5496</v>
      </c>
    </row>
    <row r="594" spans="1:41" ht="24.75" customHeight="1">
      <c r="A594" s="67" t="str">
        <f>IF(games!A594="", "", games!A594)</f>
        <v>ARES：THE IRON VANGUARD</v>
      </c>
      <c r="C594" s="51" t="str">
        <f t="shared" si="40"/>
        <v>giftcodesbanner/ARES：THE IRON VANGUARD-禮包碼.jpg</v>
      </c>
      <c r="D594" s="51" t="str">
        <f t="shared" si="41"/>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tr">
        <f t="shared" si="44"/>
        <v>《ARES：THE IRON VANGUARD》最新禮包碼與兌換碼小編持續全網追蹤中！目前官方暫無發放最新虛寶序號，本頁面將每日即時更新。歡迎先收藏本頁，或加入 SSbuy 官方 LINE 領取專屬代儲值優惠與第一手抽獎好康！</v>
      </c>
      <c r="K594" s="100" t="s">
        <v>5495</v>
      </c>
      <c r="L594" s="51" t="s">
        <v>5496</v>
      </c>
    </row>
    <row r="595" spans="1:41" ht="24.75" customHeight="1">
      <c r="A595" s="67" t="str">
        <f>IF(games!A595="", "", games!A595)</f>
        <v>締造者：放逐之境</v>
      </c>
      <c r="C595" s="51" t="str">
        <f t="shared" si="40"/>
        <v>giftcodesbanner/締造者：放逐之境-禮包碼.jpg</v>
      </c>
      <c r="D595" s="51" t="str">
        <f t="shared" si="41"/>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40"/>
        <v>giftcodesbanner/閃耀吧！嚕咪-禮包碼.jpg</v>
      </c>
      <c r="D596" s="51" t="str">
        <f t="shared" si="41"/>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40"/>
        <v>giftcodesbanner/死神養成：中世篇-禮包碼.jpg</v>
      </c>
      <c r="D597" s="51" t="str">
        <f t="shared" si="41"/>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tr">
        <f>"《"&amp;A597&amp;"》最新禮包碼與兌換碼小編持續全網追蹤中！目前官方暫無發放最新虛寶序號，本頁面將每日即時更新。歡迎先收藏本頁，或加入 SSbuy 官方 LINE 領取專屬代儲值優惠與第一手抽獎好康！"</f>
        <v>《死神養成：中世篇》最新禮包碼與兌換碼小編持續全網追蹤中！目前官方暫無發放最新虛寶序號，本頁面將每日即時更新。歡迎先收藏本頁，或加入 SSbuy 官方 LINE 領取專屬代儲值優惠與第一手抽獎好康！</v>
      </c>
      <c r="K597" s="100" t="s">
        <v>5495</v>
      </c>
      <c r="L597" s="51" t="s">
        <v>5496</v>
      </c>
    </row>
    <row r="598" spans="1:41" ht="24.75" customHeight="1">
      <c r="A598" s="67" t="str">
        <f>IF(games!A598="", "", games!A598)</f>
        <v>RO仙境傳說：口袋戰記</v>
      </c>
      <c r="C598" s="51" t="str">
        <f t="shared" si="40"/>
        <v>giftcodesbanner/RO仙境傳說：口袋戰記-禮包碼.jpg</v>
      </c>
      <c r="D598" s="51" t="str">
        <f t="shared" si="41"/>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40"/>
        <v>giftcodesbanner/蠟筆小新：GO！-禮包碼.jpg</v>
      </c>
      <c r="D599" s="51" t="str">
        <f t="shared" si="41"/>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40"/>
        <v>giftcodesbanner/FORTBLOX：荒原堡壘 GO!-禮包碼.jpg</v>
      </c>
      <c r="D600" s="51" t="str">
        <f t="shared" si="41"/>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tr">
        <f t="shared" ref="F600:F601" si="45">"《"&amp;A600&amp;"》最新禮包碼與兌換碼小編持續全網追蹤中！目前官方暫無發放最新虛寶序號，本頁面將每日即時更新。歡迎先收藏本頁，或加入 SSbuy 官方 LINE 領取專屬代儲值優惠與第一手抽獎好康！"</f>
        <v>《FORTBLOX：荒原堡壘 GO!》最新禮包碼與兌換碼小編持續全網追蹤中！目前官方暫無發放最新虛寶序號，本頁面將每日即時更新。歡迎先收藏本頁，或加入 SSbuy 官方 LINE 領取專屬代儲值優惠與第一手抽獎好康！</v>
      </c>
      <c r="K600" s="100" t="s">
        <v>5495</v>
      </c>
      <c r="L600" s="51" t="s">
        <v>5496</v>
      </c>
    </row>
    <row r="601" spans="1:41" ht="24.75" customHeight="1">
      <c r="A601" s="67" t="str">
        <f>IF(games!A601="", "", games!A601)</f>
        <v>戰鎚40,000：爆矢槍 Boom</v>
      </c>
      <c r="C601" s="51" t="str">
        <f t="shared" si="40"/>
        <v>giftcodesbanner/戰鎚40,000：爆矢槍 Boom-禮包碼.jpg</v>
      </c>
      <c r="D601" s="51" t="str">
        <f t="shared" si="41"/>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tr">
        <f t="shared" si="45"/>
        <v>《戰鎚40,000：爆矢槍 Boom》最新禮包碼與兌換碼小編持續全網追蹤中！目前官方暫無發放最新虛寶序號，本頁面將每日即時更新。歡迎先收藏本頁，或加入 SSbuy 官方 LINE 領取專屬代儲值優惠與第一手抽獎好康！</v>
      </c>
      <c r="K601" s="100" t="s">
        <v>5495</v>
      </c>
      <c r="L601" s="51" t="s">
        <v>5496</v>
      </c>
    </row>
    <row r="602" spans="1:41" ht="24.75" customHeight="1">
      <c r="A602" s="67" t="str">
        <f>IF(games!A602="", "", games!A602)</f>
        <v>伊莫</v>
      </c>
      <c r="C602" s="51" t="str">
        <f t="shared" si="40"/>
        <v>giftcodesbanner/伊莫-禮包碼.jpg</v>
      </c>
      <c r="D602" s="51" t="str">
        <f t="shared" si="41"/>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9960</v>
      </c>
      <c r="G602" s="3" t="s">
        <v>9961</v>
      </c>
      <c r="H602" s="51" t="s">
        <v>6988</v>
      </c>
      <c r="K602" s="100" t="s">
        <v>5495</v>
      </c>
      <c r="L602" s="51" t="s">
        <v>5496</v>
      </c>
      <c r="M602" s="6" t="s">
        <v>10048</v>
      </c>
      <c r="N602" s="40" t="s">
        <v>10049</v>
      </c>
      <c r="O602" s="6" t="s">
        <v>10050</v>
      </c>
      <c r="P602" s="40" t="s">
        <v>10051</v>
      </c>
      <c r="Q602" s="6" t="s">
        <v>10052</v>
      </c>
      <c r="R602" s="40" t="s">
        <v>10053</v>
      </c>
      <c r="S602" s="6" t="s">
        <v>10054</v>
      </c>
      <c r="T602" s="40" t="s">
        <v>10055</v>
      </c>
      <c r="U602" s="6" t="s">
        <v>10056</v>
      </c>
      <c r="V602" s="40" t="s">
        <v>10057</v>
      </c>
      <c r="W602" s="6" t="s">
        <v>10058</v>
      </c>
      <c r="X602" s="40" t="s">
        <v>10059</v>
      </c>
      <c r="Y602" s="6" t="s">
        <v>10060</v>
      </c>
      <c r="Z602" s="40" t="s">
        <v>10061</v>
      </c>
      <c r="AA602" s="6" t="s">
        <v>10062</v>
      </c>
      <c r="AB602" s="40" t="s">
        <v>10063</v>
      </c>
      <c r="AC602" s="6" t="s">
        <v>10064</v>
      </c>
      <c r="AD602" s="40" t="s">
        <v>10065</v>
      </c>
    </row>
    <row r="603" spans="1:41" ht="24.75" customHeight="1">
      <c r="A603" s="67" t="str">
        <f>IF(games!A603="", "", games!A603)</f>
        <v>BanG Dream! 交織的樂章</v>
      </c>
      <c r="C603" s="51" t="str">
        <f t="shared" si="40"/>
        <v>giftcodesbanner/BanG Dream! 交織的樂章-禮包碼.jpg</v>
      </c>
      <c r="D603" s="51" t="str">
        <f t="shared" si="41"/>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10070</v>
      </c>
      <c r="G603" s="3" t="s">
        <v>3638</v>
      </c>
      <c r="H603" s="51" t="s">
        <v>6988</v>
      </c>
      <c r="K603" s="100" t="s">
        <v>5495</v>
      </c>
      <c r="L603" s="51" t="s">
        <v>5496</v>
      </c>
      <c r="M603" s="6" t="s">
        <v>10066</v>
      </c>
      <c r="N603" s="40" t="s">
        <v>10069</v>
      </c>
      <c r="O603" s="6" t="s">
        <v>10067</v>
      </c>
      <c r="P603" s="40" t="s">
        <v>10068</v>
      </c>
    </row>
    <row r="604" spans="1:41" ht="24.75" customHeight="1">
      <c r="A604" s="67" t="str">
        <f>IF(games!A604="", "", games!A604)</f>
        <v>花物語</v>
      </c>
      <c r="C604" s="51" t="str">
        <f t="shared" si="40"/>
        <v>giftcodesbanner/花物語-禮包碼.jpg</v>
      </c>
      <c r="D604" s="51" t="str">
        <f t="shared" si="41"/>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tr">
        <f>"《"&amp;A604&amp;"》最新禮包碼與兌換碼小編持續全網追蹤中！目前官方暫無發放最新虛寶序號，本頁面將每日即時更新。歡迎先收藏本頁，或加入 SSbuy 官方 LINE 領取專屬代儲值優惠與第一手抽獎好康！"</f>
        <v>《花物語》最新禮包碼與兌換碼小編持續全網追蹤中！目前官方暫無發放最新虛寶序號，本頁面將每日即時更新。歡迎先收藏本頁，或加入 SSbuy 官方 LINE 領取專屬代儲值優惠與第一手抽獎好康！</v>
      </c>
      <c r="K604" s="100" t="s">
        <v>5495</v>
      </c>
      <c r="L604" s="51" t="s">
        <v>5496</v>
      </c>
    </row>
    <row r="605" spans="1:41" ht="24.75" customHeight="1">
      <c r="A605" s="67" t="str">
        <f>IF(games!A605="", "", games!A605)</f>
        <v>小蝦米闖江湖</v>
      </c>
      <c r="C605" s="51" t="str">
        <f t="shared" si="40"/>
        <v>giftcodesbanner/小蝦米闖江湖-禮包碼.jpg</v>
      </c>
      <c r="D605" s="51" t="str">
        <f t="shared" si="41"/>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10076</v>
      </c>
      <c r="G605" s="3" t="s">
        <v>10077</v>
      </c>
      <c r="H605" s="51" t="s">
        <v>6988</v>
      </c>
      <c r="K605" s="100" t="s">
        <v>5495</v>
      </c>
      <c r="L605" s="51" t="s">
        <v>5496</v>
      </c>
      <c r="M605" s="6" t="s">
        <v>10086</v>
      </c>
      <c r="O605" s="6" t="s">
        <v>10075</v>
      </c>
      <c r="Q605" s="6" t="s">
        <v>10078</v>
      </c>
      <c r="S605" s="6" t="s">
        <v>10079</v>
      </c>
      <c r="U605" s="6" t="s">
        <v>10080</v>
      </c>
      <c r="W605" s="6" t="s">
        <v>10081</v>
      </c>
      <c r="Y605" s="6" t="s">
        <v>10111</v>
      </c>
      <c r="AA605" s="6" t="s">
        <v>10112</v>
      </c>
    </row>
    <row r="606" spans="1:41" ht="24.75" customHeight="1">
      <c r="A606" s="67" t="str">
        <f>IF(games!A606="", "", games!A606)</f>
        <v>米卡：地城背包客</v>
      </c>
      <c r="C606" s="51" t="str">
        <f t="shared" si="40"/>
        <v>giftcodesbanner/米卡：地城背包客-禮包碼.jpg</v>
      </c>
      <c r="D606" s="51" t="str">
        <f t="shared" si="41"/>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tr">
        <f>"《"&amp;A606&amp;"》最新禮包碼與兌換碼小編持續全網追蹤中！目前官方暫無發放最新虛寶序號，本頁面將每日即時更新。歡迎先收藏本頁，或加入 SSbuy 官方 LINE 領取專屬代儲值優惠與第一手抽獎好康！"</f>
        <v>《米卡：地城背包客》最新禮包碼與兌換碼小編持續全網追蹤中！目前官方暫無發放最新虛寶序號，本頁面將每日即時更新。歡迎先收藏本頁，或加入 SSbuy 官方 LINE 領取專屬代儲值優惠與第一手抽獎好康！</v>
      </c>
      <c r="K606" s="100" t="s">
        <v>5495</v>
      </c>
      <c r="L606" s="51" t="s">
        <v>5496</v>
      </c>
    </row>
    <row r="607" spans="1:41" ht="24.75" customHeight="1">
      <c r="A607" s="67" t="str">
        <f>IF(games!A607="", "", games!A607)</f>
        <v>永夜幻想：契約之戰</v>
      </c>
      <c r="C607" s="51" t="str">
        <f t="shared" si="40"/>
        <v>giftcodesbanner/永夜幻想：契約之戰-禮包碼.jpg</v>
      </c>
      <c r="D607" s="51" t="str">
        <f t="shared" si="41"/>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tr">
        <f>"《"&amp;A607&amp;"》最新禮包碼與兌換碼小編持續全網追蹤中！目前官方暫無發放最新虛寶序號，本頁面將每日即時更新。歡迎先收藏本頁，或加入 SSbuy 官方 LINE 領取專屬代儲值優惠與第一手抽獎好康！"</f>
        <v>《永夜幻想：契約之戰》最新禮包碼與兌換碼小編持續全網追蹤中！目前官方暫無發放最新虛寶序號，本頁面將每日即時更新。歡迎先收藏本頁，或加入 SSbuy 官方 LINE 領取專屬代儲值優惠與第一手抽獎好康！</v>
      </c>
      <c r="G607" s="3" t="s">
        <v>3638</v>
      </c>
      <c r="H607" s="51" t="s">
        <v>6988</v>
      </c>
      <c r="K607" s="100" t="s">
        <v>5495</v>
      </c>
      <c r="L607" s="51" t="s">
        <v>5496</v>
      </c>
      <c r="M607" s="6" t="s">
        <v>10012</v>
      </c>
      <c r="O607" s="6" t="s">
        <v>10071</v>
      </c>
      <c r="Q607" s="6" t="s">
        <v>10072</v>
      </c>
      <c r="S607" s="6" t="s">
        <v>10073</v>
      </c>
      <c r="U607" s="6" t="s">
        <v>10074</v>
      </c>
    </row>
    <row r="608" spans="1:41" ht="24.75" customHeight="1">
      <c r="A608" s="67" t="str">
        <f>IF(games!A608="", "", games!A608)</f>
        <v>風之痕跡</v>
      </c>
      <c r="C608" s="51" t="str">
        <f t="shared" si="40"/>
        <v>giftcodesbanner/風之痕跡-禮包碼.jpg</v>
      </c>
      <c r="D608" s="51" t="str">
        <f t="shared" si="41"/>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tr">
        <f>"《"&amp;A608&amp;"》最新禮包碼與兌換碼小編持續全網追蹤中！目前官方暫無發放最新虛寶序號，本頁面將每日即時更新。歡迎先收藏本頁，或加入 SSbuy 官方 LINE 領取專屬代儲值優惠與第一手抽獎好康！"</f>
        <v>《風之痕跡》最新禮包碼與兌換碼小編持續全網追蹤中！目前官方暫無發放最新虛寶序號，本頁面將每日即時更新。歡迎先收藏本頁，或加入 SSbuy 官方 LINE 領取專屬代儲值優惠與第一手抽獎好康！</v>
      </c>
      <c r="K608" s="100" t="s">
        <v>5495</v>
      </c>
      <c r="L608" s="51" t="s">
        <v>5496</v>
      </c>
    </row>
    <row r="609" spans="1:24" ht="24.75" customHeight="1">
      <c r="A609" s="67" t="str">
        <f>IF(games!A609="", "", games!A609)</f>
        <v>魔物獵人：旅人</v>
      </c>
      <c r="C609" s="51" t="str">
        <f t="shared" si="40"/>
        <v>giftcodesbanner/魔物獵人：旅人-禮包碼.jpg</v>
      </c>
      <c r="D609" s="51" t="str">
        <f t="shared" si="41"/>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tr">
        <f>"《"&amp;A609&amp;"》最新禮包碼與兌換碼小編持續全網追蹤中！目前官方暫無發放最新虛寶序號，本頁面將每日即時更新。歡迎先收藏本頁，或加入 SSbuy 官方 LINE 領取專屬代儲值優惠與第一手抽獎好康！"</f>
        <v>《魔物獵人：旅人》最新禮包碼與兌換碼小編持續全網追蹤中！目前官方暫無發放最新虛寶序號，本頁面將每日即時更新。歡迎先收藏本頁，或加入 SSbuy 官方 LINE 領取專屬代儲值優惠與第一手抽獎好康！</v>
      </c>
      <c r="K609" s="100" t="s">
        <v>5495</v>
      </c>
      <c r="L609" s="51" t="s">
        <v>5496</v>
      </c>
    </row>
    <row r="610" spans="1:24" ht="24.75" customHeight="1">
      <c r="A610" s="67" t="str">
        <f>IF(games!A610="", "", games!A610)</f>
        <v>屍控防線</v>
      </c>
      <c r="C610" s="51" t="str">
        <f t="shared" si="40"/>
        <v>giftcodesbanner/屍控防線-禮包碼.jpg</v>
      </c>
      <c r="D610" s="51" t="str">
        <f t="shared" si="41"/>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10028</v>
      </c>
      <c r="G610" s="3" t="s">
        <v>10029</v>
      </c>
      <c r="H610" s="51" t="s">
        <v>6988</v>
      </c>
      <c r="K610" s="100" t="s">
        <v>5495</v>
      </c>
      <c r="L610" s="51" t="s">
        <v>5496</v>
      </c>
      <c r="M610" s="9" t="s">
        <v>10018</v>
      </c>
      <c r="O610" s="6" t="s">
        <v>10030</v>
      </c>
      <c r="Q610" s="6" t="s">
        <v>10031</v>
      </c>
      <c r="S610" s="6" t="s">
        <v>10032</v>
      </c>
      <c r="U610" s="6" t="s">
        <v>10033</v>
      </c>
    </row>
    <row r="611" spans="1:24" ht="24.75" customHeight="1">
      <c r="A611" s="67" t="str">
        <f>IF(games!A611="", "", games!A611)</f>
        <v>雲海之下</v>
      </c>
      <c r="C611" s="51" t="str">
        <f t="shared" si="40"/>
        <v>giftcodesbanner/雲海之下-禮包碼.jpg</v>
      </c>
      <c r="D611" s="51" t="str">
        <f t="shared" si="41"/>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10084</v>
      </c>
      <c r="G611" s="3" t="s">
        <v>10085</v>
      </c>
      <c r="H611" s="51" t="s">
        <v>6988</v>
      </c>
      <c r="K611" s="100" t="s">
        <v>5495</v>
      </c>
      <c r="L611" s="51" t="s">
        <v>5496</v>
      </c>
      <c r="M611" s="6" t="s">
        <v>10082</v>
      </c>
      <c r="N611" s="40" t="s">
        <v>10083</v>
      </c>
    </row>
    <row r="612" spans="1:24" ht="24.75" customHeight="1">
      <c r="A612" s="67" t="str">
        <f>IF(games!A612="", "", games!A612)</f>
        <v>鼠鼠特攻隊</v>
      </c>
      <c r="C612" s="51" t="str">
        <f t="shared" si="40"/>
        <v>giftcodesbanner/鼠鼠特攻隊-禮包碼.jpg</v>
      </c>
      <c r="D612" s="51" t="str">
        <f t="shared" si="41"/>
        <v>https://www.ssbuy.tw/gift-codes.html?game=鼠鼠特攻隊</v>
      </c>
      <c r="E612" s="91" t="str">
        <f>IF(games!I612&lt;&gt;"", games!I612, "")</f>
        <v>《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v>
      </c>
      <c r="F612" s="92" t="s">
        <v>10084</v>
      </c>
      <c r="G612" s="3" t="s">
        <v>10123</v>
      </c>
      <c r="H612" s="51" t="s">
        <v>6988</v>
      </c>
      <c r="K612" s="100" t="s">
        <v>5495</v>
      </c>
      <c r="L612" s="51" t="s">
        <v>5496</v>
      </c>
      <c r="M612" s="6" t="s">
        <v>10113</v>
      </c>
      <c r="N612" s="40" t="s">
        <v>10178</v>
      </c>
      <c r="O612" s="6" t="s">
        <v>10114</v>
      </c>
      <c r="P612" s="134" t="s">
        <v>10179</v>
      </c>
      <c r="Q612" s="131" t="s">
        <v>10115</v>
      </c>
      <c r="R612" s="132" t="s">
        <v>10116</v>
      </c>
      <c r="S612" s="133" t="s">
        <v>10117</v>
      </c>
      <c r="T612" s="134" t="s">
        <v>10118</v>
      </c>
      <c r="U612" s="131" t="s">
        <v>10119</v>
      </c>
      <c r="V612" s="132" t="s">
        <v>10120</v>
      </c>
      <c r="W612" s="133" t="s">
        <v>10121</v>
      </c>
      <c r="X612" s="134" t="s">
        <v>10122</v>
      </c>
    </row>
    <row r="613" spans="1:24" ht="24.75" customHeight="1">
      <c r="A613" s="67" t="str">
        <f>IF(games!A613="", "", games!A613)</f>
        <v>大時代-Tvb正版授權</v>
      </c>
      <c r="C613" s="51" t="str">
        <f t="shared" si="40"/>
        <v>giftcodesbanner/大時代-Tvb正版授權-禮包碼.jpg</v>
      </c>
      <c r="D613" s="51" t="str">
        <f t="shared" si="41"/>
        <v>https://www.ssbuy.tw/gift-codes.html?game=大時代-Tvb正版授權</v>
      </c>
      <c r="E613" s="91" t="str">
        <f>IF(games!I613&lt;&gt;"", games!I613, "")</f>
        <v>《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v>
      </c>
      <c r="F613" s="92" t="s">
        <v>10084</v>
      </c>
      <c r="G613" s="3" t="s">
        <v>10085</v>
      </c>
      <c r="H613" s="51" t="s">
        <v>6988</v>
      </c>
      <c r="K613" s="100" t="s">
        <v>5495</v>
      </c>
      <c r="L613" s="51" t="s">
        <v>5496</v>
      </c>
      <c r="M613" s="6" t="s">
        <v>9860</v>
      </c>
      <c r="O613" s="6" t="s">
        <v>10090</v>
      </c>
      <c r="Q613" s="6" t="s">
        <v>1841</v>
      </c>
      <c r="S613" s="6" t="s">
        <v>9349</v>
      </c>
    </row>
    <row r="614" spans="1:24" ht="24.75" customHeight="1">
      <c r="A614" s="67" t="str">
        <f>IF(games!A614="", "", games!A614)</f>
        <v>天上碑K</v>
      </c>
      <c r="C614" s="51" t="str">
        <f t="shared" si="40"/>
        <v>giftcodesbanner/天上碑K-禮包碼.jpg</v>
      </c>
      <c r="D614" s="51" t="str">
        <f t="shared" si="41"/>
        <v>https://www.ssbuy.tw/gift-codes.html?game=天上碑K</v>
      </c>
      <c r="E614" s="91" t="str">
        <f>IF(games!I614&lt;&gt;"", games!I614, "")</f>
        <v>《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v>
      </c>
      <c r="F614" s="92" t="s">
        <v>10194</v>
      </c>
      <c r="G614" s="3" t="s">
        <v>10195</v>
      </c>
      <c r="H614" s="51" t="s">
        <v>6988</v>
      </c>
      <c r="K614" s="100" t="s">
        <v>5495</v>
      </c>
      <c r="L614" s="51" t="s">
        <v>5496</v>
      </c>
      <c r="M614" s="6" t="s">
        <v>10193</v>
      </c>
      <c r="N614" s="40" t="s">
        <v>10196</v>
      </c>
    </row>
    <row r="615" spans="1:24" ht="24.75" customHeight="1">
      <c r="A615" s="67" t="str">
        <f>IF(games!A615="", "", games!A615)</f>
        <v>怪物地城＋</v>
      </c>
      <c r="C615" s="51" t="str">
        <f t="shared" si="40"/>
        <v>giftcodesbanner/怪物地城＋-禮包碼.jpg</v>
      </c>
      <c r="D615" s="51" t="str">
        <f t="shared" si="41"/>
        <v>https://www.ssbuy.tw/gift-codes.html?game=怪物地城＋</v>
      </c>
      <c r="E615" s="91" t="str">
        <f>IF(games!I615&lt;&gt;"", games!I615, "")</f>
        <v>《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v>
      </c>
      <c r="F615" s="92" t="str">
        <f>"《"&amp;A615&amp;"》最新禮包碼與兌換碼小編持續全網追蹤中！目前官方暫無發放最新虛寶序號，本頁面將每日即時更新。歡迎先收藏本頁，或加入 SSbuy 官方 LINE 領取專屬代儲值優惠與第一手抽獎好康！"</f>
        <v>《怪物地城＋》最新禮包碼與兌換碼小編持續全網追蹤中！目前官方暫無發放最新虛寶序號，本頁面將每日即時更新。歡迎先收藏本頁，或加入 SSbuy 官方 LINE 領取專屬代儲值優惠與第一手抽獎好康！</v>
      </c>
      <c r="K615" s="100" t="s">
        <v>5495</v>
      </c>
      <c r="L615" s="51" t="s">
        <v>5496</v>
      </c>
    </row>
    <row r="616" spans="1:24" ht="24.75" customHeight="1">
      <c r="A616" s="67" t="str">
        <f>IF(games!A616="", "", games!A616)</f>
        <v>三國：萬策爭雄</v>
      </c>
      <c r="C616" s="51" t="str">
        <f t="shared" si="40"/>
        <v>giftcodesbanner/三國：萬策爭雄-禮包碼.jpg</v>
      </c>
      <c r="D616" s="51" t="str">
        <f t="shared" si="41"/>
        <v>https://www.ssbuy.tw/gift-codes.html?game=三國：萬策爭雄</v>
      </c>
      <c r="E616" s="91" t="str">
        <f>IF(games!I616&lt;&gt;"", games!I616, "")</f>
        <v>三國：萬策爭雄是一款考驗謀略與布局的三國策略手遊，玩家可招募魏、蜀、吳、群雄名將，依據武將天賦、職業與屬性克制自由配陣，運用兵法計策在沙盤戰場攻守博弈，逐鹿天下。想快速掌握開局方向，速速幫整理新手攻略、陣容搭配、養成技巧、最新兌換碼與官方禮包碼，助你有效累積資源、提升戰力。另提供三國：萬策爭雄代儲值資訊，流程快速安全，讓你安心補給、把握成長節奏。立即查看攻略與可用福利，踏出稱霸三國的第一步！掌握戰術優勢。持續追蹤最新福利更新。</v>
      </c>
      <c r="F616" s="92" t="str">
        <f t="shared" ref="F616:F623" si="46">"《"&amp;A616&amp;"》最新禮包碼與兌換碼小編持續全網追蹤中！目前官方暫無發放最新虛寶序號，本頁面將每日即時更新。歡迎先收藏本頁，或加入 SSbuy 官方 LINE 領取專屬代儲值優惠與第一手抽獎好康！"</f>
        <v>《三國：萬策爭雄》最新禮包碼與兌換碼小編持續全網追蹤中！目前官方暫無發放最新虛寶序號，本頁面將每日即時更新。歡迎先收藏本頁，或加入 SSbuy 官方 LINE 領取專屬代儲值優惠與第一手抽獎好康！</v>
      </c>
      <c r="K616" s="100" t="s">
        <v>5495</v>
      </c>
      <c r="L616" s="51" t="s">
        <v>5496</v>
      </c>
    </row>
    <row r="617" spans="1:24" ht="24.75" customHeight="1">
      <c r="A617" s="67" t="str">
        <f>IF(games!A617="", "", games!A617)</f>
        <v>三國超離譜</v>
      </c>
      <c r="C617" s="51" t="str">
        <f t="shared" si="40"/>
        <v>giftcodesbanner/三國超離譜-禮包碼.jpg</v>
      </c>
      <c r="D617" s="51" t="str">
        <f t="shared" si="41"/>
        <v>https://www.ssbuy.tw/gift-codes.html?game=三國超離譜</v>
      </c>
      <c r="E617" s="91" t="str">
        <f>IF(games!I617&lt;&gt;"", games!I617, "")</f>
        <v>三國超離譜是一款融合港漫畫風、無厘頭搞笑與放置卡牌策略的三國手遊，曹操、劉備、關羽、呂布等名將以顛覆形象登場。玩家可招募武將、組合隊伍，利用離線掛機累積收益，並透過抽卡與陣容調整挑戰各種關卡。想快速上手，速速幫提供新手攻略、武將培養、隊伍搭配、最新兌換碼及官方禮包碼整理，協助你掌握福利與養成方向。也能查詢三國超離譜代儲值服務，快速安全補充遊戲資源。立即查看最新資訊，輕鬆開啟爆笑三國冒險！每日關注更新，別錯過限時福利與成長機會。</v>
      </c>
      <c r="F617" s="92" t="s">
        <v>10084</v>
      </c>
      <c r="G617" s="3" t="s">
        <v>10085</v>
      </c>
      <c r="H617" s="51" t="s">
        <v>6988</v>
      </c>
      <c r="K617" s="100" t="s">
        <v>5495</v>
      </c>
      <c r="L617" s="51" t="s">
        <v>5496</v>
      </c>
      <c r="M617" s="6" t="s">
        <v>10197</v>
      </c>
      <c r="O617" s="6" t="s">
        <v>9861</v>
      </c>
      <c r="Q617" s="6" t="s">
        <v>10198</v>
      </c>
      <c r="S617" s="6" t="s">
        <v>9863</v>
      </c>
      <c r="U617" s="6" t="s">
        <v>10199</v>
      </c>
    </row>
    <row r="618" spans="1:24" ht="24.75" customHeight="1">
      <c r="A618" s="67" t="str">
        <f>IF(games!A618="", "", games!A618)</f>
        <v>GOD：血冠</v>
      </c>
      <c r="C618" s="51" t="str">
        <f t="shared" si="40"/>
        <v>giftcodesbanner/GOD：血冠-禮包碼.jpg</v>
      </c>
      <c r="D618" s="51" t="str">
        <f t="shared" si="41"/>
        <v>https://www.ssbuy.tw/gift-codes.html?game=GOD：血冠</v>
      </c>
      <c r="E618" s="91" t="str">
        <f>IF(games!I618&lt;&gt;"", games!I618, "")</f>
        <v>GOD：血冠是一款以北歐神話為背景的魔幻 MMORPG，玩家將踏入神魔交戰的世界，選擇五大職業，搭配技能與轉職路線，挑戰深淵魔物、世界 BOSS、神裝收集及跨服公會戰。電影級視覺、智能戰鬥與多元養成，帶來爽快的冒險體驗。想掌握開局職業、戰力提升與裝備培養，速速幫整理新手攻略、最新兌換碼、官方禮包碼與活動資訊，幫你快速追上進度。另可了解 GOD：血冠代儲值服務，快速安全補給更便利。立即查看攻略與可用福利，為爭奪血冠做好準備！活動內容請以官方公告為準。</v>
      </c>
      <c r="F618" s="92" t="s">
        <v>9960</v>
      </c>
      <c r="G618" s="3" t="s">
        <v>9961</v>
      </c>
      <c r="H618" s="51" t="s">
        <v>6988</v>
      </c>
      <c r="K618" s="100" t="s">
        <v>5495</v>
      </c>
      <c r="L618" s="51" t="s">
        <v>5496</v>
      </c>
      <c r="M618" s="6" t="s">
        <v>10197</v>
      </c>
      <c r="O618" s="6" t="s">
        <v>9861</v>
      </c>
      <c r="Q618" s="6" t="s">
        <v>10198</v>
      </c>
      <c r="S618" s="6" t="s">
        <v>10200</v>
      </c>
      <c r="U618" s="6" t="s">
        <v>10201</v>
      </c>
      <c r="W618" s="6" t="s">
        <v>10202</v>
      </c>
    </row>
    <row r="619" spans="1:24" ht="24.75" customHeight="1">
      <c r="A619" s="67" t="str">
        <f>IF(games!A619="", "", games!A619)</f>
        <v>裝備仔：overgeared</v>
      </c>
      <c r="C619" s="51" t="str">
        <f t="shared" si="40"/>
        <v>giftcodesbanner/裝備仔：overgeared-禮包碼.jpg</v>
      </c>
      <c r="D619" s="51" t="str">
        <f t="shared" si="41"/>
        <v>https://www.ssbuy.tw/gift-codes.html?game=裝備仔：overgeared</v>
      </c>
      <c r="E619" s="91" t="str">
        <f>IF(games!I619&lt;&gt;"", games!I619, "")</f>
        <v>裝備仔: OVERGEARED 是以奇幻開放世界為舞台的 MMORPG，結合多元武器職業、連段戰鬥、裝備改造與團隊協力。玩家能探索不同區域、挑戰強敵，透過專屬裝備與 OVERGEARED 系統突破戰力極限，並參與跨次元勢力對抗。想掌握職業選擇、武器搭配、裝備養成及新手攻略，速速幫將整理最新兌換碼、官方禮包碼與重要遊戲資訊，協助你有效規劃成長路線。也可查詢裝備仔代儲值服務，快速安全補充資源。立即關注攻略與福利更新，打造自己的最強冒險者！規劃冒險與養成目標。</v>
      </c>
      <c r="F619" s="92" t="str">
        <f t="shared" si="46"/>
        <v>《裝備仔：overgeared》最新禮包碼與兌換碼小編持續全網追蹤中！目前官方暫無發放最新虛寶序號，本頁面將每日即時更新。歡迎先收藏本頁，或加入 SSbuy 官方 LINE 領取專屬代儲值優惠與第一手抽獎好康！</v>
      </c>
      <c r="K619" s="100" t="s">
        <v>5495</v>
      </c>
      <c r="L619" s="51" t="s">
        <v>5496</v>
      </c>
    </row>
    <row r="620" spans="1:24" ht="24.75" customHeight="1">
      <c r="A620" s="67" t="str">
        <f>IF(games!A620="", "", games!A620)</f>
        <v>來種水果吧</v>
      </c>
      <c r="C620" s="51" t="str">
        <f t="shared" si="40"/>
        <v>giftcodesbanner/來種水果吧-禮包碼.jpg</v>
      </c>
      <c r="D620" s="51" t="str">
        <f t="shared" si="41"/>
        <v>https://www.ssbuy.tw/gift-codes.html?game=來種水果吧</v>
      </c>
      <c r="E620" s="91" t="str">
        <f>IF(games!I620&lt;&gt;"", games!I620, "")</f>
        <v>來種水果吧！是一款療癒系果園模擬經營手遊，從播下種子、照料果樹到收穫水果，逐步打造專屬夢想果園。玩家可自由布置小屋與裝飾、搭配角色服裝，收集多樣水果並解鎖圖鑑；完成指定任務還有機會將遊戲成果連結現實水果獎勵，享受種植與收集的雙重樂趣。速速幫將整理新手攻略、果園經營技巧、最新兌換碼、官方禮包碼及活動情報，幫助你更有效率地累積資源。另可查看來種水果吧代儲值資訊，快速安全補給。立即查看攻略與最新福利，開始你的豐收日常！實際獎勵與活動條件請以遊戲公告為準。</v>
      </c>
      <c r="F620" s="92" t="str">
        <f t="shared" si="46"/>
        <v>《來種水果吧》最新禮包碼與兌換碼小編持續全網追蹤中！目前官方暫無發放最新虛寶序號，本頁面將每日即時更新。歡迎先收藏本頁，或加入 SSbuy 官方 LINE 領取專屬代儲值優惠與第一手抽獎好康！</v>
      </c>
      <c r="K620" s="100" t="s">
        <v>5495</v>
      </c>
      <c r="L620" s="51" t="s">
        <v>5496</v>
      </c>
    </row>
    <row r="621" spans="1:24" ht="24.75" customHeight="1">
      <c r="A621" s="67" t="str">
        <f>IF(games!A621="", "", games!A621)</f>
        <v>SSS冒險家</v>
      </c>
      <c r="C621" s="51" t="str">
        <f t="shared" si="40"/>
        <v>giftcodesbanner/SSS冒險家-禮包碼.jpg</v>
      </c>
      <c r="D621" s="51" t="str">
        <f t="shared" si="41"/>
        <v>https://www.ssbuy.tw/gift-codes.html?game=SSS冒險家</v>
      </c>
      <c r="E621" s="91" t="str">
        <f>IF(games!I621&lt;&gt;"", games!I621, "")</f>
        <v>SSS冒險家帶你踏上奇幻冒險旅程，透過角色培養、裝備強化與關卡挑戰，逐步提升隊伍實力，迎戰更強大的敵人並探索未知世界。無論你是剛入坑的新手，或想提升戰力的老玩家，掌握資源分配、角色養成與戰鬥技巧，都能讓冒險更加順利。速速幫將持續整理 SSS冒險家新手攻略、角色培養建議、最新兌換碼、官方禮包碼與活動資訊，幫你掌握可用福利、減少摸索時間。另提供 SSS冒險家代儲值相關資訊，快速安全補充遊戲資源。立即查看攻略與兌換碼，展開專屬你的冒險！福利請以官方公告為準。</v>
      </c>
      <c r="F621" s="92" t="s">
        <v>10171</v>
      </c>
      <c r="G621" s="3" t="s">
        <v>10172</v>
      </c>
      <c r="H621" s="51" t="s">
        <v>6988</v>
      </c>
      <c r="K621" s="100" t="s">
        <v>5495</v>
      </c>
      <c r="L621" s="51" t="s">
        <v>5496</v>
      </c>
      <c r="M621" s="6" t="s">
        <v>10170</v>
      </c>
      <c r="O621" s="6" t="s">
        <v>10173</v>
      </c>
      <c r="Q621" s="6" t="s">
        <v>10174</v>
      </c>
      <c r="S621" s="6" t="s">
        <v>10175</v>
      </c>
      <c r="U621" s="6" t="s">
        <v>10176</v>
      </c>
      <c r="W621" s="6" t="s">
        <v>10177</v>
      </c>
    </row>
    <row r="622" spans="1:24" ht="24.75" customHeight="1">
      <c r="A622" s="67" t="str">
        <f>IF(games!A622="", "", games!A622)</f>
        <v>劍之川</v>
      </c>
      <c r="C622" s="51" t="str">
        <f t="shared" si="40"/>
        <v>giftcodesbanner/劍之川-禮包碼.jpg</v>
      </c>
      <c r="D622" s="51" t="str">
        <f t="shared" si="41"/>
        <v>https://www.ssbuy.tw/gift-codes.html?game=劍之川</v>
      </c>
      <c r="E622" s="91" t="str">
        <f>IF(games!I622&lt;&gt;"", games!I622, "")</f>
        <v>劍之川是一款高自由度武俠 RPG，融合即時策略戰鬥、俠客養成、裝備心法搭配與沉浸式江湖劇情。玩家能探索廣闊世界，體驗釣魚、狩獵、烹飪、鑄造等生活玩法，並自由組合流派、運用戰術迎敵；離線放置也能累積收益，輕鬆培養俠客。速速幫整理劍之川新手攻略、俠客與心法搭配、戰力提升技巧、最新兌換碼及官方禮包碼，助你更快掌握江湖門道。想加速養成，也可查詢劍之川代儲值服務，快速安全補給。立即查看攻略與福利，闖出自己的武俠傳奇！遊戲活動與獎勵內容請以官方公告為準。</v>
      </c>
      <c r="F622" s="92" t="str">
        <f t="shared" si="46"/>
        <v>《劍之川》最新禮包碼與兌換碼小編持續全網追蹤中！目前官方暫無發放最新虛寶序號，本頁面將每日即時更新。歡迎先收藏本頁，或加入 SSbuy 官方 LINE 領取專屬代儲值優惠與第一手抽獎好康！</v>
      </c>
      <c r="K622" s="100" t="s">
        <v>5495</v>
      </c>
      <c r="L622" s="51" t="s">
        <v>5496</v>
      </c>
    </row>
    <row r="623" spans="1:24" ht="24.75" customHeight="1">
      <c r="A623" s="67" t="str">
        <f>IF(games!A623="", "", games!A623)</f>
        <v>極樂事件簿</v>
      </c>
      <c r="C623" s="51" t="str">
        <f t="shared" si="40"/>
        <v>giftcodesbanner/極樂事件簿-禮包碼.jpg</v>
      </c>
      <c r="D623" s="51" t="str">
        <f t="shared" si="41"/>
        <v>https://www.ssbuy.tw/gift-codes.html?game=極樂事件簿</v>
      </c>
      <c r="E623" s="91" t="str">
        <f>IF(games!I623&lt;&gt;"", games!I623, "")</f>
        <v>極樂事件簿是一款結合動畫演出、懸疑喜劇劇情與美少女收集養成的策略 RPG。玩家將化身解決師，在充滿突發事件的世界中調查案件、招募角色，運用屬性相剋與連攜效果組成隊伍，挑戰不同戰局；培養角色羈絆，也能解鎖更多專屬故事與互動內容。想快速掌握角色培養、隊伍配置與戰鬥技巧，速速幫整理新手攻略、最新兌換碼、官方禮包碼及活動情報。另可查詢極樂事件簿代儲值資訊，快速安全補充所需資源。立即查看攻略與最新福利，成為掌控局勢的王牌解決師！最新活動與實際福利請以官方公告為準。</v>
      </c>
      <c r="F623" s="92" t="s">
        <v>10186</v>
      </c>
      <c r="G623" s="3" t="s">
        <v>10187</v>
      </c>
      <c r="H623" s="3" t="s">
        <v>10188</v>
      </c>
      <c r="I623" s="51" t="s">
        <v>6988</v>
      </c>
      <c r="K623" s="100" t="s">
        <v>5495</v>
      </c>
      <c r="L623" s="51" t="s">
        <v>5496</v>
      </c>
      <c r="M623" s="6" t="s">
        <v>10180</v>
      </c>
      <c r="O623" s="6" t="s">
        <v>10181</v>
      </c>
      <c r="Q623" s="6" t="s">
        <v>10182</v>
      </c>
      <c r="S623" s="6" t="s">
        <v>10183</v>
      </c>
      <c r="U623" s="6" t="s">
        <v>10184</v>
      </c>
      <c r="W623" s="6" t="s">
        <v>10185</v>
      </c>
    </row>
    <row r="624" spans="1:24" ht="24.75" customHeight="1">
      <c r="A624" s="67" t="str">
        <f>IF(games!A624="", "", games!A624)</f>
        <v>全民修煉：重製版</v>
      </c>
      <c r="C624" s="51" t="str">
        <f t="shared" si="40"/>
        <v>giftcodesbanner/全民修煉：重製版-禮包碼.jpg</v>
      </c>
      <c r="D624" s="51" t="str">
        <f t="shared" si="41"/>
        <v>https://www.ssbuy.tw/gift-codes.html?game=全民修煉：重製版</v>
      </c>
      <c r="E624" s="91" t="str">
        <f>IF(games!I624&lt;&gt;"", games!I624, "")</f>
        <v>《全民修煉：重製版》是一款以修煉成長為核心的1對1戰鬥RPG，結合基礎訓練、裝備合成、強化升級與PVP對戰，體驗從新手逐步成為強者的成長樂趣。想快速提升戰力？立即查看全民修煉：重製版攻略，掌握新手培養技巧、裝備強化方向、最新兌換碼與官方禮包碼，領取更多遊戲資源。透過合理分配資源、持續修煉與挑戰對手，打造專屬戰鬥優勢。需要購買遊戲點數或優惠禮包，也可選擇速速幫代儲值服務，享受快速安全的便利體驗。立即掌握最新資訊，開啟你的修煉之路！</v>
      </c>
      <c r="K624" s="100" t="s">
        <v>5495</v>
      </c>
      <c r="L624" s="51" t="s">
        <v>5496</v>
      </c>
    </row>
    <row r="625" spans="1:5" ht="24.75" customHeight="1">
      <c r="A625" s="67" t="str">
        <f>IF(games!A625="", "", games!A625)</f>
        <v/>
      </c>
      <c r="C625" s="51" t="str">
        <f t="shared" si="40"/>
        <v/>
      </c>
      <c r="D625" s="51" t="str">
        <f t="shared" si="41"/>
        <v/>
      </c>
      <c r="E625" s="91" t="str">
        <f>IF(games!I625&lt;&gt;"", games!I625, "")</f>
        <v/>
      </c>
    </row>
    <row r="626" spans="1:5" ht="24.75" customHeight="1">
      <c r="A626" s="67" t="str">
        <f>IF(games!A626="", "", games!A626)</f>
        <v/>
      </c>
      <c r="C626" s="51" t="str">
        <f t="shared" si="40"/>
        <v/>
      </c>
      <c r="D626" s="51" t="str">
        <f t="shared" si="41"/>
        <v/>
      </c>
      <c r="E626" s="91" t="str">
        <f>IF(games!I626&lt;&gt;"", games!I626, "")</f>
        <v/>
      </c>
    </row>
    <row r="627" spans="1:5" ht="24.75" customHeight="1">
      <c r="A627" s="67" t="str">
        <f>IF(games!A627="", "", games!A627)</f>
        <v/>
      </c>
      <c r="C627" s="51" t="str">
        <f t="shared" si="40"/>
        <v/>
      </c>
      <c r="D627" s="51" t="str">
        <f t="shared" si="41"/>
        <v/>
      </c>
      <c r="E627" s="91" t="str">
        <f>IF(games!I627&lt;&gt;"", games!I627, "")</f>
        <v/>
      </c>
    </row>
    <row r="628" spans="1:5" ht="24.75" customHeight="1">
      <c r="A628" s="67" t="str">
        <f>IF(games!A628="", "", games!A628)</f>
        <v/>
      </c>
      <c r="C628" s="51" t="str">
        <f t="shared" si="40"/>
        <v/>
      </c>
      <c r="D628" s="51" t="str">
        <f t="shared" si="41"/>
        <v/>
      </c>
      <c r="E628" s="91" t="str">
        <f>IF(games!I628&lt;&gt;"", games!I628, "")</f>
        <v/>
      </c>
    </row>
    <row r="629" spans="1:5" ht="24.75" customHeight="1">
      <c r="A629" s="67" t="str">
        <f>IF(games!A629="", "", games!A629)</f>
        <v/>
      </c>
      <c r="C629" s="51" t="str">
        <f t="shared" si="40"/>
        <v/>
      </c>
      <c r="D629" s="51" t="str">
        <f t="shared" si="41"/>
        <v/>
      </c>
      <c r="E629" s="91" t="str">
        <f>IF(games!I629&lt;&gt;"", games!I629, "")</f>
        <v/>
      </c>
    </row>
    <row r="630" spans="1:5" ht="24.75" customHeight="1">
      <c r="A630" s="67" t="str">
        <f>IF(games!A630="", "", games!A630)</f>
        <v/>
      </c>
      <c r="C630" s="51" t="str">
        <f t="shared" si="40"/>
        <v/>
      </c>
      <c r="D630" s="51" t="str">
        <f t="shared" si="41"/>
        <v/>
      </c>
      <c r="E630" s="91" t="str">
        <f>IF(games!I630&lt;&gt;"", games!I630, "")</f>
        <v/>
      </c>
    </row>
    <row r="631" spans="1:5" ht="24.75" customHeight="1">
      <c r="A631" s="67" t="str">
        <f>IF(games!A631="", "", games!A631)</f>
        <v/>
      </c>
      <c r="C631" s="51" t="str">
        <f t="shared" si="40"/>
        <v/>
      </c>
      <c r="D631" s="51" t="str">
        <f t="shared" si="41"/>
        <v/>
      </c>
      <c r="E631" s="91" t="str">
        <f>IF(games!I631&lt;&gt;"", games!I631, "")</f>
        <v/>
      </c>
    </row>
    <row r="632" spans="1:5" ht="24.75" customHeight="1">
      <c r="A632" s="67" t="str">
        <f>IF(games!A632="", "", games!A632)</f>
        <v/>
      </c>
      <c r="C632" s="51" t="str">
        <f t="shared" si="40"/>
        <v/>
      </c>
      <c r="D632" s="51" t="str">
        <f t="shared" si="41"/>
        <v/>
      </c>
      <c r="E632" s="91" t="str">
        <f>IF(games!I632&lt;&gt;"", games!I632, "")</f>
        <v/>
      </c>
    </row>
    <row r="633" spans="1:5" ht="24.75" customHeight="1">
      <c r="A633" s="67" t="str">
        <f>IF(games!A633="", "", games!A633)</f>
        <v/>
      </c>
      <c r="C633" s="51" t="str">
        <f t="shared" si="40"/>
        <v/>
      </c>
      <c r="D633" s="51" t="str">
        <f t="shared" si="41"/>
        <v/>
      </c>
      <c r="E633" s="91" t="str">
        <f>IF(games!I633&lt;&gt;"", games!I633, "")</f>
        <v/>
      </c>
    </row>
    <row r="634" spans="1:5" ht="24.75" customHeight="1">
      <c r="A634" s="67" t="str">
        <f>IF(games!A634="", "", games!A634)</f>
        <v/>
      </c>
      <c r="C634" s="51" t="str">
        <f t="shared" si="40"/>
        <v/>
      </c>
      <c r="D634" s="51" t="str">
        <f t="shared" si="41"/>
        <v/>
      </c>
      <c r="E634" s="91" t="str">
        <f>IF(games!I634&lt;&gt;"", games!I634, "")</f>
        <v/>
      </c>
    </row>
    <row r="635" spans="1:5" ht="24.75" customHeight="1">
      <c r="A635" s="67" t="str">
        <f>IF(games!A635="", "", games!A635)</f>
        <v/>
      </c>
      <c r="C635" s="51" t="str">
        <f t="shared" si="40"/>
        <v/>
      </c>
      <c r="D635" s="51" t="str">
        <f t="shared" si="41"/>
        <v/>
      </c>
      <c r="E635" s="91" t="str">
        <f>IF(games!I635&lt;&gt;"", games!I635, "")</f>
        <v/>
      </c>
    </row>
    <row r="636" spans="1:5" ht="24.75" customHeight="1">
      <c r="A636" s="67" t="str">
        <f>IF(games!A636="", "", games!A636)</f>
        <v/>
      </c>
      <c r="C636" s="51" t="str">
        <f t="shared" si="40"/>
        <v/>
      </c>
      <c r="D636" s="51" t="str">
        <f t="shared" si="41"/>
        <v/>
      </c>
      <c r="E636" s="91" t="str">
        <f>IF(games!I636&lt;&gt;"", games!I636, "")</f>
        <v/>
      </c>
    </row>
    <row r="637" spans="1:5" ht="24.75" customHeight="1">
      <c r="A637" s="67" t="str">
        <f>IF(games!A637="", "", games!A637)</f>
        <v/>
      </c>
      <c r="C637" s="51" t="str">
        <f t="shared" si="40"/>
        <v/>
      </c>
      <c r="D637" s="51" t="str">
        <f t="shared" si="41"/>
        <v/>
      </c>
      <c r="E637" s="91" t="str">
        <f>IF(games!I637&lt;&gt;"", games!I637, "")</f>
        <v/>
      </c>
    </row>
    <row r="638" spans="1:5" ht="24.75" customHeight="1">
      <c r="A638" s="67" t="str">
        <f>IF(games!A638="", "", games!A638)</f>
        <v/>
      </c>
      <c r="C638" s="51" t="str">
        <f t="shared" si="40"/>
        <v/>
      </c>
      <c r="D638" s="51" t="str">
        <f t="shared" si="41"/>
        <v/>
      </c>
      <c r="E638" s="91" t="str">
        <f>IF(games!I638&lt;&gt;"", games!I638, "")</f>
        <v/>
      </c>
    </row>
    <row r="639" spans="1:5" ht="24.75" customHeight="1">
      <c r="A639" s="67" t="str">
        <f>IF(games!A639="", "", games!A639)</f>
        <v/>
      </c>
      <c r="C639" s="51" t="str">
        <f t="shared" si="40"/>
        <v/>
      </c>
      <c r="D639" s="51" t="str">
        <f t="shared" si="41"/>
        <v/>
      </c>
      <c r="E639" s="91" t="str">
        <f>IF(games!I639&lt;&gt;"", games!I639, "")</f>
        <v/>
      </c>
    </row>
    <row r="640" spans="1:5" ht="24.75" customHeight="1">
      <c r="A640" s="67" t="str">
        <f>IF(games!A640="", "", games!A640)</f>
        <v/>
      </c>
      <c r="C640" s="51" t="str">
        <f t="shared" si="40"/>
        <v/>
      </c>
      <c r="D640" s="51" t="str">
        <f t="shared" si="41"/>
        <v/>
      </c>
      <c r="E640" s="91" t="str">
        <f>IF(games!I640&lt;&gt;"", games!I640, "")</f>
        <v/>
      </c>
    </row>
    <row r="641" spans="1:5" ht="24.75" customHeight="1">
      <c r="A641" s="67" t="str">
        <f>IF(games!A641="", "", games!A641)</f>
        <v/>
      </c>
      <c r="C641" s="51" t="str">
        <f t="shared" si="40"/>
        <v/>
      </c>
      <c r="D641" s="51" t="str">
        <f t="shared" si="41"/>
        <v/>
      </c>
      <c r="E641" s="91" t="str">
        <f>IF(games!I641&lt;&gt;"", games!I641, "")</f>
        <v/>
      </c>
    </row>
    <row r="642" spans="1:5" ht="24.75" customHeight="1">
      <c r="A642" s="67" t="str">
        <f>IF(games!A642="", "", games!A642)</f>
        <v/>
      </c>
      <c r="C642" s="51" t="str">
        <f t="shared" si="40"/>
        <v/>
      </c>
      <c r="D642" s="51" t="str">
        <f t="shared" si="41"/>
        <v/>
      </c>
      <c r="E642" s="91" t="str">
        <f>IF(games!I642&lt;&gt;"", games!I642, "")</f>
        <v/>
      </c>
    </row>
    <row r="643" spans="1:5" ht="24.75" customHeight="1">
      <c r="A643" s="67" t="str">
        <f>IF(games!A643="", "", games!A643)</f>
        <v/>
      </c>
      <c r="C643" s="51" t="str">
        <f t="shared" ref="C643:C706" si="47">IF(A643="","", "giftcodesbanner/" &amp; A643 &amp; "-禮包碼.jpg")</f>
        <v/>
      </c>
      <c r="D643" s="51" t="str">
        <f t="shared" ref="D643:D706" si="48">IF(A643="","", "https://www.ssbuy.tw/gift-codes.html?game="&amp;A643)</f>
        <v/>
      </c>
      <c r="E643" s="91" t="str">
        <f>IF(games!I643&lt;&gt;"", games!I643, "")</f>
        <v/>
      </c>
    </row>
    <row r="644" spans="1:5" ht="24.75" customHeight="1">
      <c r="A644" s="67" t="str">
        <f>IF(games!A644="", "", games!A644)</f>
        <v/>
      </c>
      <c r="C644" s="51" t="str">
        <f t="shared" si="47"/>
        <v/>
      </c>
      <c r="D644" s="51" t="str">
        <f t="shared" si="48"/>
        <v/>
      </c>
      <c r="E644" s="91" t="str">
        <f>IF(games!I644&lt;&gt;"", games!I644, "")</f>
        <v/>
      </c>
    </row>
    <row r="645" spans="1:5" ht="24.75" customHeight="1">
      <c r="A645" s="67" t="str">
        <f>IF(games!A645="", "", games!A645)</f>
        <v/>
      </c>
      <c r="C645" s="51" t="str">
        <f t="shared" si="47"/>
        <v/>
      </c>
      <c r="D645" s="51" t="str">
        <f t="shared" si="48"/>
        <v/>
      </c>
      <c r="E645" s="91" t="str">
        <f>IF(games!I645&lt;&gt;"", games!I645, "")</f>
        <v/>
      </c>
    </row>
    <row r="646" spans="1:5" ht="24.75" customHeight="1">
      <c r="A646" s="67" t="str">
        <f>IF(games!A646="", "", games!A646)</f>
        <v/>
      </c>
      <c r="C646" s="51" t="str">
        <f t="shared" si="47"/>
        <v/>
      </c>
      <c r="D646" s="51" t="str">
        <f t="shared" si="48"/>
        <v/>
      </c>
      <c r="E646" s="91" t="str">
        <f>IF(games!I646&lt;&gt;"", games!I646, "")</f>
        <v/>
      </c>
    </row>
    <row r="647" spans="1:5" ht="24.75" customHeight="1">
      <c r="A647" s="67" t="str">
        <f>IF(games!A647="", "", games!A647)</f>
        <v/>
      </c>
      <c r="C647" s="51" t="str">
        <f t="shared" si="47"/>
        <v/>
      </c>
      <c r="D647" s="51" t="str">
        <f t="shared" si="48"/>
        <v/>
      </c>
      <c r="E647" s="91" t="str">
        <f>IF(games!I647&lt;&gt;"", games!I647, "")</f>
        <v/>
      </c>
    </row>
    <row r="648" spans="1:5" ht="24.75" customHeight="1">
      <c r="A648" s="67" t="str">
        <f>IF(games!A648="", "", games!A648)</f>
        <v/>
      </c>
      <c r="C648" s="51" t="str">
        <f t="shared" si="47"/>
        <v/>
      </c>
      <c r="D648" s="51" t="str">
        <f t="shared" si="48"/>
        <v/>
      </c>
      <c r="E648" s="91" t="str">
        <f>IF(games!I648&lt;&gt;"", games!I648, "")</f>
        <v/>
      </c>
    </row>
    <row r="649" spans="1:5" ht="24.75" customHeight="1">
      <c r="A649" s="67" t="str">
        <f>IF(games!A649="", "", games!A649)</f>
        <v/>
      </c>
      <c r="C649" s="51" t="str">
        <f t="shared" si="47"/>
        <v/>
      </c>
      <c r="D649" s="51" t="str">
        <f t="shared" si="48"/>
        <v/>
      </c>
      <c r="E649" s="91" t="str">
        <f>IF(games!I649&lt;&gt;"", games!I649, "")</f>
        <v/>
      </c>
    </row>
    <row r="650" spans="1:5" ht="24.75" customHeight="1">
      <c r="A650" s="67" t="str">
        <f>IF(games!A650="", "", games!A650)</f>
        <v/>
      </c>
      <c r="C650" s="51" t="str">
        <f t="shared" si="47"/>
        <v/>
      </c>
      <c r="D650" s="51" t="str">
        <f t="shared" si="48"/>
        <v/>
      </c>
      <c r="E650" s="91" t="str">
        <f>IF(games!I650&lt;&gt;"", games!I650, "")</f>
        <v/>
      </c>
    </row>
    <row r="651" spans="1:5" ht="24.75" customHeight="1">
      <c r="A651" s="67" t="str">
        <f>IF(games!A651="", "", games!A651)</f>
        <v/>
      </c>
      <c r="C651" s="51" t="str">
        <f t="shared" si="47"/>
        <v/>
      </c>
      <c r="D651" s="51" t="str">
        <f t="shared" si="48"/>
        <v/>
      </c>
      <c r="E651" s="91" t="str">
        <f>IF(games!I651&lt;&gt;"", games!I651, "")</f>
        <v/>
      </c>
    </row>
    <row r="652" spans="1:5" ht="24.75" customHeight="1">
      <c r="A652" s="67" t="str">
        <f>IF(games!A652="", "", games!A652)</f>
        <v/>
      </c>
      <c r="C652" s="51" t="str">
        <f t="shared" si="47"/>
        <v/>
      </c>
      <c r="D652" s="51" t="str">
        <f t="shared" si="48"/>
        <v/>
      </c>
      <c r="E652" s="91" t="str">
        <f>IF(games!I652&lt;&gt;"", games!I652, "")</f>
        <v/>
      </c>
    </row>
    <row r="653" spans="1:5" ht="24.75" customHeight="1">
      <c r="A653" s="67" t="str">
        <f>IF(games!A653="", "", games!A653)</f>
        <v/>
      </c>
      <c r="C653" s="51" t="str">
        <f t="shared" si="47"/>
        <v/>
      </c>
      <c r="D653" s="51" t="str">
        <f t="shared" si="48"/>
        <v/>
      </c>
      <c r="E653" s="91" t="str">
        <f>IF(games!I653&lt;&gt;"", games!I653, "")</f>
        <v/>
      </c>
    </row>
    <row r="654" spans="1:5" ht="24.75" customHeight="1">
      <c r="A654" s="67" t="str">
        <f>IF(games!A654="", "", games!A654)</f>
        <v/>
      </c>
      <c r="C654" s="51" t="str">
        <f t="shared" si="47"/>
        <v/>
      </c>
      <c r="D654" s="51" t="str">
        <f t="shared" si="48"/>
        <v/>
      </c>
      <c r="E654" s="91" t="str">
        <f>IF(games!I654&lt;&gt;"", games!I654, "")</f>
        <v/>
      </c>
    </row>
    <row r="655" spans="1:5" ht="24.75" customHeight="1">
      <c r="A655" s="67" t="str">
        <f>IF(games!A655="", "", games!A655)</f>
        <v/>
      </c>
      <c r="C655" s="51" t="str">
        <f t="shared" si="47"/>
        <v/>
      </c>
      <c r="D655" s="51" t="str">
        <f t="shared" si="48"/>
        <v/>
      </c>
      <c r="E655" s="91" t="str">
        <f>IF(games!I655&lt;&gt;"", games!I655, "")</f>
        <v/>
      </c>
    </row>
    <row r="656" spans="1:5" ht="24.75" customHeight="1">
      <c r="A656" s="67" t="str">
        <f>IF(games!A656="", "", games!A656)</f>
        <v/>
      </c>
      <c r="C656" s="51" t="str">
        <f t="shared" si="47"/>
        <v/>
      </c>
      <c r="D656" s="51" t="str">
        <f t="shared" si="48"/>
        <v/>
      </c>
      <c r="E656" s="91" t="str">
        <f>IF(games!I656&lt;&gt;"", games!I656, "")</f>
        <v/>
      </c>
    </row>
    <row r="657" spans="1:5" ht="24.75" customHeight="1">
      <c r="A657" s="67" t="str">
        <f>IF(games!A657="", "", games!A657)</f>
        <v/>
      </c>
      <c r="C657" s="51" t="str">
        <f t="shared" si="47"/>
        <v/>
      </c>
      <c r="D657" s="51" t="str">
        <f t="shared" si="48"/>
        <v/>
      </c>
      <c r="E657" s="91" t="str">
        <f>IF(games!I657&lt;&gt;"", games!I657, "")</f>
        <v/>
      </c>
    </row>
    <row r="658" spans="1:5" ht="24.75" customHeight="1">
      <c r="A658" s="67" t="str">
        <f>IF(games!A658="", "", games!A658)</f>
        <v/>
      </c>
      <c r="C658" s="51" t="str">
        <f t="shared" si="47"/>
        <v/>
      </c>
      <c r="D658" s="51" t="str">
        <f t="shared" si="48"/>
        <v/>
      </c>
      <c r="E658" s="91" t="str">
        <f>IF(games!I658&lt;&gt;"", games!I658, "")</f>
        <v/>
      </c>
    </row>
    <row r="659" spans="1:5" ht="24.75" customHeight="1">
      <c r="A659" s="67" t="str">
        <f>IF(games!A659="", "", games!A659)</f>
        <v/>
      </c>
      <c r="C659" s="51" t="str">
        <f t="shared" si="47"/>
        <v/>
      </c>
      <c r="D659" s="51" t="str">
        <f t="shared" si="48"/>
        <v/>
      </c>
      <c r="E659" s="91" t="str">
        <f>IF(games!I659&lt;&gt;"", games!I659, "")</f>
        <v/>
      </c>
    </row>
    <row r="660" spans="1:5" ht="24.75" customHeight="1">
      <c r="A660" s="67" t="str">
        <f>IF(games!A660="", "", games!A660)</f>
        <v/>
      </c>
      <c r="C660" s="51" t="str">
        <f t="shared" si="47"/>
        <v/>
      </c>
      <c r="D660" s="51" t="str">
        <f t="shared" si="48"/>
        <v/>
      </c>
      <c r="E660" s="91" t="str">
        <f>IF(games!I660&lt;&gt;"", games!I660, "")</f>
        <v/>
      </c>
    </row>
    <row r="661" spans="1:5" ht="24.75" customHeight="1">
      <c r="A661" s="67" t="str">
        <f>IF(games!A661="", "", games!A661)</f>
        <v/>
      </c>
      <c r="C661" s="51" t="str">
        <f t="shared" si="47"/>
        <v/>
      </c>
      <c r="D661" s="51" t="str">
        <f t="shared" si="48"/>
        <v/>
      </c>
      <c r="E661" s="91" t="str">
        <f>IF(games!I661&lt;&gt;"", games!I661, "")</f>
        <v/>
      </c>
    </row>
    <row r="662" spans="1:5" ht="24.75" customHeight="1">
      <c r="A662" s="67" t="str">
        <f>IF(games!A662="", "", games!A662)</f>
        <v/>
      </c>
      <c r="C662" s="51" t="str">
        <f t="shared" si="47"/>
        <v/>
      </c>
      <c r="D662" s="51" t="str">
        <f t="shared" si="48"/>
        <v/>
      </c>
      <c r="E662" s="91" t="str">
        <f>IF(games!I662&lt;&gt;"", games!I662, "")</f>
        <v/>
      </c>
    </row>
    <row r="663" spans="1:5" ht="24.75" customHeight="1">
      <c r="A663" s="67" t="str">
        <f>IF(games!A663="", "", games!A663)</f>
        <v/>
      </c>
      <c r="C663" s="51" t="str">
        <f t="shared" si="47"/>
        <v/>
      </c>
      <c r="D663" s="51" t="str">
        <f t="shared" si="48"/>
        <v/>
      </c>
      <c r="E663" s="91" t="str">
        <f>IF(games!I663&lt;&gt;"", games!I663, "")</f>
        <v/>
      </c>
    </row>
    <row r="664" spans="1:5" ht="24.75" customHeight="1">
      <c r="A664" s="67" t="str">
        <f>IF(games!A664="", "", games!A664)</f>
        <v/>
      </c>
      <c r="C664" s="51" t="str">
        <f t="shared" si="47"/>
        <v/>
      </c>
      <c r="D664" s="51" t="str">
        <f t="shared" si="48"/>
        <v/>
      </c>
      <c r="E664" s="91" t="str">
        <f>IF(games!I664&lt;&gt;"", games!I664, "")</f>
        <v/>
      </c>
    </row>
    <row r="665" spans="1:5" ht="24.75" customHeight="1">
      <c r="A665" s="67" t="str">
        <f>IF(games!A665="", "", games!A665)</f>
        <v/>
      </c>
      <c r="C665" s="51" t="str">
        <f t="shared" si="47"/>
        <v/>
      </c>
      <c r="D665" s="51" t="str">
        <f t="shared" si="48"/>
        <v/>
      </c>
      <c r="E665" s="91" t="str">
        <f>IF(games!I665&lt;&gt;"", games!I665, "")</f>
        <v/>
      </c>
    </row>
    <row r="666" spans="1:5" ht="24.75" customHeight="1">
      <c r="A666" s="67" t="str">
        <f>IF(games!A666="", "", games!A666)</f>
        <v/>
      </c>
      <c r="C666" s="51" t="str">
        <f t="shared" si="47"/>
        <v/>
      </c>
      <c r="D666" s="51" t="str">
        <f t="shared" si="48"/>
        <v/>
      </c>
      <c r="E666" s="91" t="str">
        <f>IF(games!I666&lt;&gt;"", games!I666, "")</f>
        <v/>
      </c>
    </row>
    <row r="667" spans="1:5" ht="24.75" customHeight="1">
      <c r="A667" s="67" t="str">
        <f>IF(games!A667="", "", games!A667)</f>
        <v/>
      </c>
      <c r="C667" s="51" t="str">
        <f t="shared" si="47"/>
        <v/>
      </c>
      <c r="D667" s="51" t="str">
        <f t="shared" si="48"/>
        <v/>
      </c>
      <c r="E667" s="91" t="str">
        <f>IF(games!I667&lt;&gt;"", games!I667, "")</f>
        <v/>
      </c>
    </row>
    <row r="668" spans="1:5" ht="24.75" customHeight="1">
      <c r="A668" s="67" t="str">
        <f>IF(games!A668="", "", games!A668)</f>
        <v/>
      </c>
      <c r="C668" s="51" t="str">
        <f t="shared" si="47"/>
        <v/>
      </c>
      <c r="D668" s="51" t="str">
        <f t="shared" si="48"/>
        <v/>
      </c>
      <c r="E668" s="91" t="str">
        <f>IF(games!I668&lt;&gt;"", games!I668, "")</f>
        <v/>
      </c>
    </row>
    <row r="669" spans="1:5" ht="24.75" customHeight="1">
      <c r="A669" s="67" t="str">
        <f>IF(games!A669="", "", games!A669)</f>
        <v/>
      </c>
      <c r="C669" s="51" t="str">
        <f t="shared" si="47"/>
        <v/>
      </c>
      <c r="D669" s="51" t="str">
        <f t="shared" si="48"/>
        <v/>
      </c>
      <c r="E669" s="91" t="str">
        <f>IF(games!I669&lt;&gt;"", games!I669, "")</f>
        <v/>
      </c>
    </row>
    <row r="670" spans="1:5" ht="24.75" customHeight="1">
      <c r="A670" s="67" t="str">
        <f>IF(games!A670="", "", games!A670)</f>
        <v/>
      </c>
      <c r="C670" s="51" t="str">
        <f t="shared" si="47"/>
        <v/>
      </c>
      <c r="D670" s="51" t="str">
        <f t="shared" si="48"/>
        <v/>
      </c>
      <c r="E670" s="91" t="str">
        <f>IF(games!I670&lt;&gt;"", games!I670, "")</f>
        <v/>
      </c>
    </row>
    <row r="671" spans="1:5" ht="24.75" customHeight="1">
      <c r="A671" s="67" t="str">
        <f>IF(games!A671="", "", games!A671)</f>
        <v/>
      </c>
      <c r="C671" s="51" t="str">
        <f t="shared" si="47"/>
        <v/>
      </c>
      <c r="D671" s="51" t="str">
        <f t="shared" si="48"/>
        <v/>
      </c>
      <c r="E671" s="91" t="str">
        <f>IF(games!I671&lt;&gt;"", games!I671, "")</f>
        <v/>
      </c>
    </row>
    <row r="672" spans="1:5" ht="24.75" customHeight="1">
      <c r="A672" s="67" t="str">
        <f>IF(games!A672="", "", games!A672)</f>
        <v/>
      </c>
      <c r="C672" s="51" t="str">
        <f t="shared" si="47"/>
        <v/>
      </c>
      <c r="D672" s="51" t="str">
        <f t="shared" si="48"/>
        <v/>
      </c>
      <c r="E672" s="91" t="str">
        <f>IF(games!I672&lt;&gt;"", games!I672, "")</f>
        <v/>
      </c>
    </row>
    <row r="673" spans="1:5" ht="24.75" customHeight="1">
      <c r="A673" s="67" t="str">
        <f>IF(games!A673="", "", games!A673)</f>
        <v/>
      </c>
      <c r="C673" s="51" t="str">
        <f t="shared" si="47"/>
        <v/>
      </c>
      <c r="D673" s="51" t="str">
        <f t="shared" si="48"/>
        <v/>
      </c>
      <c r="E673" s="91" t="str">
        <f>IF(games!I673&lt;&gt;"", games!I673, "")</f>
        <v/>
      </c>
    </row>
    <row r="674" spans="1:5" ht="24.75" customHeight="1">
      <c r="A674" s="67" t="str">
        <f>IF(games!A674="", "", games!A674)</f>
        <v/>
      </c>
      <c r="C674" s="51" t="str">
        <f t="shared" si="47"/>
        <v/>
      </c>
      <c r="D674" s="51" t="str">
        <f t="shared" si="48"/>
        <v/>
      </c>
      <c r="E674" s="91" t="str">
        <f>IF(games!I674&lt;&gt;"", games!I674, "")</f>
        <v/>
      </c>
    </row>
    <row r="675" spans="1:5" ht="24.75" customHeight="1">
      <c r="A675" s="67" t="str">
        <f>IF(games!A675="", "", games!A675)</f>
        <v/>
      </c>
      <c r="C675" s="51" t="str">
        <f t="shared" si="47"/>
        <v/>
      </c>
      <c r="D675" s="51" t="str">
        <f t="shared" si="48"/>
        <v/>
      </c>
      <c r="E675" s="91" t="str">
        <f>IF(games!I675&lt;&gt;"", games!I675, "")</f>
        <v/>
      </c>
    </row>
    <row r="676" spans="1:5" ht="24.75" customHeight="1">
      <c r="A676" s="67" t="str">
        <f>IF(games!A676="", "", games!A676)</f>
        <v/>
      </c>
      <c r="C676" s="51" t="str">
        <f t="shared" si="47"/>
        <v/>
      </c>
      <c r="D676" s="51" t="str">
        <f t="shared" si="48"/>
        <v/>
      </c>
      <c r="E676" s="91" t="str">
        <f>IF(games!I676&lt;&gt;"", games!I676, "")</f>
        <v/>
      </c>
    </row>
    <row r="677" spans="1:5" ht="24.75" customHeight="1">
      <c r="A677" s="67" t="str">
        <f>IF(games!A677="", "", games!A677)</f>
        <v/>
      </c>
      <c r="C677" s="51" t="str">
        <f t="shared" si="47"/>
        <v/>
      </c>
      <c r="D677" s="51" t="str">
        <f t="shared" si="48"/>
        <v/>
      </c>
      <c r="E677" s="91" t="str">
        <f>IF(games!I677&lt;&gt;"", games!I677, "")</f>
        <v/>
      </c>
    </row>
    <row r="678" spans="1:5" ht="24.75" customHeight="1">
      <c r="A678" s="67" t="str">
        <f>IF(games!A678="", "", games!A678)</f>
        <v/>
      </c>
      <c r="C678" s="51" t="str">
        <f t="shared" si="47"/>
        <v/>
      </c>
      <c r="D678" s="51" t="str">
        <f t="shared" si="48"/>
        <v/>
      </c>
      <c r="E678" s="91" t="str">
        <f>IF(games!I678&lt;&gt;"", games!I678, "")</f>
        <v/>
      </c>
    </row>
    <row r="679" spans="1:5" ht="24.75" customHeight="1">
      <c r="A679" s="67" t="str">
        <f>IF(games!A679="", "", games!A679)</f>
        <v/>
      </c>
      <c r="C679" s="51" t="str">
        <f t="shared" si="47"/>
        <v/>
      </c>
      <c r="D679" s="51" t="str">
        <f t="shared" si="48"/>
        <v/>
      </c>
      <c r="E679" s="91" t="str">
        <f>IF(games!I679&lt;&gt;"", games!I679, "")</f>
        <v/>
      </c>
    </row>
    <row r="680" spans="1:5" ht="24.75" customHeight="1">
      <c r="A680" s="67" t="str">
        <f>IF(games!A680="", "", games!A680)</f>
        <v/>
      </c>
      <c r="C680" s="51" t="str">
        <f t="shared" si="47"/>
        <v/>
      </c>
      <c r="D680" s="51" t="str">
        <f t="shared" si="48"/>
        <v/>
      </c>
      <c r="E680" s="91" t="str">
        <f>IF(games!I680&lt;&gt;"", games!I680, "")</f>
        <v/>
      </c>
    </row>
    <row r="681" spans="1:5" ht="24.75" customHeight="1">
      <c r="A681" s="67" t="str">
        <f>IF(games!A681="", "", games!A681)</f>
        <v/>
      </c>
      <c r="C681" s="51" t="str">
        <f t="shared" si="47"/>
        <v/>
      </c>
      <c r="D681" s="51" t="str">
        <f t="shared" si="48"/>
        <v/>
      </c>
      <c r="E681" s="91" t="str">
        <f>IF(games!I681&lt;&gt;"", games!I681, "")</f>
        <v/>
      </c>
    </row>
    <row r="682" spans="1:5" ht="24.75" customHeight="1">
      <c r="A682" s="67" t="str">
        <f>IF(games!A682="", "", games!A682)</f>
        <v/>
      </c>
      <c r="C682" s="51" t="str">
        <f t="shared" si="47"/>
        <v/>
      </c>
      <c r="D682" s="51" t="str">
        <f t="shared" si="48"/>
        <v/>
      </c>
      <c r="E682" s="91" t="str">
        <f>IF(games!I682&lt;&gt;"", games!I682, "")</f>
        <v/>
      </c>
    </row>
    <row r="683" spans="1:5" ht="24.75" customHeight="1">
      <c r="A683" s="67" t="str">
        <f>IF(games!A683="", "", games!A683)</f>
        <v/>
      </c>
      <c r="C683" s="51" t="str">
        <f t="shared" si="47"/>
        <v/>
      </c>
      <c r="D683" s="51" t="str">
        <f t="shared" si="48"/>
        <v/>
      </c>
      <c r="E683" s="91" t="str">
        <f>IF(games!I683&lt;&gt;"", games!I683, "")</f>
        <v/>
      </c>
    </row>
    <row r="684" spans="1:5" ht="24.75" customHeight="1">
      <c r="A684" s="67" t="str">
        <f>IF(games!A684="", "", games!A684)</f>
        <v/>
      </c>
      <c r="C684" s="51" t="str">
        <f t="shared" si="47"/>
        <v/>
      </c>
      <c r="D684" s="51" t="str">
        <f t="shared" si="48"/>
        <v/>
      </c>
      <c r="E684" s="91" t="str">
        <f>IF(games!I684&lt;&gt;"", games!I684, "")</f>
        <v/>
      </c>
    </row>
    <row r="685" spans="1:5" ht="24.75" customHeight="1">
      <c r="A685" s="67" t="str">
        <f>IF(games!A685="", "", games!A685)</f>
        <v/>
      </c>
      <c r="C685" s="51" t="str">
        <f t="shared" si="47"/>
        <v/>
      </c>
      <c r="D685" s="51" t="str">
        <f t="shared" si="48"/>
        <v/>
      </c>
      <c r="E685" s="91" t="str">
        <f>IF(games!I685&lt;&gt;"", games!I685, "")</f>
        <v/>
      </c>
    </row>
    <row r="686" spans="1:5" ht="24.75" customHeight="1">
      <c r="A686" s="67" t="str">
        <f>IF(games!A686="", "", games!A686)</f>
        <v/>
      </c>
      <c r="C686" s="51" t="str">
        <f t="shared" si="47"/>
        <v/>
      </c>
      <c r="D686" s="51" t="str">
        <f t="shared" si="48"/>
        <v/>
      </c>
      <c r="E686" s="91" t="str">
        <f>IF(games!I686&lt;&gt;"", games!I686, "")</f>
        <v/>
      </c>
    </row>
    <row r="687" spans="1:5" ht="24.75" customHeight="1">
      <c r="A687" s="67" t="str">
        <f>IF(games!A687="", "", games!A687)</f>
        <v/>
      </c>
      <c r="C687" s="51" t="str">
        <f t="shared" si="47"/>
        <v/>
      </c>
      <c r="D687" s="51" t="str">
        <f t="shared" si="48"/>
        <v/>
      </c>
      <c r="E687" s="91" t="str">
        <f>IF(games!I687&lt;&gt;"", games!I687, "")</f>
        <v/>
      </c>
    </row>
    <row r="688" spans="1:5" ht="24.75" customHeight="1">
      <c r="A688" s="67" t="str">
        <f>IF(games!A688="", "", games!A688)</f>
        <v/>
      </c>
      <c r="C688" s="51" t="str">
        <f t="shared" si="47"/>
        <v/>
      </c>
      <c r="D688" s="51" t="str">
        <f t="shared" si="48"/>
        <v/>
      </c>
      <c r="E688" s="91" t="str">
        <f>IF(games!I688&lt;&gt;"", games!I688, "")</f>
        <v/>
      </c>
    </row>
    <row r="689" spans="1:5" ht="24.75" customHeight="1">
      <c r="A689" s="67" t="str">
        <f>IF(games!A689="", "", games!A689)</f>
        <v/>
      </c>
      <c r="C689" s="51" t="str">
        <f t="shared" si="47"/>
        <v/>
      </c>
      <c r="D689" s="51" t="str">
        <f t="shared" si="48"/>
        <v/>
      </c>
      <c r="E689" s="91" t="str">
        <f>IF(games!I689&lt;&gt;"", games!I689, "")</f>
        <v/>
      </c>
    </row>
    <row r="690" spans="1:5" ht="24.75" customHeight="1">
      <c r="A690" s="67" t="str">
        <f>IF(games!A690="", "", games!A690)</f>
        <v/>
      </c>
      <c r="C690" s="51" t="str">
        <f t="shared" si="47"/>
        <v/>
      </c>
      <c r="D690" s="51" t="str">
        <f t="shared" si="48"/>
        <v/>
      </c>
      <c r="E690" s="91" t="str">
        <f>IF(games!I690&lt;&gt;"", games!I690, "")</f>
        <v/>
      </c>
    </row>
    <row r="691" spans="1:5" ht="24.75" customHeight="1">
      <c r="A691" s="67" t="str">
        <f>IF(games!A691="", "", games!A691)</f>
        <v/>
      </c>
      <c r="C691" s="51" t="str">
        <f t="shared" si="47"/>
        <v/>
      </c>
      <c r="D691" s="51" t="str">
        <f t="shared" si="48"/>
        <v/>
      </c>
      <c r="E691" s="91" t="str">
        <f>IF(games!I691&lt;&gt;"", games!I691, "")</f>
        <v/>
      </c>
    </row>
    <row r="692" spans="1:5" ht="24.75" customHeight="1">
      <c r="A692" s="67" t="str">
        <f>IF(games!A692="", "", games!A692)</f>
        <v/>
      </c>
      <c r="C692" s="51" t="str">
        <f t="shared" si="47"/>
        <v/>
      </c>
      <c r="D692" s="51" t="str">
        <f t="shared" si="48"/>
        <v/>
      </c>
      <c r="E692" s="91" t="str">
        <f>IF(games!I692&lt;&gt;"", games!I692, "")</f>
        <v/>
      </c>
    </row>
    <row r="693" spans="1:5" ht="24.75" customHeight="1">
      <c r="A693" s="67" t="str">
        <f>IF(games!A693="", "", games!A693)</f>
        <v/>
      </c>
      <c r="C693" s="51" t="str">
        <f t="shared" si="47"/>
        <v/>
      </c>
      <c r="D693" s="51" t="str">
        <f t="shared" si="48"/>
        <v/>
      </c>
      <c r="E693" s="91" t="str">
        <f>IF(games!I693&lt;&gt;"", games!I693, "")</f>
        <v/>
      </c>
    </row>
    <row r="694" spans="1:5" ht="24.75" customHeight="1">
      <c r="A694" s="67" t="str">
        <f>IF(games!A694="", "", games!A694)</f>
        <v/>
      </c>
      <c r="C694" s="51" t="str">
        <f t="shared" si="47"/>
        <v/>
      </c>
      <c r="D694" s="51" t="str">
        <f t="shared" si="48"/>
        <v/>
      </c>
      <c r="E694" s="91" t="str">
        <f>IF(games!I694&lt;&gt;"", games!I694, "")</f>
        <v/>
      </c>
    </row>
    <row r="695" spans="1:5" ht="24.75" customHeight="1">
      <c r="A695" s="67" t="str">
        <f>IF(games!A695="", "", games!A695)</f>
        <v/>
      </c>
      <c r="C695" s="51" t="str">
        <f t="shared" si="47"/>
        <v/>
      </c>
      <c r="D695" s="51" t="str">
        <f t="shared" si="48"/>
        <v/>
      </c>
      <c r="E695" s="91" t="str">
        <f>IF(games!I695&lt;&gt;"", games!I695, "")</f>
        <v/>
      </c>
    </row>
    <row r="696" spans="1:5" ht="24.75" customHeight="1">
      <c r="A696" s="67" t="str">
        <f>IF(games!A696="", "", games!A696)</f>
        <v/>
      </c>
      <c r="C696" s="51" t="str">
        <f t="shared" si="47"/>
        <v/>
      </c>
      <c r="D696" s="51" t="str">
        <f t="shared" si="48"/>
        <v/>
      </c>
      <c r="E696" s="91" t="str">
        <f>IF(games!I696&lt;&gt;"", games!I696, "")</f>
        <v/>
      </c>
    </row>
    <row r="697" spans="1:5" ht="24.75" customHeight="1">
      <c r="A697" s="67" t="str">
        <f>IF(games!A697="", "", games!A697)</f>
        <v/>
      </c>
      <c r="C697" s="51" t="str">
        <f t="shared" si="47"/>
        <v/>
      </c>
      <c r="D697" s="51" t="str">
        <f t="shared" si="48"/>
        <v/>
      </c>
      <c r="E697" s="91" t="str">
        <f>IF(games!I697&lt;&gt;"", games!I697, "")</f>
        <v/>
      </c>
    </row>
    <row r="698" spans="1:5" ht="24.75" customHeight="1">
      <c r="A698" s="67" t="str">
        <f>IF(games!A698="", "", games!A698)</f>
        <v/>
      </c>
      <c r="C698" s="51" t="str">
        <f t="shared" si="47"/>
        <v/>
      </c>
      <c r="D698" s="51" t="str">
        <f t="shared" si="48"/>
        <v/>
      </c>
      <c r="E698" s="91" t="str">
        <f>IF(games!I698&lt;&gt;"", games!I698, "")</f>
        <v/>
      </c>
    </row>
    <row r="699" spans="1:5" ht="24.75" customHeight="1">
      <c r="A699" s="67" t="str">
        <f>IF(games!A699="", "", games!A699)</f>
        <v/>
      </c>
      <c r="C699" s="51" t="str">
        <f t="shared" si="47"/>
        <v/>
      </c>
      <c r="D699" s="51" t="str">
        <f t="shared" si="48"/>
        <v/>
      </c>
      <c r="E699" s="91" t="str">
        <f>IF(games!I699&lt;&gt;"", games!I699, "")</f>
        <v/>
      </c>
    </row>
    <row r="700" spans="1:5" ht="24.75" customHeight="1">
      <c r="A700" s="67" t="str">
        <f>IF(games!A700="", "", games!A700)</f>
        <v/>
      </c>
      <c r="C700" s="51" t="str">
        <f t="shared" si="47"/>
        <v/>
      </c>
      <c r="D700" s="51" t="str">
        <f t="shared" si="48"/>
        <v/>
      </c>
      <c r="E700" s="91" t="str">
        <f>IF(games!I700&lt;&gt;"", games!I700, "")</f>
        <v/>
      </c>
    </row>
    <row r="701" spans="1:5" ht="24.75" customHeight="1">
      <c r="A701" s="67" t="str">
        <f>IF(games!A701="", "", games!A701)</f>
        <v/>
      </c>
      <c r="C701" s="51" t="str">
        <f t="shared" si="47"/>
        <v/>
      </c>
      <c r="D701" s="51" t="str">
        <f t="shared" si="48"/>
        <v/>
      </c>
      <c r="E701" s="91" t="str">
        <f>IF(games!I701&lt;&gt;"", games!I701, "")</f>
        <v/>
      </c>
    </row>
    <row r="702" spans="1:5" ht="24.75" customHeight="1">
      <c r="A702" s="67" t="str">
        <f>IF(games!A702="", "", games!A702)</f>
        <v/>
      </c>
      <c r="C702" s="51" t="str">
        <f t="shared" si="47"/>
        <v/>
      </c>
      <c r="D702" s="51" t="str">
        <f t="shared" si="48"/>
        <v/>
      </c>
      <c r="E702" s="91" t="str">
        <f>IF(games!I702&lt;&gt;"", games!I702, "")</f>
        <v/>
      </c>
    </row>
    <row r="703" spans="1:5" ht="24.75" customHeight="1">
      <c r="A703" s="67" t="str">
        <f>IF(games!A703="", "", games!A703)</f>
        <v/>
      </c>
      <c r="C703" s="51" t="str">
        <f t="shared" si="47"/>
        <v/>
      </c>
      <c r="D703" s="51" t="str">
        <f t="shared" si="48"/>
        <v/>
      </c>
      <c r="E703" s="91" t="str">
        <f>IF(games!I703&lt;&gt;"", games!I703, "")</f>
        <v/>
      </c>
    </row>
    <row r="704" spans="1:5" ht="24.75" customHeight="1">
      <c r="A704" s="67" t="str">
        <f>IF(games!A704="", "", games!A704)</f>
        <v/>
      </c>
      <c r="C704" s="51" t="str">
        <f t="shared" si="47"/>
        <v/>
      </c>
      <c r="D704" s="51" t="str">
        <f t="shared" si="48"/>
        <v/>
      </c>
      <c r="E704" s="91" t="str">
        <f>IF(games!I704&lt;&gt;"", games!I704, "")</f>
        <v/>
      </c>
    </row>
    <row r="705" spans="1:5" ht="24.75" customHeight="1">
      <c r="A705" s="67" t="str">
        <f>IF(games!A705="", "", games!A705)</f>
        <v/>
      </c>
      <c r="C705" s="51" t="str">
        <f t="shared" si="47"/>
        <v/>
      </c>
      <c r="D705" s="51" t="str">
        <f t="shared" si="48"/>
        <v/>
      </c>
      <c r="E705" s="91" t="str">
        <f>IF(games!I705&lt;&gt;"", games!I705, "")</f>
        <v/>
      </c>
    </row>
    <row r="706" spans="1:5" ht="24.75" customHeight="1">
      <c r="A706" s="67" t="str">
        <f>IF(games!A706="", "", games!A706)</f>
        <v/>
      </c>
      <c r="C706" s="51" t="str">
        <f t="shared" si="47"/>
        <v/>
      </c>
      <c r="D706" s="51" t="str">
        <f t="shared" si="48"/>
        <v/>
      </c>
      <c r="E706" s="91" t="str">
        <f>IF(games!I706&lt;&gt;"", games!I706, "")</f>
        <v/>
      </c>
    </row>
    <row r="707" spans="1:5" ht="24.75" customHeight="1">
      <c r="A707" s="67" t="str">
        <f>IF(games!A707="", "", games!A707)</f>
        <v/>
      </c>
      <c r="C707" s="51" t="str">
        <f t="shared" ref="C707:C725" si="49">IF(A707="","", "giftcodesbanner/" &amp; A707 &amp; "-禮包碼.jpg")</f>
        <v/>
      </c>
      <c r="D707" s="51" t="str">
        <f t="shared" ref="D707:D725" si="50">IF(A707="","", "https://www.ssbuy.tw/gift-codes.html?game="&amp;A707)</f>
        <v/>
      </c>
      <c r="E707" s="91" t="str">
        <f>IF(games!I707&lt;&gt;"", games!I707, "")</f>
        <v/>
      </c>
    </row>
    <row r="708" spans="1:5" ht="24.75" customHeight="1">
      <c r="C708" s="51" t="str">
        <f t="shared" si="49"/>
        <v/>
      </c>
      <c r="D708" s="51" t="str">
        <f t="shared" si="50"/>
        <v/>
      </c>
      <c r="E708" s="91" t="str">
        <f>IF(games!I708&lt;&gt;"", games!I708, "")</f>
        <v/>
      </c>
    </row>
    <row r="709" spans="1:5" ht="24.75" customHeight="1">
      <c r="C709" s="51" t="str">
        <f t="shared" si="49"/>
        <v/>
      </c>
      <c r="D709" s="51" t="str">
        <f t="shared" si="50"/>
        <v/>
      </c>
      <c r="E709" s="91" t="str">
        <f>IF(games!I709&lt;&gt;"", games!I709, "")</f>
        <v/>
      </c>
    </row>
    <row r="710" spans="1:5" ht="24.75" customHeight="1">
      <c r="C710" s="51" t="str">
        <f t="shared" si="49"/>
        <v/>
      </c>
      <c r="D710" s="51" t="str">
        <f t="shared" si="50"/>
        <v/>
      </c>
      <c r="E710" s="91" t="str">
        <f>IF(games!I710&lt;&gt;"", games!I710, "")</f>
        <v/>
      </c>
    </row>
    <row r="711" spans="1:5" ht="24.75" customHeight="1">
      <c r="C711" s="51" t="str">
        <f t="shared" si="49"/>
        <v/>
      </c>
      <c r="D711" s="51" t="str">
        <f t="shared" si="50"/>
        <v/>
      </c>
      <c r="E711" s="91" t="str">
        <f>IF(games!I711&lt;&gt;"", games!I711, "")</f>
        <v/>
      </c>
    </row>
    <row r="712" spans="1:5" ht="24.75" customHeight="1">
      <c r="C712" s="51" t="str">
        <f t="shared" si="49"/>
        <v/>
      </c>
      <c r="D712" s="51" t="str">
        <f t="shared" si="50"/>
        <v/>
      </c>
      <c r="E712" s="91" t="str">
        <f>IF(games!I712&lt;&gt;"", games!I712, "")</f>
        <v/>
      </c>
    </row>
    <row r="713" spans="1:5" ht="24.75" customHeight="1">
      <c r="C713" s="51" t="str">
        <f t="shared" si="49"/>
        <v/>
      </c>
      <c r="D713" s="51" t="str">
        <f t="shared" si="50"/>
        <v/>
      </c>
      <c r="E713" s="91" t="str">
        <f>IF(games!I713&lt;&gt;"", games!I713, "")</f>
        <v/>
      </c>
    </row>
    <row r="714" spans="1:5" ht="24.75" customHeight="1">
      <c r="C714" s="51" t="str">
        <f t="shared" si="49"/>
        <v/>
      </c>
      <c r="D714" s="51" t="str">
        <f t="shared" si="50"/>
        <v/>
      </c>
      <c r="E714" s="91" t="str">
        <f>IF(games!I714&lt;&gt;"", games!I714, "")</f>
        <v/>
      </c>
    </row>
    <row r="715" spans="1:5" ht="24.75" customHeight="1">
      <c r="C715" s="51" t="str">
        <f t="shared" si="49"/>
        <v/>
      </c>
      <c r="D715" s="51" t="str">
        <f t="shared" si="50"/>
        <v/>
      </c>
      <c r="E715" s="91" t="str">
        <f>IF(games!I715&lt;&gt;"", games!I715, "")</f>
        <v/>
      </c>
    </row>
    <row r="716" spans="1:5" ht="24.75" customHeight="1">
      <c r="C716" s="51" t="str">
        <f t="shared" si="49"/>
        <v/>
      </c>
      <c r="D716" s="51" t="str">
        <f t="shared" si="50"/>
        <v/>
      </c>
      <c r="E716" s="91" t="str">
        <f>IF(games!I716&lt;&gt;"", games!I716, "")</f>
        <v/>
      </c>
    </row>
    <row r="717" spans="1:5" ht="24.75" customHeight="1">
      <c r="C717" s="51" t="str">
        <f t="shared" si="49"/>
        <v/>
      </c>
      <c r="D717" s="51" t="str">
        <f t="shared" si="50"/>
        <v/>
      </c>
      <c r="E717" s="91" t="str">
        <f>IF(games!I717&lt;&gt;"", games!I717, "")</f>
        <v/>
      </c>
    </row>
    <row r="718" spans="1:5" ht="24.75" customHeight="1">
      <c r="C718" s="51" t="str">
        <f t="shared" si="49"/>
        <v/>
      </c>
      <c r="D718" s="51" t="str">
        <f t="shared" si="50"/>
        <v/>
      </c>
      <c r="E718" s="91" t="str">
        <f>IF(games!I718&lt;&gt;"", games!I718, "")</f>
        <v/>
      </c>
    </row>
    <row r="719" spans="1:5" ht="24.75" customHeight="1">
      <c r="C719" s="51" t="str">
        <f t="shared" si="49"/>
        <v/>
      </c>
      <c r="D719" s="51" t="str">
        <f t="shared" si="50"/>
        <v/>
      </c>
      <c r="E719" s="91" t="str">
        <f>IF(games!I719&lt;&gt;"", games!I719, "")</f>
        <v/>
      </c>
    </row>
    <row r="720" spans="1:5" ht="24.75" customHeight="1">
      <c r="C720" s="51" t="str">
        <f t="shared" si="49"/>
        <v/>
      </c>
      <c r="D720" s="51" t="str">
        <f t="shared" si="50"/>
        <v/>
      </c>
      <c r="E720" s="91" t="str">
        <f>IF(games!I720&lt;&gt;"", games!I720, "")</f>
        <v/>
      </c>
    </row>
    <row r="721" spans="3:5" ht="24.75" customHeight="1">
      <c r="C721" s="51" t="str">
        <f t="shared" si="49"/>
        <v/>
      </c>
      <c r="D721" s="51" t="str">
        <f t="shared" si="50"/>
        <v/>
      </c>
      <c r="E721" s="91" t="str">
        <f>IF(games!I721&lt;&gt;"", games!I721, "")</f>
        <v/>
      </c>
    </row>
    <row r="722" spans="3:5" ht="24.75" customHeight="1">
      <c r="C722" s="51" t="str">
        <f t="shared" si="49"/>
        <v/>
      </c>
      <c r="D722" s="51" t="str">
        <f t="shared" si="50"/>
        <v/>
      </c>
      <c r="E722" s="91" t="str">
        <f>IF(games!I722&lt;&gt;"", games!I722, "")</f>
        <v/>
      </c>
    </row>
    <row r="723" spans="3:5" ht="24.75" customHeight="1">
      <c r="C723" s="51" t="str">
        <f t="shared" si="49"/>
        <v/>
      </c>
      <c r="D723" s="51" t="str">
        <f t="shared" si="50"/>
        <v/>
      </c>
      <c r="E723" s="91" t="str">
        <f>IF(games!I723&lt;&gt;"", games!I723, "")</f>
        <v/>
      </c>
    </row>
    <row r="724" spans="3:5" ht="24.75" customHeight="1">
      <c r="C724" s="51" t="str">
        <f t="shared" si="49"/>
        <v/>
      </c>
      <c r="D724" s="51" t="str">
        <f t="shared" si="50"/>
        <v/>
      </c>
      <c r="E724" s="91" t="str">
        <f>IF(games!I724&lt;&gt;"", games!I724, "")</f>
        <v/>
      </c>
    </row>
    <row r="725" spans="3:5" ht="24.75" customHeight="1">
      <c r="C725" s="51" t="str">
        <f t="shared" si="49"/>
        <v/>
      </c>
      <c r="D725" s="51" t="str">
        <f t="shared" si="50"/>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 ref="K612" r:id="rId353"/>
    <hyperlink ref="K613" r:id="rId354"/>
    <hyperlink ref="K615" r:id="rId355"/>
    <hyperlink ref="K614" r:id="rId356"/>
    <hyperlink ref="K616" r:id="rId357"/>
    <hyperlink ref="K617" r:id="rId358"/>
    <hyperlink ref="K618" r:id="rId359"/>
    <hyperlink ref="K619" r:id="rId360"/>
    <hyperlink ref="K620" r:id="rId361"/>
    <hyperlink ref="K621" r:id="rId362"/>
    <hyperlink ref="K622" r:id="rId363"/>
    <hyperlink ref="K623" r:id="rId364"/>
    <hyperlink ref="K624" r:id="rId365"/>
  </hyperlinks>
  <pageMargins left="0.7" right="0.7" top="0.75" bottom="0.75" header="0.3" footer="0.3"/>
  <pageSetup paperSize="9" orientation="portrait" r:id="rId3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2026-10-17T16:21:24Z</dcterms:modified>
</cp:coreProperties>
</file>