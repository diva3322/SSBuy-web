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55" i="3" l="1"/>
  <c r="E256" i="3"/>
  <c r="E257" i="3"/>
  <c r="E258" i="3"/>
  <c r="E259" i="3"/>
  <c r="E260" i="3"/>
  <c r="E261" i="3"/>
  <c r="E262" i="3"/>
  <c r="E263" i="3"/>
  <c r="E264" i="3"/>
  <c r="E265" i="3"/>
  <c r="E266" i="3"/>
  <c r="E267" i="3"/>
  <c r="E268" i="3"/>
  <c r="E269" i="3"/>
  <c r="E270" i="3"/>
  <c r="E271" i="3"/>
  <c r="E272" i="3"/>
  <c r="E273" i="3"/>
  <c r="E274" i="3"/>
  <c r="E275"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<sst xmlns="http://schemas.openxmlformats.org/spreadsheetml/2006/main" count="7067" uniqueCount="4804">
  <si>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</si>
  <si>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</si>
  <si>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</si>
  <si>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</si>
  <si>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</si>
  <si>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</si>
  <si>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</si>
  <si>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</si>
  <si>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</si>
  <si>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</si>
  <si>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</si>
  <si>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</si>
  <si>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</si>
  <si>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</si>
  <si>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</si>
  <si>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</si>
  <si>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</si>
  <si>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</si>
  <si>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</si>
  <si>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</si>
  <si>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</si>
  <si>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</si>
  <si>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</si>
  <si>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</si>
  <si>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</si>
  <si>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</si>
  <si>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</si>
  <si>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</si>
  <si>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</si>
  <si>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</si>
  <si>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</si>
  <si>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</si>
  <si>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</si>
  <si>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</si>
  <si>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</si>
  <si>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</si>
  <si>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</si>
  <si>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</si>
  <si>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</si>
  <si>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</si>
  <si>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</si>
  <si>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</si>
  <si>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</si>
  <si>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</si>
  <si>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</si>
  <si>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</si>
  <si>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</si>
  <si>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</si>
  <si>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</si>
  <si>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</si>
  <si>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</si>
  <si>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</si>
  <si>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</si>
  <si>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</si>
  <si>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</si>
  <si>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</si>
  <si>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</si>
  <si>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</si>
  <si>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</si>
  <si>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</si>
  <si>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</si>
  <si>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</si>
  <si>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</si>
  <si>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</si>
  <si>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</si>
  <si>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</si>
  <si>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</si>
  <si>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</si>
  <si>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</si>
  <si>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</si>
  <si>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</si>
  <si>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</si>
  <si>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</si>
  <si>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</si>
  <si>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</si>
  <si>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</si>
  <si>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</si>
  <si>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</si>
  <si>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</si>
  <si>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</si>
  <si>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</si>
  <si>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</si>
  <si>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</si>
  <si>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</si>
  <si>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</si>
  <si>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</si>
  <si>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</si>
  <si>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</si>
  <si>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</si>
  <si>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</si>
  <si>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</si>
  <si>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</si>
  <si>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</si>
  <si>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</si>
  <si>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</si>
  <si>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</si>
  <si>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</si>
  <si>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</si>
  <si>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</si>
  <si>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</si>
  <si>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</si>
  <si>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</si>
  <si>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</si>
  <si>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</si>
  <si>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</si>
  <si>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</si>
  <si>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</si>
  <si>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</si>
  <si>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</si>
  <si>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</si>
  <si>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</si>
  <si>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</si>
  <si>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</si>
  <si>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</si>
  <si>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</si>
  <si>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</si>
  <si>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</si>
  <si>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</si>
  <si>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</si>
  <si>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</si>
  <si>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</si>
  <si>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</si>
  <si>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</si>
  <si>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</si>
  <si>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</si>
  <si>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</si>
  <si>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</si>
  <si>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</si>
  <si>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</si>
  <si>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</si>
  <si>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</si>
  <si>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</si>
  <si>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</si>
  <si>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</si>
  <si>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</si>
  <si>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</si>
  <si>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</si>
  <si>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</si>
  <si>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</si>
  <si>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</si>
  <si>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</si>
  <si>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</si>
  <si>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</si>
  <si>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</si>
  <si>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</si>
  <si>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</si>
  <si>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</si>
  <si>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</si>
  <si>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</si>
  <si>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</si>
  <si>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</si>
  <si>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</si>
  <si>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</si>
  <si>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</si>
  <si>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</si>
  <si>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</si>
  <si>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</si>
  <si>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</si>
  <si>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</si>
  <si>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</si>
  <si>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</si>
  <si>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</si>
  <si>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</si>
  <si>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</si>
  <si>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</si>
  <si>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</si>
  <si>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</si>
  <si>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</si>
  <si>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</si>
  <si>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</si>
  <si>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</si>
  <si>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</si>
  <si>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</si>
  <si>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</si>
  <si>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</si>
  <si>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</si>
  <si>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</si>
  <si>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</si>
  <si>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</si>
  <si>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</si>
  <si>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</si>
  <si>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</si>
  <si>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</si>
  <si>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</si>
  <si>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</si>
  <si>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</si>
  <si>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</si>
  <si>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</si>
  <si>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</si>
  <si>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</si>
  <si>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</si>
  <si>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</si>
  <si>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</si>
  <si>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</si>
  <si>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</si>
  <si>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</si>
  <si>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</si>
  <si>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</si>
  <si>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</si>
  <si>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</si>
  <si>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</si>
  <si>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</si>
  <si>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</si>
  <si>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</si>
  <si>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</si>
  <si>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</si>
  <si>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</si>
  <si>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</si>
  <si>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</si>
  <si>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</si>
  <si>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</si>
  <si>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</si>
  <si>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</si>
  <si>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</si>
  <si>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</si>
  <si>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</si>
  <si>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</si>
  <si>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</si>
  <si>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</si>
  <si>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</si>
  <si>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</si>
  <si>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</si>
  <si>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</si>
  <si>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</si>
  <si>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</si>
  <si>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</si>
  <si>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</si>
  <si>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</si>
  <si>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</si>
  <si>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</si>
  <si>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</si>
  <si>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</si>
  <si>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</si>
  <si>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</si>
  <si>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</si>
  <si>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</si>
  <si>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</si>
  <si>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</si>
  <si>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</si>
  <si>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</si>
  <si>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</si>
  <si>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</si>
  <si>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</si>
  <si>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</si>
  <si>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</si>
  <si>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</si>
  <si>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</si>
  <si>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</si>
  <si>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</si>
  <si>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</si>
  <si>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</si>
  <si>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</si>
  <si>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</si>
  <si>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</si>
  <si>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</si>
  <si>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</si>
  <si>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</si>
  <si>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</si>
  <si>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</si>
  <si>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</si>
  <si>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</si>
  <si>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</si>
  <si>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</si>
  <si>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</si>
  <si>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</si>
  <si>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</si>
  <si>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</si>
  <si>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</si>
  <si>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</si>
  <si>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</si>
  <si>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</si>
  <si>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</si>
  <si>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</si>
  <si>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</si>
  <si>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</si>
  <si>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</si>
  <si>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</si>
  <si>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</si>
  <si>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</si>
  <si>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</si>
  <si>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</si>
  <si>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</si>
  <si>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</si>
  <si>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</si>
  <si>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</si>
  <si>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</si>
  <si>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</si>
  <si>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</si>
  <si>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</si>
  <si>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</si>
  <si>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</si>
  <si>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</si>
  <si>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</si>
  <si>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</si>
  <si>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</si>
  <si>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</si>
  <si>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</si>
  <si>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</si>
  <si>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</si>
  <si>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</si>
  <si>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</si>
  <si>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</si>
  <si>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</si>
  <si>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</si>
  <si>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</si>
  <si>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</si>
  <si>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</si>
  <si>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</si>
  <si>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</si>
  <si>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</si>
  <si>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</si>
  <si>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</si>
  <si>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</si>
  <si>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</si>
  <si>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</si>
  <si>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</si>
  <si>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</si>
  <si>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</si>
  <si>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</si>
  <si>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</si>
  <si>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</si>
  <si>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</si>
  <si>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</si>
  <si>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</si>
  <si>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</si>
  <si>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</si>
  <si>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</si>
  <si>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</si>
  <si>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</si>
  <si>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</si>
  <si>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</si>
  <si>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</si>
  <si>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</si>
  <si>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</si>
  <si>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</si>
  <si>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</si>
  <si>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</si>
  <si>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</si>
  <si>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</si>
  <si>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</si>
  <si>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</si>
  <si>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</si>
  <si>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</si>
  <si>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</si>
  <si>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</si>
  <si>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</si>
  <si>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</si>
  <si>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</si>
  <si>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</si>
  <si>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</si>
  <si>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</si>
  <si>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</si>
  <si>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</si>
  <si>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</si>
  <si>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</si>
  <si>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</si>
  <si>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</si>
  <si>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</si>
  <si>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</si>
  <si>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</si>
  <si>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</si>
  <si>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</si>
  <si>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</si>
  <si>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</si>
  <si>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</si>
  <si>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</si>
  <si>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</si>
  <si>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</si>
  <si>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</si>
  <si>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</si>
  <si>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</si>
  <si>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</si>
  <si>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</si>
  <si>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</si>
  <si>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</si>
  <si>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</si>
  <si>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</si>
  <si>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</si>
  <si>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</si>
  <si>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</si>
  <si>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</si>
  <si>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</si>
  <si>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</si>
  <si>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</si>
  <si>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</si>
  <si>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</si>
  <si>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</si>
  <si>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</si>
  <si>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</si>
  <si>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</si>
  <si>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</si>
  <si>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</si>
  <si>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</si>
  <si>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</si>
  <si>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</si>
  <si>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</si>
  <si>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</si>
  <si>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</si>
  <si>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</si>
  <si>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</si>
  <si>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</si>
  <si>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</si>
  <si>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</si>
  <si>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</si>
  <si>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</si>
  <si>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</si>
  <si>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</si>
  <si>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</si>
  <si>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</si>
  <si>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</si>
  <si>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</si>
  <si>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</si>
  <si>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</si>
  <si>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</si>
  <si>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</si>
  <si>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</si>
  <si>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</si>
  <si>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</si>
  <si>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</si>
  <si>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</si>
  <si>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</si>
  <si>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</si>
  <si>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</si>
  <si>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</si>
  <si>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</si>
  <si>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</si>
  <si>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</si>
  <si>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</si>
  <si>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</si>
  <si>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</si>
  <si>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</si>
  <si>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</si>
  <si>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</si>
  <si>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</si>
  <si>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</si>
  <si>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</si>
  <si>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</si>
  <si>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</si>
  <si>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</si>
  <si>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</si>
  <si>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</si>
  <si>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</si>
  <si>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</si>
  <si>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</si>
  <si>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</si>
  <si>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</si>
  <si>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</si>
  <si>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</si>
  <si>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</si>
  <si>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</si>
  <si>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</si>
  <si>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</si>
  <si>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</si>
  <si>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</si>
  <si>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</si>
  <si>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</si>
  <si>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</si>
  <si>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</si>
  <si>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</si>
  <si>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</si>
  <si>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</si>
  <si>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</si>
  <si>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</si>
  <si>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</si>
  <si>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</si>
  <si>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</si>
  <si>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</si>
  <si>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</si>
  <si>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</si>
  <si>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</si>
  <si>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</si>
  <si>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</si>
  <si>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</si>
  <si>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</si>
  <si>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</si>
  <si>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</si>
  <si>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</si>
  <si>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</si>
  <si>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</si>
  <si>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</si>
  <si>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</si>
  <si>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</si>
  <si>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</si>
  <si>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</si>
  <si>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</si>
  <si>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</si>
  <si>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</si>
  <si>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</si>
  <si>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</si>
  <si>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</si>
  <si>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</si>
  <si>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</si>
  <si>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</si>
  <si>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</si>
  <si>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</si>
  <si>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</si>
  <si>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</si>
  <si>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</si>
  <si>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</si>
  <si>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</si>
  <si>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</si>
  <si>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</si>
  <si>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</si>
  <si>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</si>
  <si>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</si>
  <si>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</si>
  <si>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</si>
  <si>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</si>
  <si>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</si>
  <si>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</si>
  <si>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</si>
  <si>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</si>
  <si>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</si>
  <si>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</si>
  <si>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</si>
  <si>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</si>
  <si>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</si>
  <si>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</si>
  <si>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</si>
  <si>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</si>
  <si>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</si>
  <si>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</si>
  <si>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</si>
  <si>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</si>
  <si>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</si>
  <si>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</si>
  <si>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</si>
  <si>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</si>
  <si>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</si>
  <si>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</si>
  <si>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</si>
  <si>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</si>
  <si>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</si>
  <si>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</si>
  <si>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</si>
  <si>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</si>
  <si>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</si>
  <si>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</si>
  <si>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</si>
  <si>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</si>
  <si>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</si>
  <si>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</si>
  <si>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</si>
  <si>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</si>
  <si>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</si>
  <si>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</si>
  <si>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</si>
  <si>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</si>
  <si>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</si>
  <si>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</si>
  <si>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</si>
  <si>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</si>
  <si>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</si>
  <si>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</si>
  <si>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</si>
  <si>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</si>
  <si>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</si>
  <si>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</si>
  <si>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</si>
  <si>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</si>
  <si>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</si>
  <si>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</si>
  <si>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</si>
  <si>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</si>
  <si>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</si>
  <si>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</si>
  <si>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</si>
  <si>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</si>
  <si>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</si>
  <si>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</si>
  <si>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</si>
  <si>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</si>
  <si>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</si>
  <si>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</si>
  <si>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</si>
  <si>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</si>
  <si>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</si>
  <si>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</si>
  <si>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</si>
  <si>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</si>
  <si>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</si>
  <si>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</si>
  <si>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</si>
  <si>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</si>
  <si>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</si>
  <si>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</si>
  <si>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</si>
  <si>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</si>
  <si>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</si>
  <si>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</si>
  <si>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</si>
  <si>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</si>
  <si>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</si>
  <si>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</si>
  <si>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</si>
  <si>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</si>
  <si>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</si>
  <si>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</si>
  <si>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</si>
  <si>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</si>
  <si>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</si>
  <si>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</si>
  <si>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</si>
  <si>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</si>
  <si>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</si>
  <si>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</si>
  <si>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</si>
  <si>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</si>
  <si>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</si>
  <si>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</si>
  <si>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</si>
  <si>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</si>
  <si>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</si>
  <si>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</si>
  <si>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</si>
  <si>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</si>
  <si>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</si>
  <si>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</si>
  <si>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</si>
  <si>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</si>
  <si>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</si>
  <si>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</si>
  <si>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</si>
  <si>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</si>
  <si>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</si>
  <si>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</si>
  <si>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</si>
  <si>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</si>
  <si>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</si>
  <si>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</si>
  <si>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</si>
  <si>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</si>
  <si>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</si>
  <si>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</si>
  <si>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</si>
  <si>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</si>
  <si>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</si>
  <si>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</si>
  <si>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</si>
  <si>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</si>
  <si>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</si>
  <si>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</si>
  <si>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</si>
  <si>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</si>
  <si>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</si>
  <si>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</si>
  <si>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</si>
  <si>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</si>
  <si>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</si>
  <si>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</si>
  <si>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</si>
  <si>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</si>
  <si>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</si>
  <si>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</si>
  <si>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</si>
  <si>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</si>
  <si>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</si>
  <si>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</si>
  <si>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</si>
  <si>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</si>
  <si>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</si>
  <si>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</si>
  <si>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</si>
  <si>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</si>
  <si>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</si>
  <si>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</si>
  <si>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</si>
  <si>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</si>
  <si>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</si>
  <si>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</si>
  <si>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</si>
  <si>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</si>
  <si>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</si>
  <si>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</si>
  <si>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</si>
  <si>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</si>
  <si>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</si>
  <si>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</si>
  <si>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</si>
  <si>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</si>
  <si>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</si>
  <si>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</si>
  <si>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</si>
  <si>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</si>
  <si>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</si>
  <si>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</si>
  <si>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</si>
  <si>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</si>
  <si>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</si>
  <si>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</si>
  <si>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</si>
  <si>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</si>
  <si>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</si>
  <si>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</si>
  <si>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</si>
  <si>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</si>
  <si>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</si>
  <si>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</si>
  <si>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</si>
  <si>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</si>
  <si>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</si>
  <si>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</si>
  <si>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</si>
  <si>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</si>
  <si>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</si>
  <si>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</si>
  <si>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</si>
  <si>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</si>
  <si>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</si>
  <si>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</si>
  <si>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</si>
  <si>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</si>
  <si>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</si>
  <si>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</si>
  <si>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</si>
  <si>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</si>
  <si>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</si>
  <si>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</si>
  <si>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</si>
  <si>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</si>
  <si>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</si>
  <si>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</si>
  <si>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</si>
  <si>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</si>
  <si>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</si>
  <si>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</si>
  <si>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</si>
  <si>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</si>
  <si>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</si>
  <si>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</si>
  <si>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</si>
  <si>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</si>
  <si>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</si>
  <si>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</si>
  <si>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</si>
  <si>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</si>
  <si>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</si>
  <si>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</si>
  <si>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</si>
  <si>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</si>
  <si>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</si>
  <si>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</si>
  <si>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</si>
  <si>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</si>
  <si>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</si>
  <si>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</si>
  <si>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</si>
  <si>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</si>
  <si>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</si>
  <si>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</si>
  <si>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</si>
  <si>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</si>
  <si>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</si>
  <si>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</si>
  <si>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</si>
  <si>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</si>
  <si>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</si>
  <si>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</si>
  <si>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</si>
  <si>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</si>
  <si>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</si>
  <si>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</si>
  <si>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</si>
  <si>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</si>
  <si>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</si>
  <si>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</si>
  <si>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</si>
  <si>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</si>
  <si>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</si>
  <si>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</si>
  <si>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</si>
  <si>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</si>
  <si>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</si>
  <si>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</si>
  <si>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</si>
  <si>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</si>
  <si>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</si>
  <si>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</si>
  <si>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</si>
  <si>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</si>
  <si>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</si>
  <si>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</si>
  <si>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</si>
  <si>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</si>
  <si>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</si>
  <si>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</si>
  <si>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</si>
  <si>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</si>
  <si>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</si>
  <si>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</si>
  <si>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</si>
  <si>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</si>
  <si>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</si>
  <si>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</si>
  <si>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</si>
  <si>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</si>
  <si>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</si>
  <si>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</si>
  <si>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</si>
  <si>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</si>
  <si>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</si>
  <si>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</si>
  <si>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</si>
  <si>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</si>
  <si>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</si>
  <si>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</si>
  <si>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</si>
  <si>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</si>
  <si>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</si>
  <si>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</si>
  <si>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</si>
  <si>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</si>
  <si>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</si>
  <si>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</si>
  <si>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</si>
  <si>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</si>
  <si>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</si>
  <si>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</si>
  <si>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</si>
  <si>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</si>
  <si>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</si>
  <si>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</si>
  <si>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</si>
  <si>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</si>
  <si>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</si>
  <si>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</si>
  <si>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</si>
  <si>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</si>
  <si>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</si>
  <si>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</si>
  <si>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</si>
  <si>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</si>
  <si>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</si>
  <si>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</si>
  <si>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</si>
  <si>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</si>
  <si>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</si>
  <si>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</si>
  <si>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</si>
  <si>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</si>
  <si>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</si>
  <si>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</si>
  <si>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</si>
  <si>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</si>
  <si>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</si>
  <si>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</si>
  <si>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</si>
  <si>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</si>
  <si>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</si>
  <si>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</si>
  <si>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</si>
  <si>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</si>
  <si>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</si>
  <si>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</si>
  <si>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</si>
  <si>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</si>
  <si>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</si>
  <si>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</si>
  <si>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</si>
  <si>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</si>
  <si>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</si>
  <si>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</si>
  <si>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</si>
  <si>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</si>
  <si>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</si>
  <si>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</si>
  <si>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</si>
  <si>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</si>
  <si>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</si>
  <si>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</si>
  <si>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</si>
  <si>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</si>
  <si>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</si>
  <si>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</si>
  <si>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</si>
  <si>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</si>
  <si>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</si>
  <si>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</si>
  <si>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</si>
  <si>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</si>
  <si>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</si>
  <si>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</si>
  <si>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</si>
  <si>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</si>
  <si>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</si>
  <si>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</si>
  <si>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</si>
  <si>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</si>
  <si>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</si>
  <si>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</si>
  <si>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</si>
  <si>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</si>
  <si>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</si>
  <si>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</si>
  <si>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</si>
  <si>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</si>
  <si>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</si>
  <si>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</si>
  <si>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</si>
  <si>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</si>
  <si>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</si>
  <si>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</si>
  <si>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</si>
  <si>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</si>
  <si>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</si>
  <si>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</si>
  <si>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</si>
  <si>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</si>
  <si>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</si>
  <si>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</si>
  <si>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</si>
  <si>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</si>
  <si>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</si>
  <si>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</si>
  <si>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</si>
  <si>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</si>
  <si>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</si>
  <si>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</si>
  <si>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</si>
  <si>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</si>
  <si>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</si>
  <si>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</si>
  <si>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</si>
  <si>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</si>
  <si>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</si>
  <si>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</si>
  <si>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</si>
  <si>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</si>
  <si>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</si>
  <si>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</si>
  <si>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</si>
  <si>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</si>
  <si>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</si>
  <si>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</si>
  <si>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</si>
  <si>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</si>
  <si>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</si>
  <si>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</si>
  <si>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</si>
  <si>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</si>
  <si>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</si>
  <si>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</si>
  <si>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</si>
  <si>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</si>
  <si>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</si>
  <si>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</si>
  <si>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</si>
  <si>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</si>
  <si>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</si>
  <si>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</si>
  <si>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</si>
  <si>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</si>
  <si>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</si>
  <si>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</si>
  <si>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</si>
  <si>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</si>
  <si>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</si>
  <si>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</si>
  <si>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</si>
  <si>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</si>
  <si>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</si>
  <si>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</si>
  <si>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</si>
  <si>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</si>
  <si>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</si>
  <si>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</si>
  <si>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</si>
  <si>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</si>
  <si>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</si>
  <si>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</si>
  <si>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</si>
  <si>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</si>
  <si>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</si>
  <si>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</si>
  <si>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</si>
  <si>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</si>
  <si>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</si>
  <si>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</si>
  <si>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</si>
  <si>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</si>
  <si>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</si>
  <si>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</si>
  <si>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</si>
  <si>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</si>
  <si>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</si>
  <si>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</si>
  <si>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</si>
  <si>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</si>
  <si>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</si>
  <si>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</si>
  <si>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</si>
  <si>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</si>
  <si>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</si>
  <si>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</si>
  <si>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</si>
  <si>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</si>
  <si>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</si>
  <si>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</si>
  <si>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</si>
  <si>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</si>
  <si>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</si>
  <si>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</si>
  <si>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</si>
  <si>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</si>
  <si>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</si>
  <si>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</si>
  <si>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</si>
  <si>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</si>
  <si>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</si>
  <si>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</si>
  <si>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</si>
  <si>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</si>
  <si>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</si>
  <si>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</si>
  <si>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</si>
  <si>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</si>
  <si>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</si>
  <si>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</si>
  <si>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</si>
  <si>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</si>
  <si>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</si>
  <si>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</si>
  <si>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</si>
  <si>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</si>
  <si>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</si>
  <si>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</si>
  <si>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</si>
  <si>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</si>
  <si>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</si>
  <si>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</si>
  <si>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</si>
  <si>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</si>
  <si>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</si>
  <si>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</si>
  <si>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</si>
  <si>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</si>
  <si>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</si>
  <si>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</si>
  <si>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</si>
  <si>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</si>
  <si>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</si>
  <si>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</si>
  <si>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</si>
  <si>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</si>
  <si>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</si>
  <si>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</si>
  <si>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</si>
  <si>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</si>
  <si>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</si>
  <si>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</si>
  <si>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</si>
  <si>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</si>
  <si>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</si>
  <si>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</si>
  <si>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</si>
  <si>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</si>
  <si>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</si>
  <si>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</si>
  <si>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</si>
  <si>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</si>
  <si>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</si>
  <si>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</si>
  <si>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</si>
  <si>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</si>
  <si>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</si>
  <si>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</si>
  <si>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</si>
  <si>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</si>
  <si>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</si>
  <si>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</si>
  <si>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</si>
  <si>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</si>
  <si>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</si>
  <si>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</si>
  <si>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</si>
  <si>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</si>
  <si>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</si>
  <si>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</si>
  <si>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</si>
  <si>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</si>
  <si>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</si>
  <si>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</si>
  <si>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</si>
  <si>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</si>
  <si>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</si>
  <si>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</si>
  <si>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</si>
  <si>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</si>
  <si>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</si>
  <si>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</si>
  <si>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</si>
  <si>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</si>
  <si>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</si>
  <si>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</si>
  <si>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</si>
  <si>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</si>
  <si>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</si>
  <si>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</si>
  <si>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</si>
  <si>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</si>
  <si>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</si>
  <si>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</si>
  <si>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</si>
  <si>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</si>
  <si>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</si>
  <si>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</si>
  <si>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</si>
  <si>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</si>
  <si>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</si>
  <si>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</si>
  <si>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</si>
  <si>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</si>
  <si>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</si>
  <si>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</si>
  <si>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</si>
  <si>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</si>
  <si>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</si>
  <si>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</si>
  <si>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</si>
  <si>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</si>
  <si>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</si>
  <si>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</si>
  <si>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</si>
  <si>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</si>
  <si>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</si>
  <si>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</si>
  <si>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</si>
  <si>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</si>
  <si>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</si>
  <si>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</si>
  <si>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</si>
  <si>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</si>
  <si>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</si>
  <si>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</si>
  <si>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</si>
  <si>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</si>
  <si>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</si>
  <si>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</si>
  <si>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</si>
  <si>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</si>
  <si>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</si>
  <si>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</si>
  <si>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</si>
  <si>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</si>
  <si>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</si>
  <si>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</si>
  <si>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</si>
  <si>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</si>
  <si>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</si>
  <si>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</si>
  <si>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</si>
  <si>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</si>
  <si>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</si>
  <si>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</si>
  <si>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</si>
  <si>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</si>
  <si>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</si>
  <si>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</si>
  <si>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</si>
  <si>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</si>
  <si>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</si>
  <si>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</si>
  <si>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</si>
  <si>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</si>
  <si>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</si>
  <si>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</si>
  <si>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</si>
  <si>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</si>
  <si>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</si>
  <si>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</si>
  <si>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</si>
  <si>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</si>
  <si>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</si>
  <si>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</si>
  <si>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</si>
  <si>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</si>
  <si>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</si>
  <si>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</si>
  <si>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</si>
  <si>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</si>
  <si>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</si>
  <si>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</si>
  <si>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</si>
  <si>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</si>
  <si>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</si>
  <si>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</si>
  <si>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</si>
  <si>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</si>
  <si>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</si>
  <si>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</si>
  <si>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</si>
  <si>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</si>
  <si>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</si>
  <si>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</si>
  <si>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</si>
  <si>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</si>
  <si>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</si>
  <si>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</si>
  <si>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</si>
  <si>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</si>
  <si>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</si>
  <si>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</si>
  <si>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</si>
  <si>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</si>
  <si>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</si>
  <si>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</si>
  <si>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</si>
  <si>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</si>
  <si>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</si>
  <si>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</si>
  <si>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</si>
  <si>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</si>
  <si>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</si>
  <si>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</si>
  <si>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</si>
  <si>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</si>
  <si>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</si>
  <si>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</si>
  <si>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</si>
  <si>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</si>
  <si>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</si>
  <si>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</si>
  <si>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</si>
  <si>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</si>
  <si>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</si>
  <si>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</si>
  <si>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</si>
  <si>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</si>
  <si>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</si>
  <si>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</si>
  <si>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</si>
  <si>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</si>
  <si>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</si>
  <si>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</si>
  <si>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</si>
  <si>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</si>
  <si>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</si>
  <si>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</si>
  <si>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</si>
  <si>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</si>
  <si>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</si>
  <si>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</si>
  <si>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</si>
  <si>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</si>
  <si>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</si>
  <si>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</si>
  <si>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</si>
  <si>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</si>
  <si>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</si>
  <si>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</si>
  <si>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</si>
  <si>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</si>
  <si>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</si>
  <si>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</si>
  <si>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</si>
  <si>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</si>
  <si>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</si>
  <si>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</si>
  <si>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</si>
  <si>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</si>
  <si>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</si>
  <si>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</si>
  <si>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</si>
  <si>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</si>
  <si>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</si>
  <si>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</si>
  <si>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</si>
  <si>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</si>
  <si>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</si>
  <si>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</si>
  <si>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</si>
  <si>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</si>
  <si>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</si>
  <si>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</si>
  <si>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</si>
  <si>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</si>
  <si>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</si>
  <si>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</si>
  <si>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</si>
  <si>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</si>
  <si>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</si>
  <si>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</si>
  <si>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</si>
  <si>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</si>
  <si>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</si>
  <si>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</si>
  <si>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</si>
  <si>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</si>
  <si>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</si>
  <si>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</si>
  <si>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</si>
  <si>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</si>
  <si>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</si>
  <si>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</si>
  <si>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</si>
  <si>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</si>
  <si>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</si>
  <si>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</si>
  <si>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</si>
  <si>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</si>
  <si>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</si>
  <si>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</si>
  <si>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</si>
  <si>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</si>
  <si>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</si>
  <si>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</si>
  <si>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</si>
  <si>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</si>
  <si>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</si>
  <si>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</si>
  <si>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</si>
  <si>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</si>
  <si>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</si>
  <si>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</si>
  <si>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</si>
  <si>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</si>
  <si>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</si>
  <si>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</si>
  <si>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</si>
  <si>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</si>
  <si>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</si>
  <si>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</si>
  <si>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</si>
  <si>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</si>
  <si>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</si>
  <si>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</si>
  <si>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</si>
  <si>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</si>
  <si>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</si>
  <si>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</si>
  <si>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</si>
  <si>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</si>
  <si>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</si>
  <si>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</si>
  <si>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</si>
  <si>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</si>
  <si>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</si>
  <si>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</si>
  <si>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</si>
  <si>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</si>
  <si>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</si>
  <si>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</si>
  <si>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</si>
  <si>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</si>
  <si>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</si>
  <si>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</si>
  <si>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</si>
  <si>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</si>
  <si>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</si>
  <si>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</si>
  <si>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</si>
  <si>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</si>
  <si>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</si>
  <si>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</si>
  <si>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</si>
  <si>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</si>
  <si>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</si>
  <si>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</si>
  <si>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</si>
  <si>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</si>
  <si>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</si>
  <si>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</si>
  <si>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</si>
  <si>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</si>
  <si>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</si>
  <si>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</si>
  <si>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</si>
  <si>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</si>
  <si>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</si>
  <si>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</si>
  <si>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</si>
  <si>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</si>
  <si>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</si>
  <si>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</si>
  <si>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</si>
  <si>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</si>
  <si>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</si>
  <si>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</si>
  <si>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</si>
  <si>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</si>
  <si>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</si>
  <si>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</si>
  <si>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</si>
  <si>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</si>
  <si>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</si>
  <si>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</si>
  <si>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</si>
  <si>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</si>
  <si>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</si>
  <si>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</si>
  <si>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</si>
  <si>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</si>
  <si>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</si>
  <si>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</si>
  <si>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</si>
  <si>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</si>
  <si>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</si>
  <si>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</si>
  <si>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</si>
  <si>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</si>
  <si>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</si>
  <si>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</si>
  <si>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</si>
  <si>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</si>
  <si>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</si>
  <si>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</si>
  <si>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</si>
  <si>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</si>
  <si>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</si>
  <si>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</si>
  <si>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</si>
  <si>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</si>
  <si>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</si>
  <si>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</si>
  <si>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</si>
  <si>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</si>
  <si>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</si>
  <si>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</si>
  <si>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</si>
  <si>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</si>
  <si>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</si>
  <si>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</si>
  <si>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</si>
  <si>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</si>
  <si>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</si>
  <si>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</si>
  <si>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</si>
  <si>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</si>
  <si>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</si>
  <si>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</si>
  <si>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</si>
  <si>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</si>
  <si>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</si>
  <si>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</si>
  <si>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</si>
  <si>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</si>
  <si>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</si>
  <si>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</si>
  <si>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</si>
  <si>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</si>
  <si>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</si>
  <si>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</si>
  <si>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</si>
  <si>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</si>
  <si>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</si>
  <si>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</si>
  <si>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</si>
  <si>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</si>
  <si>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</si>
  <si>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</si>
  <si>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</si>
  <si>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</si>
  <si>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</si>
  <si>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</si>
  <si>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</si>
  <si>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</si>
  <si>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</si>
  <si>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</si>
  <si>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</si>
  <si>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</si>
  <si>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</si>
  <si>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</si>
  <si>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</si>
  <si>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</si>
  <si>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</si>
  <si>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</si>
  <si>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</si>
  <si>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</si>
  <si>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</si>
  <si>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</si>
  <si>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</si>
  <si>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</si>
  <si>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</si>
  <si>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</si>
  <si>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</si>
  <si>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</si>
  <si>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</si>
  <si>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</si>
  <si>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</si>
  <si>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</si>
  <si>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</si>
  <si>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</si>
  <si>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</si>
  <si>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</si>
  <si>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</si>
  <si>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</si>
  <si>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</si>
  <si>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</si>
  <si>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</si>
  <si>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</si>
  <si>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</si>
  <si>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</si>
  <si>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</si>
  <si>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</si>
  <si>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</si>
  <si>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</si>
  <si>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</si>
  <si>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</si>
  <si>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</si>
  <si>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</si>
  <si>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</si>
  <si>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</si>
  <si>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</si>
  <si>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</si>
  <si>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</si>
  <si>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</si>
  <si>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</si>
  <si>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</si>
  <si>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</si>
  <si>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</si>
  <si>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</si>
  <si>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</si>
  <si>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</si>
  <si>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</si>
  <si>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</si>
  <si>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</si>
  <si>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</si>
  <si>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</si>
  <si>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</si>
  <si>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</si>
  <si>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</si>
  <si>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</si>
  <si>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</si>
  <si>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</si>
  <si>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</si>
  <si>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</si>
  <si>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</si>
  <si>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</si>
  <si>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</si>
  <si>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</si>
  <si>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</si>
  <si>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</si>
  <si>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</si>
  <si>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</si>
  <si>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</si>
  <si>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</si>
  <si>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</si>
  <si>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</si>
  <si>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</si>
  <si>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</si>
  <si>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</si>
  <si>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</si>
  <si>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</si>
  <si>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</si>
  <si>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</si>
  <si>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</si>
  <si>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</si>
  <si>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</si>
  <si>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</si>
  <si>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</si>
  <si>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</si>
  <si>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</si>
  <si>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</si>
  <si>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</si>
  <si>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</si>
  <si>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</si>
  <si>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</si>
  <si>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</si>
  <si>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</si>
  <si>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</si>
  <si>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</si>
  <si>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</si>
  <si>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</si>
  <si>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</si>
  <si>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</si>
  <si>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</si>
  <si>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</si>
  <si>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</si>
  <si>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</si>
  <si>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</si>
  <si>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</si>
  <si>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</si>
  <si>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</si>
  <si>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</si>
  <si>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</si>
  <si>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</si>
  <si>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</si>
  <si>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</si>
  <si>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</si>
  <si>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</si>
  <si>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</si>
  <si>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</si>
  <si>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</si>
  <si>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</si>
  <si>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</si>
  <si>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</si>
  <si>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</si>
  <si>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</si>
  <si>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</si>
  <si>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</si>
  <si>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</si>
  <si>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</si>
  <si>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</si>
  <si>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</si>
  <si>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</si>
  <si>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</si>
  <si>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</si>
  <si>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</si>
  <si>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</si>
  <si>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</si>
  <si>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</si>
  <si>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</si>
  <si>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</si>
  <si>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</si>
  <si>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</si>
  <si>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</si>
  <si>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</si>
  <si>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</si>
  <si>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</si>
  <si>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</si>
  <si>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</si>
  <si>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</si>
  <si>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</si>
  <si>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</si>
  <si>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</si>
  <si>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</si>
  <si>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</si>
  <si>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</si>
  <si>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</si>
  <si>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</si>
  <si>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</si>
  <si>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</si>
  <si>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</si>
  <si>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</si>
  <si>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</si>
  <si>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</si>
  <si>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</si>
  <si>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</si>
  <si>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</si>
  <si>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</si>
  <si>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</si>
  <si>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</si>
  <si>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</si>
  <si>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</si>
  <si>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</si>
  <si>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</si>
  <si>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</si>
  <si>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</si>
  <si>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</si>
  <si>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</si>
  <si>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</si>
  <si>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</si>
  <si>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</si>
  <si>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</si>
  <si>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</si>
  <si>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</si>
  <si>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</si>
  <si>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</si>
  <si>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</si>
  <si>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</si>
  <si>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</si>
  <si>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</si>
  <si>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</si>
  <si>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</si>
  <si>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</si>
  <si>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</si>
  <si>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</si>
  <si>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</si>
  <si>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</si>
  <si>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</si>
  <si>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</si>
  <si>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</si>
  <si>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</si>
  <si>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</si>
  <si>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</si>
  <si>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</si>
  <si>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</si>
  <si>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</si>
  <si>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</si>
  <si>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</si>
  <si>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</si>
  <si>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</si>
  <si>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</si>
  <si>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</si>
  <si>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</si>
  <si>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</si>
  <si>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</si>
  <si>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</si>
  <si>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</si>
  <si>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</si>
  <si>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</si>
  <si>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</si>
  <si>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</si>
  <si>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</si>
  <si>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</si>
  <si>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</si>
  <si>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</si>
  <si>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</si>
  <si>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</si>
  <si>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</si>
  <si>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</si>
  <si>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</si>
  <si>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</si>
  <si>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</si>
  <si>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</si>
  <si>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</si>
  <si>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</si>
  <si>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</si>
  <si>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</si>
  <si>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</si>
  <si>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</si>
  <si>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</si>
  <si>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</si>
  <si>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</si>
  <si>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</si>
  <si>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</si>
  <si>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</si>
  <si>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</si>
  <si>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</si>
  <si>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</si>
  <si>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</si>
  <si>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</si>
  <si>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</si>
  <si>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</si>
  <si>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</si>
  <si>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</si>
  <si>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</si>
  <si>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</si>
  <si>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</si>
  <si>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</si>
  <si>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</si>
  <si>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</si>
  <si>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</si>
  <si>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</si>
  <si>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</si>
  <si>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</si>
  <si>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</si>
  <si>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</si>
  <si>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</si>
  <si>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</si>
  <si>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</si>
  <si>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</si>
  <si>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</si>
  <si>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</si>
  <si>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</si>
  <si>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</si>
  <si>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</si>
  <si>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</si>
  <si>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</si>
  <si>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</si>
  <si>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</si>
  <si>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</si>
  <si>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</si>
  <si>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</si>
  <si>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</si>
  <si>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</si>
  <si>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</si>
  <si>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</si>
  <si>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</si>
  <si>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</si>
  <si>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</si>
  <si>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</si>
  <si>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</si>
  <si>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</si>
  <si>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</si>
  <si>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</si>
  <si>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</si>
  <si>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</si>
  <si>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</si>
  <si>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</si>
  <si>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</si>
  <si>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</si>
  <si>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</si>
  <si>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</si>
  <si>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</si>
  <si>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</si>
  <si>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</si>
  <si>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</si>
  <si>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</si>
  <si>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</si>
  <si>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</si>
  <si>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</si>
  <si>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</si>
  <si>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</si>
  <si>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</si>
  <si>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</si>
  <si>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</si>
  <si>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</si>
  <si>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</si>
  <si>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</si>
  <si>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</si>
  <si>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</si>
  <si>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</si>
  <si>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</si>
  <si>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</si>
  <si>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</si>
  <si>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</si>
  <si>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</si>
  <si>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</si>
  <si>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</si>
  <si>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</si>
  <si>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</si>
  <si>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</si>
  <si>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</si>
  <si>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</si>
  <si>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</si>
  <si>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</si>
  <si>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</si>
  <si>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</si>
  <si>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</si>
  <si>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</si>
  <si>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</si>
  <si>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</si>
  <si>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</si>
  <si>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</si>
  <si>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</si>
  <si>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</si>
  <si>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</si>
  <si>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</si>
  <si>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</si>
  <si>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</si>
  <si>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</si>
  <si>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</si>
  <si>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</si>
  <si>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</si>
  <si>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</si>
  <si>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</si>
  <si>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</si>
  <si>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</si>
  <si>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</si>
  <si>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</si>
  <si>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</si>
  <si>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</si>
  <si>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</si>
  <si>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</si>
  <si>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</si>
  <si>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</si>
  <si>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</si>
  <si>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</si>
  <si>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</si>
  <si>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</si>
  <si>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</si>
  <si>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</si>
  <si>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</si>
  <si>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</si>
  <si>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</si>
  <si>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</si>
  <si>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</si>
  <si>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</si>
  <si>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</si>
  <si>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</si>
  <si>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</si>
  <si>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</si>
  <si>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</si>
  <si>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</si>
  <si>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</si>
  <si>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</si>
  <si>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</si>
  <si>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</si>
  <si>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</si>
  <si>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</si>
  <si>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</si>
  <si>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</si>
  <si>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</si>
  <si>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</si>
  <si>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</si>
  <si>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</si>
  <si>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</si>
  <si>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</si>
  <si>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</si>
  <si>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</si>
  <si>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</si>
  <si>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</si>
  <si>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</si>
  <si>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</si>
  <si>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</si>
  <si>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</si>
  <si>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</si>
  <si>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</si>
  <si>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</si>
  <si>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</si>
  <si>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</si>
  <si>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</si>
  <si>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</si>
  <si>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</si>
  <si>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</si>
  <si>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</si>
  <si>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</si>
  <si>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</si>
  <si>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</si>
  <si>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</si>
  <si>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</si>
  <si>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</si>
  <si>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</si>
  <si>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</si>
  <si>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</si>
  <si>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</si>
  <si>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</si>
  <si>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</si>
  <si>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</si>
  <si>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</si>
  <si>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</si>
  <si>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</si>
  <si>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</si>
  <si>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</si>
  <si>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</si>
  <si>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</si>
  <si>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</si>
  <si>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</si>
  <si>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</si>
  <si>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</si>
  <si>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</si>
  <si>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</si>
  <si>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</si>
  <si>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</si>
  <si>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</si>
  <si>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</si>
  <si>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</si>
  <si>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</si>
  <si>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</si>
  <si>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</si>
  <si>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</si>
  <si>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</si>
  <si>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</si>
  <si>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</si>
  <si>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</si>
  <si>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</si>
  <si>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</si>
  <si>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</si>
  <si>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</si>
  <si>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</si>
  <si>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</si>
  <si>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</si>
  <si>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</si>
  <si>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</si>
  <si>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</si>
  <si>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</si>
  <si>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</si>
  <si>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</si>
  <si>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</si>
  <si>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</si>
  <si>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</si>
  <si>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</si>
  <si>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</si>
  <si>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</si>
  <si>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</si>
  <si>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</si>
  <si>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</si>
  <si>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</si>
  <si>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</si>
  <si>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</si>
  <si>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</si>
  <si>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</si>
  <si>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</si>
  <si>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</si>
  <si>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</si>
  <si>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</si>
  <si>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</si>
  <si>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</si>
  <si>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</si>
  <si>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</si>
  <si>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</si>
  <si>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</si>
  <si>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</si>
  <si>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</si>
  <si>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</si>
  <si>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</si>
  <si>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</si>
  <si>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</si>
  <si>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</si>
  <si>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</si>
  <si>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</si>
  <si>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</si>
  <si>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</si>
  <si>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</si>
  <si>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</si>
  <si>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</si>
  <si>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</si>
  <si>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</si>
  <si>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</si>
  <si>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</si>
  <si>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</si>
  <si>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</si>
  <si>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</si>
  <si>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</si>
  <si>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</si>
  <si>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</si>
  <si>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</si>
  <si>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</si>
  <si>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</si>
  <si>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</si>
  <si>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</si>
  <si>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</si>
  <si>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</si>
  <si>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</si>
  <si>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</si>
  <si>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</si>
  <si>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</si>
  <si>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</si>
  <si>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</si>
  <si>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</si>
  <si>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</si>
  <si>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</si>
  <si>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</si>
  <si>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</si>
  <si>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</si>
  <si>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</si>
  <si>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</si>
  <si>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</si>
  <si>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</si>
  <si>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</si>
  <si>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</si>
  <si>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</si>
  <si>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</si>
  <si>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</si>
  <si>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</si>
  <si>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</si>
  <si>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</si>
  <si>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</si>
  <si>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</si>
  <si>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</si>
  <si>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</si>
  <si>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</si>
  <si>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</si>
  <si>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</si>
  <si>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</si>
  <si>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</si>
  <si>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</si>
  <si>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</si>
  <si>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</si>
  <si>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</si>
  <si>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</si>
  <si>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</si>
  <si>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</si>
  <si>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</si>
  <si>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</si>
  <si>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</si>
  <si>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</si>
  <si>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</si>
  <si>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</si>
  <si>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</si>
  <si>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</si>
  <si>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</si>
  <si>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</si>
  <si>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</si>
  <si>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</si>
  <si>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</si>
  <si>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</si>
  <si>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</si>
  <si>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</si>
  <si>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</si>
  <si>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</si>
  <si>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</si>
  <si>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</si>
  <si>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</si>
  <si>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</si>
  <si>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</si>
  <si>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</si>
  <si>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</si>
  <si>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</si>
  <si>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</si>
  <si>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</si>
  <si>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</si>
  <si>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</si>
  <si>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</si>
  <si>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</si>
  <si>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</si>
  <si>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</si>
  <si>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</si>
  <si>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</si>
  <si>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</si>
  <si>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</si>
  <si>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</si>
  <si>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</si>
  <si>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</si>
  <si>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</si>
  <si>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</si>
  <si>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</si>
  <si>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</si>
  <si>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</si>
  <si>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</si>
  <si>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</si>
  <si>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</si>
  <si>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</si>
  <si>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</si>
  <si>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</si>
  <si>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</si>
  <si>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</si>
  <si>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</si>
  <si>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</si>
  <si>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</si>
  <si>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</si>
  <si>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</si>
  <si>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</si>
  <si>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</si>
  <si>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</si>
  <si>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</si>
  <si>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</si>
  <si>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</si>
  <si>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</si>
  <si>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</si>
  <si>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</si>
  <si>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</si>
  <si>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</si>
  <si>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</si>
  <si>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</si>
  <si>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</si>
  <si>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</si>
  <si>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</si>
  <si>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</si>
  <si>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</si>
  <si>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</si>
  <si>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</si>
  <si>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</si>
  <si>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</si>
  <si>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</si>
  <si>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</si>
  <si>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</si>
  <si>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</si>
  <si>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</si>
  <si>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</si>
  <si>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</si>
  <si>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</si>
  <si>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</si>
  <si>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</si>
  <si>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</si>
  <si>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</si>
  <si>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</si>
  <si>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</si>
  <si>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</si>
  <si>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</si>
  <si>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</si>
  <si>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</si>
  <si>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</si>
  <si>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</si>
  <si>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</si>
  <si>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</si>
  <si>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</si>
  <si>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</si>
  <si>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</si>
  <si>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</si>
  <si>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</si>
  <si>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</si>
  <si>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</si>
  <si>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</si>
  <si>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</si>
  <si>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</si>
  <si>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</si>
  <si>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</si>
  <si>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</si>
  <si>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</si>
  <si>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</si>
  <si>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</si>
  <si>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</si>
  <si>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</si>
  <si>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</si>
  <si>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</si>
  <si>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</si>
  <si>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</si>
  <si>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</si>
  <si>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</si>
  <si>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</si>
  <si>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</si>
  <si>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</si>
  <si>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</si>
  <si>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</si>
  <si>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</si>
  <si>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</si>
  <si>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</si>
  <si>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</si>
  <si>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</si>
  <si>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</si>
  <si>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</si>
  <si>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</si>
  <si>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</si>
  <si>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</si>
  <si>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</si>
  <si>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</si>
  <si>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</si>
  <si>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</si>
  <si>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</si>
  <si>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</si>
  <si>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</si>
  <si>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</si>
  <si>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</si>
  <si>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</si>
  <si>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</si>
  <si>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</si>
  <si>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</si>
  <si>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</si>
  <si>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</si>
  <si>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</si>
  <si>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</si>
  <si>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</si>
  <si>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</si>
  <si>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</si>
  <si>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</si>
  <si>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</si>
  <si>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</si>
  <si>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</si>
  <si>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</si>
  <si>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</si>
  <si>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</si>
  <si>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</si>
  <si>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</si>
  <si>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</si>
  <si>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</si>
  <si>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</si>
  <si>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</si>
  <si>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</si>
  <si>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</si>
  <si>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</si>
  <si>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</si>
  <si>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</si>
  <si>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</si>
  <si>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</si>
  <si>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</si>
  <si>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</si>
  <si>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</si>
  <si>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</si>
  <si>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</si>
  <si>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</si>
  <si>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</si>
  <si>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</si>
  <si>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</si>
  <si>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</si>
  <si>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</si>
  <si>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</si>
  <si>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</si>
  <si>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</si>
  <si>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</si>
  <si>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</si>
  <si>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</si>
  <si>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</si>
  <si>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</si>
  <si>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</si>
  <si>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</si>
  <si>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</si>
  <si>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</si>
  <si>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</si>
  <si>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</si>
  <si>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</si>
  <si>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</si>
  <si>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</si>
  <si>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</si>
  <si>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</si>
  <si>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</si>
  <si>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</si>
  <si>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</si>
  <si>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</si>
  <si>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</si>
  <si>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</si>
  <si>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</si>
  <si>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</si>
  <si>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</si>
  <si>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</si>
  <si>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</si>
  <si>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</si>
  <si>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</si>
  <si>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</si>
  <si>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</si>
  <si>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</si>
  <si>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</si>
  <si>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</si>
  <si>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</si>
  <si>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</si>
  <si>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</si>
  <si>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</si>
  <si>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</si>
  <si>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</si>
  <si>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</si>
  <si>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</si>
  <si>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</si>
  <si>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</si>
  <si>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</si>
  <si>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</si>
  <si>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</si>
  <si>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</si>
  <si>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</si>
  <si>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</si>
  <si>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</si>
  <si>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</si>
  <si>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</si>
  <si>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</si>
  <si>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</si>
  <si>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</si>
  <si>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</si>
  <si>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</si>
  <si>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</si>
  <si>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</si>
  <si>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</si>
  <si>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</si>
  <si>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</si>
  <si>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</si>
  <si>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</si>
  <si>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</si>
  <si>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</si>
  <si>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</si>
  <si>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</si>
  <si>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</si>
  <si>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</si>
  <si>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</si>
  <si>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</si>
  <si>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</si>
  <si>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</si>
  <si>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</si>
  <si>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</si>
  <si>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</si>
  <si>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</si>
  <si>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</si>
  <si>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</si>
  <si>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</si>
  <si>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</si>
  <si>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</si>
  <si>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</si>
  <si>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</si>
  <si>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</si>
  <si>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</si>
  <si>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</si>
  <si>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</si>
  <si>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</si>
  <si>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</si>
  <si>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</si>
  <si>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</si>
  <si>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</si>
  <si>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</si>
  <si>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</si>
  <si>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</si>
  <si>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</si>
  <si>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</si>
  <si>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</si>
  <si>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</si>
  <si>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</si>
  <si>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</si>
  <si>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</si>
  <si>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</si>
  <si>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</si>
  <si>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</si>
  <si>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</si>
  <si>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</si>
  <si>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</si>
  <si>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</si>
  <si>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</si>
  <si>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</si>
  <si>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</si>
  <si>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</si>
  <si>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</si>
  <si>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</si>
  <si>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</si>
  <si>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</si>
  <si>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</si>
  <si>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</si>
  <si>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</si>
  <si>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</si>
  <si>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</si>
  <si>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</si>
  <si>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</si>
  <si>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</si>
  <si>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</si>
  <si>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</si>
  <si>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</si>
  <si>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</si>
  <si>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</si>
  <si>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</si>
  <si>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</si>
  <si>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</si>
  <si>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</si>
  <si>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</si>
  <si>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</si>
  <si>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</si>
  <si>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</si>
  <si>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</si>
  <si>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</si>
  <si>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</si>
  <si>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</si>
  <si>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</si>
  <si>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</si>
  <si>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</si>
  <si>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</si>
  <si>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</si>
  <si>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</si>
  <si>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</si>
  <si>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</si>
  <si>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</si>
  <si>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</si>
  <si>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</si>
  <si>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</si>
  <si>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</si>
  <si>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</si>
  <si>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</si>
  <si>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</si>
  <si>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</si>
  <si>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</si>
  <si>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</si>
  <si>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</si>
  <si>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</si>
  <si>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</si>
  <si>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</si>
  <si>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</si>
  <si>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</si>
  <si>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</si>
  <si>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</si>
  <si>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</si>
  <si>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</si>
  <si>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</si>
  <si>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</si>
  <si>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</si>
  <si>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</si>
  <si>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</si>
  <si>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</si>
  <si>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</si>
  <si>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</si>
  <si>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</si>
  <si>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</si>
  <si>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</si>
  <si>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</si>
  <si>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</si>
  <si>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</si>
  <si>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</si>
  <si>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</si>
  <si>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</si>
  <si>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</si>
  <si>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</si>
  <si>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</si>
  <si>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</si>
  <si>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</si>
  <si>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</si>
  <si>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</si>
  <si>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</si>
  <si>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</si>
  <si>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</si>
  <si>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</si>
  <si>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</si>
  <si>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</si>
  <si>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</si>
  <si>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</si>
  <si>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</si>
  <si>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</si>
  <si>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</si>
  <si>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</si>
  <si>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</si>
  <si>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</si>
  <si>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</si>
  <si>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</si>
  <si>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</si>
  <si>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</si>
  <si>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</si>
  <si>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</si>
  <si>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</si>
  <si>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</si>
  <si>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</si>
  <si>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</si>
  <si>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</si>
  <si>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</si>
  <si>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</si>
  <si>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</si>
  <si>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</si>
  <si>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</si>
  <si>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</si>
  <si>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</si>
  <si>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</si>
  <si>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</si>
  <si>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</si>
  <si>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</si>
  <si>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</si>
  <si>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</si>
  <si>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</si>
  <si>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</si>
  <si>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</si>
  <si>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</si>
  <si>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</si>
  <si>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</si>
  <si>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</si>
  <si>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</si>
  <si>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</si>
  <si>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</si>
  <si>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</si>
  <si>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</si>
  <si>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</si>
  <si>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</si>
  <si>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</si>
  <si>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</si>
  <si>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</si>
  <si>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</si>
  <si>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</si>
  <si>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</si>
  <si>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</si>
  <si>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</si>
  <si>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</si>
  <si>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</si>
  <si>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</si>
  <si>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</si>
  <si>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</si>
  <si>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</si>
  <si>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</si>
  <si>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</si>
  <si>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</si>
  <si>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</si>
  <si>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</si>
  <si>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</si>
  <si>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</si>
  <si>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</si>
  <si>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</si>
  <si>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</si>
  <si>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</si>
  <si>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</si>
  <si>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</si>
  <si>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</si>
  <si>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</si>
  <si>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</si>
  <si>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</si>
  <si>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</si>
  <si>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</si>
  <si>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</si>
  <si>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</si>
  <si>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</si>
  <si>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</si>
  <si>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</si>
  <si>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</si>
  <si>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</si>
  <si>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</si>
  <si>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</si>
  <si>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</si>
  <si>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</si>
  <si>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</si>
  <si>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</si>
  <si>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</si>
  <si>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</si>
  <si>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</si>
  <si>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</si>
  <si>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</si>
  <si>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</si>
  <si>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</si>
  <si>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</si>
  <si>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</si>
  <si>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</si>
  <si>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</si>
  <si>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</si>
  <si>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</si>
  <si>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</si>
  <si>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</si>
  <si>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</si>
  <si>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</si>
  <si>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</si>
  <si>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</si>
  <si>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</si>
  <si>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</si>
  <si>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</si>
  <si>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</si>
  <si>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</si>
  <si>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</si>
  <si>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</si>
  <si>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</si>
  <si>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</si>
  <si>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</si>
  <si>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</si>
  <si>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</si>
  <si>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</si>
  <si>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</si>
  <si>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</si>
  <si>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</si>
  <si>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</si>
  <si>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</si>
  <si>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</si>
  <si>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</si>
  <si>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</si>
  <si>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</si>
  <si>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</si>
  <si>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</si>
  <si>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</si>
  <si>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</si>
  <si>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</si>
  <si>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</si>
  <si>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</si>
  <si>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</si>
  <si>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</si>
  <si>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</si>
  <si>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</si>
  <si>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</si>
  <si>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</si>
  <si>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</si>
  <si>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</si>
  <si>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</si>
  <si>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</si>
  <si>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</si>
  <si>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</si>
  <si>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</si>
  <si>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</si>
  <si>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</si>
  <si>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</si>
  <si>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</si>
  <si>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</si>
  <si>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</si>
  <si>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</si>
  <si>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</si>
  <si>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</si>
  <si>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</si>
  <si>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</si>
  <si>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</si>
  <si>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</si>
  <si>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</si>
  <si>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</si>
  <si>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</si>
  <si>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</si>
  <si>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</si>
  <si>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</si>
  <si>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</si>
  <si>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</si>
  <si>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</si>
  <si>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</si>
  <si>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</si>
  <si>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</si>
  <si>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</si>
  <si>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</si>
  <si>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</si>
  <si>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</si>
  <si>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</si>
  <si>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</si>
  <si>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</si>
  <si>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</si>
  <si>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</si>
  <si>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</si>
  <si>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</si>
  <si>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</si>
  <si>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</si>
  <si>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</si>
  <si>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</si>
  <si>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</si>
  <si>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</si>
  <si>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</si>
  <si>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</si>
  <si>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</si>
  <si>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</si>
  <si>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</si>
  <si>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</si>
  <si>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</si>
  <si>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</si>
  <si>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</si>
  <si>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</si>
  <si>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</si>
  <si>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</si>
  <si>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</si>
  <si>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</si>
  <si>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</si>
  <si>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</si>
  <si>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</si>
  <si>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</si>
  <si>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</si>
  <si>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</si>
  <si>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</si>
  <si>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</si>
  <si>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</si>
  <si>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</si>
  <si>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</si>
  <si>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</si>
  <si>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</si>
  <si>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</si>
  <si>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</si>
  <si>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</si>
  <si>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</si>
  <si>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</si>
  <si>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</si>
  <si>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</si>
  <si>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</si>
  <si>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</si>
  <si>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</si>
  <si>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</si>
  <si>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</si>
  <si>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</si>
  <si>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</si>
  <si>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</si>
  <si>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</si>
  <si>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</si>
  <si>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</si>
  <si>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</si>
  <si>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</si>
  <si>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</si>
  <si>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</si>
  <si>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</si>
  <si>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</si>
  <si>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</si>
  <si>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</si>
  <si>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</si>
  <si>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</si>
  <si>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</si>
  <si>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</si>
  <si>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</si>
  <si>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</si>
  <si>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</si>
  <si>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</si>
  <si>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</si>
  <si>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</si>
  <si>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</si>
  <si>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</si>
  <si>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</si>
  <si>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</si>
  <si>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</si>
  <si>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</si>
  <si>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</si>
  <si>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</si>
  <si>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</si>
  <si>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</si>
  <si>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</si>
  <si>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</si>
  <si>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</si>
  <si>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</si>
  <si>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</si>
  <si>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</si>
  <si>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</si>
  <si>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</si>
  <si>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</si>
  <si>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</si>
  <si>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</si>
  <si>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</si>
  <si>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</si>
  <si>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</si>
  <si>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</si>
  <si>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</si>
  <si>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</si>
  <si>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</si>
  <si>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</si>
  <si>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</si>
  <si>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</si>
  <si>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</si>
  <si>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</si>
  <si>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</si>
  <si>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</si>
  <si>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</si>
  <si>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</si>
  <si>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</si>
  <si>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</si>
  <si>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</si>
  <si>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</si>
  <si>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</si>
  <si>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</si>
  <si>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</si>
  <si>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</si>
  <si>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</si>
  <si>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</si>
  <si>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</si>
  <si>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</si>
  <si>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</si>
  <si>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</si>
  <si>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</si>
  <si>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</si>
  <si>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</si>
  <si>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</si>
  <si>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</si>
  <si>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</si>
  <si>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</si>
  <si>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</si>
  <si>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</si>
  <si>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</si>
  <si>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</si>
  <si>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</si>
  <si>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</si>
  <si>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</si>
  <si>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</si>
  <si>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</si>
  <si>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</si>
  <si>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</si>
  <si>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</si>
  <si>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</si>
  <si>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</si>
  <si>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</si>
  <si>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</si>
  <si>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</si>
  <si>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</si>
  <si>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</si>
  <si>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</si>
  <si>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</si>
  <si>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</si>
  <si>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</si>
  <si>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</si>
  <si>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</si>
  <si>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</si>
  <si>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</si>
  <si>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</si>
  <si>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</si>
  <si>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</si>
  <si>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</si>
  <si>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</si>
  <si>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</si>
  <si>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</si>
  <si>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</si>
  <si>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</si>
  <si>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</si>
  <si>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</si>
  <si>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</si>
  <si>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</si>
  <si>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</si>
  <si>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</si>
  <si>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</si>
  <si>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</si>
  <si>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</si>
  <si>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</si>
  <si>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</si>
  <si>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</si>
  <si>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</si>
  <si>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</si>
  <si>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</si>
  <si>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</si>
  <si>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</si>
  <si>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</si>
  <si>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</si>
  <si>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</si>
  <si>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</si>
  <si>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</si>
  <si>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</si>
  <si>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</si>
  <si>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</si>
  <si>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</si>
  <si>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</si>
  <si>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</si>
  <si>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</si>
  <si>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</si>
  <si>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</si>
  <si>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</si>
  <si>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</si>
  <si>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</si>
  <si>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</si>
  <si>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</si>
  <si>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</si>
  <si>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</si>
  <si>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</si>
  <si>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</si>
  <si>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</si>
  <si>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</si>
  <si>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</si>
  <si>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</si>
  <si>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</si>
  <si>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</si>
  <si>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</si>
  <si>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</si>
  <si>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</si>
  <si>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</si>
  <si>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</si>
  <si>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</si>
  <si>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</si>
  <si>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</si>
  <si>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</si>
  <si>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</si>
  <si>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</si>
  <si>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</si>
  <si>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</si>
  <si>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</si>
  <si>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</si>
  <si>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</si>
  <si>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</si>
  <si>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</si>
  <si>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</si>
  <si>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</si>
  <si>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</si>
  <si>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</si>
  <si>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</si>
  <si>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</si>
  <si>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</si>
  <si>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</si>
  <si>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</si>
  <si>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</si>
  <si>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</si>
  <si>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</si>
  <si>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</si>
  <si>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</si>
  <si>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</si>
  <si>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</si>
  <si>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</si>
  <si>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</si>
  <si>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</si>
  <si>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</si>
  <si>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</si>
  <si>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</si>
  <si>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</si>
  <si>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</si>
  <si>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</si>
  <si>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</si>
  <si>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</si>
  <si>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</si>
  <si>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</si>
  <si>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</si>
  <si>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</si>
  <si>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</si>
  <si>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</si>
  <si>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</si>
  <si>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</si>
  <si>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</si>
  <si>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</si>
  <si>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</si>
  <si>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</si>
  <si>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</si>
  <si>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</si>
  <si>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</si>
  <si>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</si>
  <si>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</si>
  <si>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</si>
  <si>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</si>
  <si>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</si>
  <si>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</si>
  <si>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</si>
  <si>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</si>
  <si>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</si>
  <si>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</si>
  <si>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</si>
  <si>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</si>
  <si>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</si>
  <si>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</si>
  <si>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</si>
  <si>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</si>
  <si>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</si>
  <si>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</si>
  <si>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</si>
  <si>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</si>
  <si>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</si>
  <si>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</si>
  <si>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</si>
  <si>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</si>
  <si>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</si>
  <si>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</si>
  <si>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</si>
  <si>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</si>
  <si>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</si>
  <si>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</si>
  <si>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</si>
  <si>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</si>
  <si>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</si>
  <si>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</si>
  <si>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</si>
  <si>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</si>
  <si>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</si>
  <si>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</si>
  <si>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</si>
  <si>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</si>
  <si>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</si>
  <si>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</si>
  <si>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</si>
  <si>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</si>
  <si>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</si>
  <si>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</si>
  <si>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</si>
  <si>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</si>
  <si>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</si>
  <si>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</si>
  <si>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</si>
  <si>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</si>
  <si>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</si>
  <si>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</si>
  <si>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</si>
  <si>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</si>
  <si>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</si>
  <si>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</si>
  <si>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</si>
  <si>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</si>
  <si>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</si>
  <si>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</si>
  <si>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</si>
  <si>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</si>
  <si>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</si>
  <si>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</si>
  <si>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</si>
  <si>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</si>
  <si>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</si>
  <si>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</si>
  <si>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</si>
  <si>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</si>
  <si>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</si>
  <si>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</si>
  <si>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</si>
  <si>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</si>
  <si>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</si>
  <si>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</si>
  <si>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</si>
  <si>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</si>
  <si>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</si>
  <si>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</si>
  <si>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</si>
  <si>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</si>
  <si>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</si>
  <si>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</si>
  <si>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</si>
  <si>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</si>
  <si>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</si>
  <si>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</si>
  <si>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</si>
  <si>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</si>
  <si>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</si>
  <si>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</si>
  <si>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</si>
  <si>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</si>
  <si>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</si>
  <si>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</si>
  <si>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</si>
  <si>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</si>
  <si>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</si>
  <si>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</si>
  <si>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</si>
  <si>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</si>
  <si>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</si>
  <si>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</si>
  <si>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</si>
  <si>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</si>
  <si>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</si>
  <si>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</si>
  <si>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</si>
  <si>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</si>
  <si>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</si>
  <si>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</si>
  <si>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</si>
  <si>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</si>
  <si>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</si>
  <si>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</si>
  <si>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</si>
  <si>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</si>
  <si>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</si>
  <si>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</si>
  <si>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</si>
  <si>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</si>
  <si>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</si>
  <si>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</si>
  <si>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</si>
  <si>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</si>
  <si>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</si>
  <si>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</si>
  <si>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</si>
  <si>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</si>
  <si>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</si>
  <si>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</si>
  <si>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</si>
  <si>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</si>
  <si>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</si>
  <si>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</si>
  <si>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</si>
  <si>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</si>
  <si>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</si>
  <si>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</si>
  <si>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</si>
  <si>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</si>
  <si>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</si>
  <si>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</si>
  <si>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</si>
  <si>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</si>
  <si>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</si>
  <si>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</si>
  <si>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</si>
  <si>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</si>
  <si>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</si>
  <si>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</si>
  <si>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</si>
  <si>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</si>
  <si>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</si>
  <si>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</si>
  <si>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</si>
  <si>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</si>
  <si>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</si>
  <si>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</si>
  <si>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</si>
  <si>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</si>
  <si>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</si>
  <si>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</si>
  <si>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</si>
  <si>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</si>
  <si>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</si>
  <si>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</si>
  <si>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</si>
  <si>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</si>
  <si>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</si>
  <si>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</si>
  <si>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</si>
  <si>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</si>
  <si>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</si>
  <si>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</si>
  <si>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</si>
  <si>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</si>
  <si>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</si>
  <si>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</si>
  <si>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</si>
  <si>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</si>
  <si>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</si>
  <si>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</si>
  <si>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</si>
  <si>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</si>
  <si>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</si>
  <si>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</si>
  <si>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</si>
  <si>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</si>
  <si>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</si>
  <si>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</si>
  <si>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</si>
  <si>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</si>
  <si>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</si>
  <si>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</si>
  <si>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</si>
  <si>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</si>
  <si>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</si>
  <si>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</si>
  <si>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</si>
  <si>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</si>
  <si>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</si>
  <si>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</si>
  <si>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</si>
  <si>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</si>
  <si>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</si>
  <si>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</si>
  <si>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</si>
  <si>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</si>
  <si>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</si>
  <si>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</si>
  <si>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</si>
  <si>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</si>
  <si>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</si>
  <si>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</si>
  <si>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</si>
  <si>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</si>
  <si>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</si>
  <si>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</si>
  <si>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</si>
  <si>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</si>
  <si>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</si>
  <si>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</si>
  <si>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</si>
  <si>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</si>
  <si>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</si>
  <si>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</si>
  <si>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</si>
  <si>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</si>
  <si>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</si>
  <si>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</si>
  <si>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</si>
  <si>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</si>
  <si>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</si>
  <si>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</si>
  <si>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</si>
  <si>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</si>
  <si>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</si>
  <si>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</si>
  <si>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</si>
  <si>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</si>
  <si>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</si>
  <si>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</si>
  <si>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</si>
  <si>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</si>
  <si>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</si>
  <si>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</si>
  <si>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</si>
  <si>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</si>
  <si>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</si>
  <si>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</si>
  <si>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</si>
  <si>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</si>
  <si>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</si>
  <si>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</si>
  <si>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</si>
  <si>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</si>
  <si>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</si>
  <si>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</si>
  <si>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</si>
  <si>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</si>
  <si>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</si>
  <si>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</si>
  <si>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</si>
  <si>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</si>
  <si>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</si>
  <si>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</si>
  <si>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</si>
  <si>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</si>
  <si>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</si>
  <si>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</si>
  <si>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</si>
  <si>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</si>
  <si>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</si>
  <si>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</si>
  <si>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</si>
  <si>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</si>
  <si>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</si>
  <si>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</si>
  <si>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</si>
  <si>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</si>
  <si>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</si>
  <si>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</si>
  <si>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</si>
  <si>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</si>
  <si>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</si>
  <si>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</si>
  <si>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</si>
  <si>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</si>
  <si>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</si>
  <si>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</si>
  <si>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</si>
  <si>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</si>
  <si>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</si>
  <si>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</si>
  <si>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</si>
  <si>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</si>
  <si>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</si>
  <si>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</si>
  <si>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</si>
  <si>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</si>
  <si>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</si>
  <si>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</si>
  <si>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</si>
  <si>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</si>
  <si>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</si>
  <si>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</si>
  <si>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</si>
  <si>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</si>
  <si>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</si>
  <si>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</si>
  <si>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</si>
  <si>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</si>
  <si>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</si>
  <si>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</si>
  <si>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</si>
  <si>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</si>
  <si>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</si>
  <si>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</si>
  <si>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</si>
  <si>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</si>
  <si>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</si>
  <si>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</si>
  <si>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</si>
  <si>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</si>
  <si>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</si>
  <si>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</si>
  <si>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</si>
  <si>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</si>
  <si>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</si>
  <si>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</si>
  <si>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</si>
  <si>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</si>
  <si>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</si>
  <si>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</si>
  <si>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</si>
  <si>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</si>
  <si>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</si>
  <si>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</si>
  <si>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</si>
  <si>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</si>
  <si>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</si>
  <si>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</si>
  <si>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</si>
  <si>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</si>
  <si>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</si>
  <si>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</si>
  <si>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</si>
  <si>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</si>
  <si>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</si>
  <si>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</si>
  <si>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</si>
  <si>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</si>
  <si>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</si>
  <si>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</si>
  <si>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</si>
  <si>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</si>
  <si>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</si>
  <si>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</si>
  <si>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</si>
  <si>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</si>
  <si>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</si>
  <si>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</si>
  <si>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</si>
  <si>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</si>
  <si>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</si>
  <si>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</si>
  <si>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</si>
  <si>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</si>
  <si>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</si>
  <si>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</si>
  <si>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</si>
  <si>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</si>
  <si>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</si>
  <si>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</si>
  <si>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</si>
  <si>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</si>
  <si>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</si>
  <si>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</si>
  <si>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</si>
  <si>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</si>
  <si>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</si>
  <si>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</si>
  <si>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</si>
  <si>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</si>
  <si>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</si>
  <si>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</si>
  <si>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</si>
  <si>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</si>
  <si>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</si>
  <si>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</si>
  <si>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</si>
  <si>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</si>
  <si>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</si>
  <si>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</si>
  <si>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</si>
  <si>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</si>
  <si>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</si>
  <si>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</si>
  <si>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</si>
  <si>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</si>
  <si>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</si>
  <si>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</si>
  <si>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</si>
  <si>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</si>
  <si>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</si>
  <si>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</si>
  <si>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</si>
  <si>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</si>
  <si>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</si>
  <si>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</si>
  <si>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</si>
  <si>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</si>
  <si>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</si>
  <si>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</si>
  <si>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</si>
  <si>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</si>
  <si>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</si>
  <si>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</si>
  <si>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</si>
  <si>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</si>
  <si>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</si>
  <si>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</si>
  <si>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</si>
  <si>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</si>
  <si>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</si>
  <si>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</si>
  <si>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</si>
  <si>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</si>
  <si>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</si>
  <si>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</si>
  <si>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</si>
  <si>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</si>
  <si>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</si>
  <si>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</si>
  <si>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</si>
  <si>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</si>
  <si>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</si>
  <si>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</si>
  <si>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</si>
  <si>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</si>
  <si>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</si>
  <si>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</si>
  <si>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</si>
  <si>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</si>
  <si>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</si>
  <si>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</si>
  <si>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</si>
  <si>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</si>
  <si>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</si>
  <si>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</si>
  <si>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</si>
  <si>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</si>
  <si>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</si>
  <si>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</si>
  <si>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</si>
  <si>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</si>
  <si>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</si>
  <si>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</si>
  <si>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</si>
  <si>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</si>
  <si>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</si>
  <si>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</si>
  <si>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</si>
  <si>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</si>
  <si>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</si>
  <si>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</si>
  <si>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</si>
  <si>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</si>
  <si>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</si>
  <si>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</si>
  <si>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</si>
  <si>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</si>
  <si>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</si>
  <si>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</si>
  <si>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</si>
  <si>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</si>
  <si>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</si>
  <si>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</si>
  <si>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</si>
  <si>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</si>
  <si>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</si>
  <si>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</si>
  <si>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</si>
  <si>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</si>
  <si>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</si>
  <si>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</si>
  <si>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</si>
  <si>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</si>
  <si>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</si>
  <si>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</si>
  <si>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</si>
  <si>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</si>
  <si>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</si>
  <si>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</si>
  <si>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</si>
  <si>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</si>
  <si>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</si>
  <si>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</si>
  <si>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</si>
  <si>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</si>
  <si>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</si>
  <si>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</si>
  <si>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</si>
  <si>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</si>
  <si>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</si>
  <si>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</si>
  <si>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</si>
  <si>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</si>
  <si>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</si>
  <si>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</si>
  <si>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</si>
  <si>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</si>
  <si>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</si>
  <si>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</si>
  <si>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</si>
  <si>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</si>
  <si>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</si>
  <si>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</si>
  <si>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</si>
  <si>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</si>
  <si>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</si>
  <si>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</si>
  <si>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</si>
  <si>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</si>
  <si>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</si>
  <si>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</si>
  <si>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</si>
  <si>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</si>
  <si>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</si>
  <si>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</si>
  <si>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</si>
  <si>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</si>
  <si>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</si>
  <si>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</si>
  <si>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</si>
  <si>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</si>
  <si>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</si>
  <si>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</si>
  <si>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</si>
  <si>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</si>
  <si>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</si>
  <si>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</si>
  <si>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</si>
  <si>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</si>
  <si>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</si>
  <si>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</si>
  <si>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</si>
  <si>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</si>
  <si>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</si>
  <si>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</si>
  <si>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</si>
  <si>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</si>
  <si>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</si>
  <si>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</si>
  <si>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</si>
  <si>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</si>
  <si>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</si>
  <si>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</si>
  <si>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</si>
  <si>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</si>
  <si>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</si>
  <si>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</si>
  <si>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</si>
  <si>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</si>
  <si>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</si>
  <si>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</si>
  <si>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</si>
  <si>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</si>
  <si>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</si>
  <si>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</si>
  <si>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</si>
  <si>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</si>
  <si>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</si>
  <si>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</si>
  <si>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</si>
  <si>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</si>
  <si>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</si>
  <si>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</si>
  <si>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</si>
  <si>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</si>
  <si>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</si>
  <si>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</si>
  <si>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</si>
  <si>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</si>
  <si>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</si>
  <si>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</si>
  <si>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</si>
  <si>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</si>
  <si>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</si>
  <si>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</si>
  <si>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</si>
  <si>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</si>
  <si>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</si>
  <si>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</si>
  <si>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</si>
  <si>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</si>
  <si>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</si>
  <si>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</si>
  <si>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</si>
  <si>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</si>
  <si>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</si>
  <si>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</si>
  <si>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</si>
  <si>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</si>
  <si>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</si>
  <si>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</si>
  <si>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</si>
  <si>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</si>
  <si>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</si>
  <si>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</si>
  <si>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</si>
  <si>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</si>
  <si>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</si>
  <si>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</si>
  <si>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</si>
  <si>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</si>
  <si>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</si>
  <si>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</si>
  <si>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</si>
  <si>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</si>
  <si>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</si>
  <si>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</si>
  <si>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</si>
  <si>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</si>
  <si>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</si>
  <si>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</si>
  <si>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</si>
  <si>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</si>
  <si>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</si>
  <si>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</si>
  <si>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</si>
  <si>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</si>
  <si>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</si>
  <si>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</si>
  <si>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</si>
  <si>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</si>
  <si>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</si>
  <si>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</si>
  <si>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</si>
  <si>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</si>
  <si>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</si>
  <si>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</si>
  <si>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</si>
  <si>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</si>
  <si>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</si>
  <si>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</si>
  <si>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</si>
  <si>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</si>
  <si>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</si>
  <si>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</si>
  <si>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</si>
  <si>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</si>
  <si>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</si>
  <si>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</si>
  <si>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</si>
  <si>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</si>
  <si>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</si>
  <si>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</si>
  <si>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</si>
  <si>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</si>
  <si>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</si>
  <si>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</si>
  <si>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</si>
  <si>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</si>
  <si>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</si>
  <si>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</si>
  <si>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</si>
  <si>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</si>
  <si>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</si>
  <si>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</si>
  <si>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</si>
  <si>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</si>
  <si>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</si>
  <si>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</si>
  <si>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</si>
  <si>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</si>
  <si>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</si>
  <si>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</si>
  <si>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</si>
  <si>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</si>
  <si>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</si>
  <si>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</si>
  <si>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</si>
  <si>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</si>
  <si>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</si>
  <si>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</si>
  <si>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</si>
  <si>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</si>
  <si>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</si>
  <si>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</si>
  <si>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</si>
  <si>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</si>
  <si>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</si>
  <si>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</si>
  <si>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</si>
  <si>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</si>
  <si>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</si>
  <si>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</si>
  <si>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</si>
  <si>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</si>
  <si>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</si>
  <si>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</si>
  <si>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</si>
  <si>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</si>
  <si>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</si>
  <si>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</si>
  <si>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</si>
  <si>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</si>
  <si>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</si>
  <si>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</si>
  <si>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</si>
  <si>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</si>
  <si>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</si>
  <si>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</si>
  <si>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</si>
  <si>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</si>
  <si>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</si>
  <si>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</si>
  <si>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</si>
  <si>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</si>
  <si>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</si>
  <si>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</si>
  <si>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</si>
  <si>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</si>
  <si>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</si>
  <si>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</si>
  <si>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</si>
  <si>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</si>
  <si>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</si>
  <si>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</si>
  <si>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</si>
  <si>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</si>
  <si>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</si>
  <si>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</si>
  <si>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</si>
  <si>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</si>
  <si>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</si>
  <si>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</si>
  <si>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</si>
  <si>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</si>
  <si>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</si>
  <si>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</si>
  <si>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</si>
  <si>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</si>
  <si>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</si>
  <si>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</si>
  <si>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</si>
  <si>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</si>
  <si>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</si>
  <si>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</si>
  <si>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</si>
  <si>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</si>
  <si>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</si>
  <si>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</si>
  <si>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</si>
  <si>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</si>
  <si>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</si>
  <si>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</si>
  <si>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</si>
  <si>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</si>
  <si>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</si>
  <si>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</si>
  <si>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</si>
  <si>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</si>
  <si>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</si>
  <si>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</si>
  <si>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</si>
  <si>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</si>
  <si>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</si>
  <si>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</si>
  <si>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</si>
  <si>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</si>
  <si>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</si>
  <si>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</si>
  <si>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</si>
  <si>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</si>
  <si>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</si>
  <si>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</si>
  <si>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</si>
  <si>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</si>
  <si>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</si>
  <si>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</si>
  <si>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</si>
  <si>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</si>
  <si>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</si>
  <si>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</si>
  <si>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</si>
  <si>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</si>
  <si>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</si>
  <si>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</si>
  <si>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</si>
  <si>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</si>
  <si>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</si>
  <si>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</si>
  <si>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</si>
  <si>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</si>
  <si>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</si>
  <si>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</si>
  <si>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</si>
  <si>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</si>
  <si>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</si>
  <si>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</si>
  <si>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</si>
  <si>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</si>
  <si>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</si>
  <si>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</si>
  <si>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</si>
  <si>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</si>
  <si>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</si>
  <si>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</si>
  <si>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</si>
  <si>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</si>
  <si>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</si>
  <si>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</si>
  <si>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</si>
  <si>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</si>
  <si>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</si>
  <si>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</si>
  <si>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</si>
  <si>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</si>
  <si>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</si>
  <si>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</si>
  <si>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</si>
  <si>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</si>
  <si>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</si>
  <si>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</si>
  <si>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</si>
  <si>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</si>
  <si>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</si>
  <si>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</si>
  <si>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</si>
  <si>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</si>
  <si>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</si>
  <si>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</si>
  <si>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</si>
  <si>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</si>
  <si>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</si>
  <si>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</si>
  <si>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</si>
  <si>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</si>
  <si>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</si>
  <si>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</si>
  <si>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</si>
  <si>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</si>
  <si>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</si>
  <si>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</si>
  <si>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</si>
  <si>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</si>
  <si>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</si>
  <si>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</si>
  <si>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</si>
  <si>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</si>
  <si>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</si>
  <si>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</si>
  <si>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</si>
  <si>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</si>
  <si>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</si>
  <si>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</si>
  <si>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</si>
  <si>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</si>
  <si>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</si>
  <si>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</si>
  <si>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</si>
  <si>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</si>
  <si>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</si>
  <si>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</si>
  <si>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</si>
  <si>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</si>
  <si>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</si>
  <si>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</si>
  <si>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</si>
  <si>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</si>
  <si>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</si>
  <si>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</si>
  <si>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</si>
  <si>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</si>
  <si>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</si>
  <si>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</si>
  <si>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</si>
  <si>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</si>
  <si>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</si>
  <si>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</si>
  <si>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</si>
  <si>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</si>
  <si>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</si>
  <si>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</si>
  <si>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</si>
  <si>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</si>
  <si>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</si>
  <si>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</si>
  <si>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</si>
  <si>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</si>
  <si>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</si>
  <si>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</si>
  <si>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</si>
  <si>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</si>
  <si>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</si>
  <si>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</si>
  <si>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</si>
  <si>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</si>
  <si>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</si>
  <si>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</si>
  <si>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</si>
  <si>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</si>
  <si>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</si>
  <si>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</si>
  <si>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</si>
  <si>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</si>
  <si>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</si>
  <si>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</si>
  <si>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</si>
  <si>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</si>
  <si>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</si>
  <si>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</si>
  <si>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</si>
  <si>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</si>
  <si>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</si>
  <si>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</si>
  <si>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</si>
  <si>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</si>
  <si>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</si>
  <si>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</si>
  <si>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</si>
  <si>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</si>
  <si>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</si>
  <si>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</si>
  <si>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</si>
  <si>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</si>
  <si>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</si>
  <si>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</si>
  <si>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</si>
  <si>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</si>
  <si>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</si>
  <si>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</si>
  <si>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</si>
  <si>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</si>
  <si>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</si>
  <si>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</si>
  <si>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</si>
  <si>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</si>
  <si>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</si>
  <si>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</si>
  <si>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</si>
  <si>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</si>
  <si>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</si>
  <si>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</si>
  <si>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</si>
  <si>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</si>
  <si>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</si>
  <si>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</si>
  <si>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</si>
  <si>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</si>
  <si>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</si>
  <si>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</si>
  <si>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</si>
  <si>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</si>
  <si>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</si>
  <si>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</si>
  <si>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</si>
  <si>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</si>
  <si>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</si>
  <si>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</si>
  <si>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</si>
  <si>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</si>
  <si>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</si>
  <si>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</si>
  <si>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</si>
  <si>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</si>
  <si>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</si>
  <si>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</si>
  <si>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</si>
  <si>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</si>
  <si>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</si>
  <si>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</si>
  <si>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</si>
  <si>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</si>
  <si>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</si>
  <si>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</si>
  <si>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</si>
  <si>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</si>
  <si>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</si>
  <si>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</si>
  <si>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</si>
  <si>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</si>
  <si>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</si>
  <si>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</si>
  <si>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</si>
  <si>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</si>
  <si>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</si>
  <si>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</si>
  <si>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</si>
  <si>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</si>
  <si>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</si>
  <si>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</si>
  <si>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</si>
  <si>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</si>
  <si>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</si>
  <si>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</si>
  <si>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</si>
  <si>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</si>
  <si>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</si>
  <si>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</si>
  <si>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</si>
  <si>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</si>
  <si>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</si>
  <si>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</si>
  <si>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</si>
  <si>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</si>
  <si>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</si>
  <si>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</si>
  <si>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</si>
  <si>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</si>
  <si>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</si>
  <si>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</si>
  <si>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</si>
  <si>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</si>
  <si>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</si>
  <si>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</si>
  <si>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</si>
  <si>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</si>
  <si>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</si>
  <si>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</si>
  <si>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</si>
  <si>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</si>
  <si>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</si>
  <si>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</si>
  <si>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</si>
  <si>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</si>
  <si>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</si>
  <si>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</si>
  <si>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</si>
  <si>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</si>
  <si>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</si>
  <si>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</si>
  <si>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</si>
  <si>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</si>
  <si>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</si>
  <si>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</si>
  <si>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</si>
  <si>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</si>
  <si>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</si>
  <si>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</si>
  <si>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</si>
  <si>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</si>
  <si>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</si>
  <si>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</si>
  <si>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</si>
  <si>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</si>
  <si>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</si>
  <si>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</si>
  <si>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</si>
  <si>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</si>
  <si>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</si>
  <si>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</si>
  <si>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</si>
  <si>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</si>
  <si>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</si>
  <si>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</si>
  <si>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</si>
  <si>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</si>
  <si>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</si>
  <si>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</si>
  <si>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</si>
  <si>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</si>
  <si>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</si>
  <si>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</si>
  <si>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</si>
  <si>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</si>
  <si>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</si>
  <si>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</si>
  <si>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</si>
  <si>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</si>
  <si>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</si>
  <si>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</si>
  <si>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</si>
  <si>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</si>
  <si>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</si>
  <si>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</si>
  <si>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</si>
  <si>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</si>
  <si>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</si>
  <si>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</si>
  <si>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</si>
  <si>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</si>
  <si>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</si>
  <si>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</si>
  <si>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</si>
  <si>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</si>
  <si>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</si>
  <si>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</si>
  <si>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</si>
  <si>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</si>
  <si>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</si>
  <si>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</si>
  <si>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</si>
  <si>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</si>
  <si>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</si>
  <si>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</si>
  <si>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</si>
  <si>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</si>
  <si>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</si>
  <si>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</si>
  <si>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</si>
  <si>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</si>
  <si>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</si>
  <si>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</si>
  <si>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</si>
  <si>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</si>
  <si>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</si>
  <si>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</si>
  <si>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</si>
  <si>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</si>
  <si>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</si>
  <si>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</si>
  <si>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</si>
  <si>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</si>
  <si>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</si>
  <si>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</si>
  <si>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</si>
  <si>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</si>
  <si>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</si>
  <si>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</si>
  <si>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</si>
  <si>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</si>
  <si>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</si>
  <si>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</si>
  <si>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</si>
  <si>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</si>
  <si>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</si>
  <si>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</si>
  <si>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</si>
  <si>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</si>
  <si>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</si>
  <si>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</si>
  <si>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</si>
  <si>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</si>
  <si>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</si>
  <si>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</si>
  <si>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</si>
  <si>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</si>
  <si>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</si>
  <si>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</si>
  <si>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</si>
  <si>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</si>
  <si>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</si>
  <si>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</si>
  <si>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</si>
  <si>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</si>
  <si>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</si>
  <si>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</si>
  <si>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</si>
  <si>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</si>
  <si>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</si>
  <si>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</si>
  <si>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</si>
  <si>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</si>
  <si>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</si>
  <si>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</si>
  <si>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</si>
  <si>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</si>
  <si>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</si>
  <si>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</si>
  <si>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</si>
  <si>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</si>
  <si>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</si>
  <si>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</si>
  <si>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</si>
  <si>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</si>
  <si>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</si>
  <si>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</si>
  <si>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</si>
  <si>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</si>
  <si>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</si>
  <si>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</si>
  <si>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</si>
  <si>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</si>
  <si>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</si>
  <si>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</si>
  <si>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</si>
  <si>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</si>
  <si>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</si>
  <si>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</si>
  <si>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</si>
  <si>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</si>
  <si>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</si>
  <si>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</si>
  <si>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</si>
  <si>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</si>
  <si>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</si>
  <si>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</si>
  <si>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</si>
  <si>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</si>
  <si>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</si>
  <si>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</si>
  <si>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</si>
  <si>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</si>
  <si>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</si>
  <si>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</si>
  <si>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</si>
  <si>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</si>
  <si>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</si>
  <si>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</si>
  <si>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</si>
  <si>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</si>
  <si>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</si>
  <si>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</si>
  <si>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</si>
  <si>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</si>
  <si>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</si>
  <si>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</si>
  <si>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</si>
  <si>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</si>
  <si>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</si>
  <si>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</si>
  <si>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</si>
  <si>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</si>
  <si>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</si>
  <si>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</si>
  <si>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</si>
  <si>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</si>
  <si>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</si>
  <si>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</si>
  <si>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</si>
  <si>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</si>
  <si>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</si>
  <si>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</si>
  <si>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</si>
  <si>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</si>
  <si>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</si>
  <si>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</si>
  <si>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</si>
  <si>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</si>
  <si>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</si>
  <si>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</si>
  <si>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</si>
  <si>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</si>
  <si>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</si>
  <si>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</si>
  <si>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</si>
  <si>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</si>
  <si>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</si>
  <si>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</si>
  <si>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</si>
  <si>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</si>
  <si>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</si>
  <si>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</si>
  <si>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</si>
  <si>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</si>
  <si>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</si>
  <si>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</si>
  <si>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</si>
  <si>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</si>
  <si>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</si>
  <si>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</si>
  <si>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</si>
  <si>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</si>
  <si>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</si>
  <si>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</si>
  <si>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</si>
  <si>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</si>
  <si>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</si>
  <si>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</si>
  <si>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</si>
  <si>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</si>
  <si>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</si>
  <si>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</si>
  <si>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</si>
  <si>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</si>
  <si>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</si>
  <si>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</si>
  <si>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</si>
  <si>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</si>
  <si>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</si>
  <si>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</si>
  <si>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</si>
  <si>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</si>
  <si>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</si>
  <si>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</si>
  <si>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</si>
  <si>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</si>
  <si>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</si>
  <si>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</si>
  <si>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</si>
  <si>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</si>
  <si>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</si>
  <si>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</si>
  <si>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</si>
  <si>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</si>
  <si>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</si>
  <si>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</si>
  <si>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</si>
  <si>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</si>
  <si>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</si>
  <si>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</si>
  <si>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</si>
  <si>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</si>
  <si>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</si>
  <si>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</si>
  <si>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</si>
  <si>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</si>
  <si>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</si>
  <si>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</si>
  <si>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</si>
  <si>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</si>
  <si>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</si>
  <si>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</si>
  <si>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</si>
  <si>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</si>
  <si>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</si>
  <si>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</si>
  <si>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</si>
  <si>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</si>
  <si>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</si>
  <si>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</si>
  <si>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</si>
  <si>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</si>
  <si>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</si>
  <si>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</si>
  <si>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</si>
  <si>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</si>
  <si>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</si>
  <si>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</si>
  <si>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</si>
  <si>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</si>
  <si>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</si>
  <si>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</si>
  <si>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</si>
  <si>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</si>
  <si>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</si>
  <si>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</si>
  <si>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</si>
  <si>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</si>
  <si>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</si>
  <si>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</si>
  <si>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</si>
  <si>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</si>
  <si>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</si>
  <si>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</si>
  <si>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</si>
  <si>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</si>
  <si>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</si>
  <si>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</si>
  <si>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</si>
  <si>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</si>
  <si>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</si>
  <si>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</si>
  <si>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</si>
  <si>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</si>
  <si>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</si>
  <si>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</si>
  <si>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</si>
  <si>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</si>
  <si>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</si>
  <si>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</si>
  <si>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</si>
  <si>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</si>
  <si>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</si>
  <si>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</si>
  <si>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</si>
  <si>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</si>
  <si>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</si>
  <si>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</si>
  <si>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</si>
  <si>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</si>
  <si>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</si>
  <si>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</si>
  <si>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</si>
  <si>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</si>
  <si>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</si>
  <si>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</si>
  <si>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</si>
  <si>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</si>
  <si>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</si>
  <si>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</si>
  <si>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</si>
  <si>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</si>
  <si>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</si>
  <si>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</si>
  <si>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</si>
  <si>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</si>
  <si>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</si>
  <si>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</si>
  <si>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</si>
  <si>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</si>
  <si>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</si>
  <si>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</si>
  <si>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</si>
  <si>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</si>
  <si>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</si>
  <si>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</si>
  <si>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</si>
  <si>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</si>
  <si>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</si>
  <si>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</si>
  <si>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</si>
  <si>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</si>
  <si>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</si>
  <si>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</si>
  <si>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</si>
  <si>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</si>
  <si>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</si>
  <si>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</si>
  <si>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</si>
  <si>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</si>
  <si>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</si>
  <si>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</si>
  <si>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</si>
  <si>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</si>
  <si>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</si>
  <si>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</si>
  <si>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</si>
  <si>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</si>
  <si>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</si>
  <si>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</si>
  <si>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</si>
  <si>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</si>
  <si>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</si>
  <si>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</si>
  <si>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</si>
  <si>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</si>
  <si>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</si>
  <si>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</si>
  <si>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</si>
  <si>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</si>
  <si>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</si>
  <si>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</si>
  <si>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</si>
  <si>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</si>
  <si>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</si>
  <si>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</si>
  <si>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</si>
  <si>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</si>
  <si>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</si>
  <si>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</si>
  <si>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</si>
  <si>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</si>
  <si>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</si>
  <si>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</si>
  <si>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</si>
  <si>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</si>
  <si>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</si>
  <si>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</si>
  <si>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</si>
  <si>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</si>
  <si>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</si>
  <si>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</si>
  <si>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</si>
  <si>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</si>
  <si>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</si>
  <si>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</si>
  <si>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</si>
  <si>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</si>
  <si>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</si>
  <si>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</si>
  <si>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</si>
  <si>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</si>
  <si>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</si>
  <si>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</si>
  <si>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</si>
  <si>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</si>
  <si>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</si>
  <si>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</si>
  <si>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</si>
  <si>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</si>
  <si>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</si>
  <si>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</si>
  <si>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</si>
  <si>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</si>
  <si>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</si>
  <si>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</si>
  <si>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</si>
  <si>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</si>
  <si>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</si>
  <si>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</si>
  <si>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</si>
  <si>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</si>
  <si>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</si>
  <si>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</si>
  <si>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</si>
  <si>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</si>
  <si>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</si>
  <si>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</si>
  <si>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</si>
  <si>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</si>
  <si>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</si>
  <si>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</si>
  <si>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</si>
  <si>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</si>
  <si>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</si>
  <si>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</si>
  <si>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</si>
  <si>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</si>
  <si>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</si>
  <si>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</si>
  <si>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</si>
  <si>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</si>
  <si>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</si>
  <si>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</si>
  <si>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</si>
  <si>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</si>
  <si>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</si>
  <si>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</si>
  <si>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</si>
  <si>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</si>
  <si>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</si>
  <si>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</si>
  <si>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</si>
  <si>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</si>
  <si>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</si>
  <si>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</si>
  <si>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</si>
  <si>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</si>
  <si>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</si>
  <si>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</si>
  <si>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</si>
  <si>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</si>
  <si>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</si>
  <si>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</si>
  <si>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</si>
  <si>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</si>
  <si>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</si>
  <si>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</si>
  <si>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</si>
  <si>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</si>
  <si>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</si>
  <si>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</si>
  <si>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</si>
  <si>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</si>
  <si>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</si>
  <si>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</si>
  <si>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</si>
  <si>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</si>
  <si>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</si>
  <si>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</si>
  <si>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</si>
  <si>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</si>
  <si>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</si>
  <si>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</si>
  <si>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</si>
  <si>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</si>
  <si>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</si>
  <si>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</si>
  <si>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</si>
  <si>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</si>
  <si>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</si>
  <si>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</si>
  <si>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</si>
  <si>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</si>
  <si>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</si>
  <si>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</si>
  <si>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</si>
  <si>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</si>
  <si>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</si>
  <si>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</si>
  <si>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</si>
  <si>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</si>
  <si>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</si>
  <si>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</si>
  <si>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</si>
  <si>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</si>
  <si>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</si>
  <si>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</si>
  <si>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</si>
  <si>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</si>
  <si>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</si>
  <si>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</si>
  <si>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</si>
  <si>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</si>
  <si>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</si>
  <si>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</si>
  <si>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</si>
  <si>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</si>
  <si>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</si>
  <si>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</si>
  <si>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</si>
  <si>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</si>
  <si>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</si>
  <si>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</si>
  <si>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</si>
  <si>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</si>
  <si>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</si>
  <si>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</si>
  <si>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</si>
  <si>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</si>
  <si>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</si>
  <si>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</si>
  <si>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</si>
  <si>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</si>
  <si>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</si>
  <si>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</si>
  <si>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</si>
  <si>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</si>
  <si>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</si>
  <si>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</si>
  <si>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</si>
  <si>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</si>
  <si>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</si>
  <si>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</si>
  <si>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</si>
  <si>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</si>
  <si>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</si>
  <si>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</si>
  <si>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</si>
  <si>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</si>
  <si>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</si>
  <si>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</si>
  <si>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</si>
  <si>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</si>
  <si>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</si>
  <si>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</si>
  <si>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</si>
  <si>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</si>
  <si>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</si>
  <si>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</si>
  <si>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</si>
  <si>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</si>
  <si>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</si>
  <si>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</si>
  <si>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</si>
  <si>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</si>
  <si>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</si>
  <si>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</si>
  <si>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</si>
  <si>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</si>
  <si>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</si>
  <si>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</si>
  <si>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</si>
  <si>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</si>
  <si>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</si>
  <si>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</si>
  <si>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</si>
  <si>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</si>
  <si>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</si>
  <si>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</si>
  <si>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</si>
  <si>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</si>
  <si>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</si>
  <si>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</si>
  <si>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</si>
  <si>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</si>
  <si>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</si>
  <si>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</si>
  <si>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</si>
  <si>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</si>
  <si>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</si>
  <si>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</si>
  <si>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</si>
  <si>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</si>
  <si>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</si>
  <si>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</si>
  <si>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</si>
  <si>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</si>
  <si>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</si>
  <si>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</si>
  <si>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</si>
  <si>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</si>
  <si>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</si>
  <si>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</si>
  <si>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</si>
  <si>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</si>
  <si>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</si>
  <si>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</si>
  <si>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</si>
  <si>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</si>
  <si>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</si>
  <si>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</si>
  <si>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</si>
  <si>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</si>
  <si>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</si>
  <si>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</si>
  <si>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</si>
  <si>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</si>
  <si>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</si>
  <si>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</si>
  <si>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</si>
  <si>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</si>
  <si>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</si>
  <si>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</si>
  <si>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</si>
  <si>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</si>
  <si>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</si>
  <si>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</si>
  <si>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</si>
  <si>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</si>
  <si>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</si>
  <si>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</si>
  <si>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</si>
  <si>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</si>
  <si>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</si>
  <si>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</si>
  <si>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</si>
  <si>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</si>
  <si>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</si>
  <si>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</si>
  <si>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</si>
  <si>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</si>
  <si>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</si>
  <si>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</si>
  <si>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</si>
  <si>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</si>
  <si>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</si>
  <si>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</si>
  <si>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</si>
  <si>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</si>
  <si>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</si>
  <si>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</si>
  <si>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</si>
  <si>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</si>
  <si>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</si>
  <si>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</si>
  <si>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</si>
  <si>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</si>
  <si>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</si>
  <si>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</si>
  <si>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</si>
  <si>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</si>
  <si>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</si>
  <si>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</si>
  <si>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</si>
  <si>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</si>
  <si>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</si>
  <si>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</si>
  <si>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</si>
  <si>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</si>
  <si>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</si>
  <si>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</si>
  <si>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</si>
  <si>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</si>
  <si>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</si>
  <si>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</si>
  <si>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</si>
  <si>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</si>
  <si>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</si>
  <si>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</si>
  <si>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</si>
  <si>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</si>
  <si>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</si>
  <si>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</si>
  <si>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</si>
  <si>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</si>
  <si>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</si>
  <si>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</si>
  <si>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</si>
  <si>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</si>
  <si>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</si>
  <si>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</si>
  <si>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</si>
  <si>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</si>
  <si>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</si>
  <si>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</si>
  <si>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</si>
  <si>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</si>
  <si>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</si>
  <si>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</si>
  <si>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</si>
  <si>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</si>
  <si>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</si>
  <si>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</si>
  <si>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</si>
  <si>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</si>
  <si>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</si>
  <si>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</si>
  <si>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</si>
  <si>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</si>
  <si>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</si>
  <si>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</si>
  <si>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</si>
  <si>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</si>
  <si>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</si>
  <si>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</si>
  <si>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</si>
  <si>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</si>
  <si>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</si>
  <si>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</si>
  <si>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</si>
  <si>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</si>
  <si>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</si>
  <si>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</si>
  <si>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</si>
  <si>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</si>
  <si>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</si>
  <si>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</si>
  <si>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</si>
  <si>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</si>
  <si>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</si>
  <si>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</si>
  <si>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</si>
  <si>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</si>
  <si>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</si>
  <si>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</si>
  <si>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</si>
  <si>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</si>
  <si>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</si>
  <si>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</si>
  <si>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</si>
  <si>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</si>
  <si>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</si>
  <si>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</si>
  <si>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</si>
  <si>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</si>
  <si>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</si>
  <si>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</si>
  <si>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</si>
  <si>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</si>
  <si>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</si>
  <si>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</si>
  <si>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</si>
  <si>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</si>
  <si>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</si>
  <si>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</si>
  <si>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</si>
  <si>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</si>
  <si>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</si>
  <si>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</si>
  <si>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</si>
  <si>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</si>
  <si>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</si>
  <si>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</si>
  <si>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</si>
  <si>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</si>
  <si>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</si>
  <si>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</si>
  <si>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</si>
  <si>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</si>
  <si>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</si>
  <si>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</si>
  <si>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</si>
  <si>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</si>
  <si>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</si>
  <si>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</si>
  <si>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</si>
  <si>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</si>
  <si>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</si>
  <si>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</si>
  <si>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</si>
  <si>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</si>
  <si>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</si>
  <si>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</si>
  <si>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</si>
  <si>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</si>
  <si>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</si>
  <si>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</si>
  <si>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</si>
  <si>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</si>
  <si>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</si>
  <si>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</si>
  <si>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</si>
  <si>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</si>
  <si>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</si>
  <si>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</si>
  <si>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</si>
  <si>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</si>
  <si>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</si>
  <si>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</si>
  <si>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</si>
  <si>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</si>
  <si>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</si>
  <si>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</si>
  <si>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</si>
  <si>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</si>
  <si>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</si>
  <si>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</si>
  <si>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</si>
  <si>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</si>
  <si>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</si>
  <si>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</si>
  <si>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</si>
  <si>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</si>
  <si>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</si>
  <si>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</si>
  <si>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</si>
  <si>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</si>
  <si>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</si>
  <si>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</si>
  <si>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</si>
  <si>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</si>
  <si>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</si>
  <si>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</si>
  <si>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</si>
  <si>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</si>
  <si>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</si>
  <si>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</si>
  <si>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</si>
  <si>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</si>
  <si>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</si>
  <si>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</si>
  <si>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</si>
  <si>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</si>
  <si>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</si>
  <si>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</si>
  <si>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</si>
  <si>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</si>
  <si>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</si>
  <si>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</si>
  <si>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</si>
  <si>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</si>
  <si>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</si>
  <si>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</si>
  <si>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</si>
  <si>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</si>
  <si>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</si>
  <si>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</si>
  <si>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</si>
  <si>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</si>
  <si>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</si>
  <si>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</si>
  <si>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</si>
  <si>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</si>
  <si>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</si>
  <si>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《Winged Sakura: AFK Duelists》是一款日系動漫風格的放置型RPG手遊，玩家將化身為「主人」，在現實結構撕裂的「無盡的夢」中，召喚強大的「靈」為榮譽而戰。遊戲主打佛系放置玩法，即使離線也能獲得被動收益，讓你不必再為農資源而苦惱。核心玩法圍繞著回合制自動戰鬥，玩家需要策略性地建立和客製化你的靈隊伍，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</si>
  <si>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</si>
  <si>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</si>
  <si>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</si>
  <si>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</si>
  <si>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你將穿梭於破碎的記憶與扭曲的景觀之中，挑戰巨大的頭目，揭開夢境世界背後的秘密。隨著冒險的深入，你可以解鎖並升級更強大的裝備與能力。為了讓你的夢境之旅更加順暢，別忘了隨時留意官方可能發布的兌換碼及禮包碼。如果想在遊戲初期就建立優勢，尋找專業的代儲值服務會是個好選擇，享受快速安全的交易，讓你無懼任何惡夢，成為夢境的守護者！</t>
    <phoneticPr fontId="2" type="noConversion"/>
  </si>
  <si>
    <t>https://apps.apple.com/tw/app/legend-of-ymir/id6748295875?at=1010l3Vj&amp;ct=GNN</t>
    <phoneticPr fontId="2" type="noConversion"/>
  </si>
  <si>
    <t>https://www.legendofymir.com/</t>
    <phoneticPr fontId="2" type="noConversion"/>
  </si>
  <si>
    <t>《Legend of Ymir》是經典 IP《傳奇》系列的嶄新篇章，由 Wemade 採用頂級 Unreal Engine 5 引擎精心打造的次世代 MMORPG。遊戲世界觀植根於神秘的北歐神話，玩家將踏上廣袤的伊米爾大陸，親身體驗一場圍繞著世界樹的史詩級戰爭。本作完美繼承了《傳奇》系列最核心的 PVP 玩法，並將其提升至全新高度，實現了超越伺服器限制的大規模攻城戰。你的每一次戰鬥，都將影響世界的格局。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</si>
</sst>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8">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printerSettings" Target="../printerSettings/printerSettings1.bin"/><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B255" activePane="bottomRight" state="frozen"/>
      <selection pane="topRight" activeCell="B1" sqref="B1"/>
      <selection pane="bottomLeft" activeCell="A2" sqref="A2"/>
      <selection pane="bottomRight" activeCell="H265" sqref="H265"/>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2" t="s">
        <v>1227</v>
      </c>
      <c r="K103" s="73">
        <v>2551</v>
      </c>
      <c r="L103" s="74" t="s">
        <v>1228</v>
      </c>
      <c r="M103" s="73">
        <v>1323</v>
      </c>
      <c r="N103" s="74" t="s">
        <v>1229</v>
      </c>
      <c r="O103" s="73">
        <v>539</v>
      </c>
      <c r="P103" s="74" t="s">
        <v>1230</v>
      </c>
      <c r="Q103" s="73">
        <v>394</v>
      </c>
      <c r="R103" s="74" t="s">
        <v>1231</v>
      </c>
      <c r="S103" s="73">
        <v>137</v>
      </c>
      <c r="T103" s="74" t="s">
        <v>1232</v>
      </c>
      <c r="U103" s="73">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2" t="s">
        <v>1235</v>
      </c>
      <c r="K104" s="73">
        <v>2551</v>
      </c>
      <c r="L104" s="74" t="s">
        <v>1236</v>
      </c>
      <c r="M104" s="73">
        <v>1323</v>
      </c>
      <c r="N104" s="74" t="s">
        <v>1237</v>
      </c>
      <c r="O104" s="73">
        <v>812</v>
      </c>
      <c r="P104" s="74" t="s">
        <v>1238</v>
      </c>
      <c r="Q104" s="73">
        <v>539</v>
      </c>
      <c r="R104" s="74" t="s">
        <v>1239</v>
      </c>
      <c r="S104" s="73">
        <v>394</v>
      </c>
      <c r="T104" s="74" t="s">
        <v>1240</v>
      </c>
      <c r="U104" s="73">
        <v>267</v>
      </c>
      <c r="V104" s="74" t="s">
        <v>1241</v>
      </c>
      <c r="W104" s="73">
        <v>137</v>
      </c>
      <c r="X104" s="74" t="s">
        <v>1242</v>
      </c>
      <c r="Y104" s="41">
        <v>89</v>
      </c>
      <c r="Z104" s="74" t="s">
        <v>1243</v>
      </c>
      <c r="AA104" s="41">
        <v>53</v>
      </c>
      <c r="AB104" s="74"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2" t="s">
        <v>12</v>
      </c>
      <c r="K105" s="73">
        <v>2551</v>
      </c>
      <c r="L105" s="74" t="s">
        <v>13</v>
      </c>
      <c r="M105" s="73">
        <v>1323</v>
      </c>
      <c r="N105" s="74" t="s">
        <v>14</v>
      </c>
      <c r="O105" s="73">
        <v>539</v>
      </c>
      <c r="P105" s="74" t="s">
        <v>15</v>
      </c>
      <c r="Q105" s="73">
        <v>394</v>
      </c>
      <c r="R105" s="74" t="s">
        <v>16</v>
      </c>
      <c r="S105" s="73">
        <v>137</v>
      </c>
      <c r="T105" s="74" t="s">
        <v>7</v>
      </c>
      <c r="U105" s="73">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2" t="s">
        <v>1249</v>
      </c>
      <c r="K106" s="73">
        <v>2551</v>
      </c>
      <c r="L106" s="74" t="s">
        <v>1250</v>
      </c>
      <c r="M106" s="73">
        <v>1323</v>
      </c>
      <c r="N106" s="74" t="s">
        <v>1251</v>
      </c>
      <c r="O106" s="73">
        <v>803</v>
      </c>
      <c r="P106" s="74" t="s">
        <v>1252</v>
      </c>
      <c r="Q106" s="73">
        <v>539</v>
      </c>
      <c r="R106" s="74" t="s">
        <v>1253</v>
      </c>
      <c r="S106" s="73">
        <v>394</v>
      </c>
      <c r="T106" s="74" t="s">
        <v>1254</v>
      </c>
      <c r="U106" s="73">
        <v>267</v>
      </c>
      <c r="V106" s="74" t="s">
        <v>1255</v>
      </c>
      <c r="W106" s="73">
        <v>137</v>
      </c>
      <c r="X106" s="74" t="s">
        <v>1256</v>
      </c>
      <c r="Y106" s="73">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2" t="s">
        <v>1259</v>
      </c>
      <c r="K107" s="73">
        <v>2551</v>
      </c>
      <c r="L107" s="74" t="s">
        <v>1260</v>
      </c>
      <c r="M107" s="73">
        <v>1631</v>
      </c>
      <c r="N107" s="74" t="s">
        <v>1261</v>
      </c>
      <c r="O107" s="73">
        <v>975</v>
      </c>
      <c r="P107" s="74" t="s">
        <v>1262</v>
      </c>
      <c r="Q107" s="73">
        <v>574</v>
      </c>
      <c r="R107" s="74" t="s">
        <v>1263</v>
      </c>
      <c r="S107" s="73">
        <v>241</v>
      </c>
      <c r="T107" s="74" t="s">
        <v>1264</v>
      </c>
      <c r="U107" s="73">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2" t="s">
        <v>1267</v>
      </c>
      <c r="K108" s="73">
        <v>2551</v>
      </c>
      <c r="L108" s="74" t="s">
        <v>1268</v>
      </c>
      <c r="M108" s="73">
        <v>1323</v>
      </c>
      <c r="N108" s="74" t="s">
        <v>1269</v>
      </c>
      <c r="O108" s="73">
        <v>539</v>
      </c>
      <c r="P108" s="74" t="s">
        <v>232</v>
      </c>
      <c r="Q108" s="73">
        <v>267</v>
      </c>
      <c r="R108" s="74" t="s">
        <v>16</v>
      </c>
      <c r="S108" s="73">
        <v>137</v>
      </c>
      <c r="T108" s="74" t="s">
        <v>1270</v>
      </c>
      <c r="U108" s="73">
        <v>283</v>
      </c>
      <c r="V108" s="74" t="s">
        <v>1271</v>
      </c>
      <c r="W108" s="73">
        <v>812</v>
      </c>
      <c r="X108" s="74" t="s">
        <v>1272</v>
      </c>
      <c r="Y108" s="73">
        <v>137</v>
      </c>
      <c r="Z108" s="74" t="s">
        <v>1273</v>
      </c>
      <c r="AA108" s="73">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4016</v>
      </c>
      <c r="J109" s="72" t="s">
        <v>1275</v>
      </c>
      <c r="K109" s="73">
        <v>2551</v>
      </c>
      <c r="L109" s="74" t="s">
        <v>5</v>
      </c>
      <c r="M109" s="73">
        <v>1323</v>
      </c>
      <c r="N109" s="74" t="s">
        <v>17</v>
      </c>
      <c r="O109" s="73">
        <v>539</v>
      </c>
      <c r="P109" s="74" t="s">
        <v>1276</v>
      </c>
      <c r="Q109" s="73">
        <v>267</v>
      </c>
      <c r="R109" s="74" t="s">
        <v>1277</v>
      </c>
      <c r="S109" s="73">
        <v>137</v>
      </c>
      <c r="T109" s="74" t="s">
        <v>1278</v>
      </c>
      <c r="U109" s="73">
        <v>324</v>
      </c>
      <c r="V109" s="74" t="s">
        <v>1279</v>
      </c>
      <c r="W109" s="73">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2" t="s">
        <v>1282</v>
      </c>
      <c r="K110" s="73">
        <v>2551</v>
      </c>
      <c r="L110" s="74" t="s">
        <v>1283</v>
      </c>
      <c r="M110" s="73">
        <v>1323</v>
      </c>
      <c r="N110" s="74" t="s">
        <v>1284</v>
      </c>
      <c r="O110" s="73">
        <v>812</v>
      </c>
      <c r="P110" s="74" t="s">
        <v>1285</v>
      </c>
      <c r="Q110" s="73">
        <v>394</v>
      </c>
      <c r="R110" s="74" t="s">
        <v>1286</v>
      </c>
      <c r="S110" s="73">
        <v>137</v>
      </c>
      <c r="T110" s="74" t="s">
        <v>1287</v>
      </c>
      <c r="U110" s="73">
        <v>539</v>
      </c>
      <c r="V110" s="74" t="s">
        <v>1288</v>
      </c>
      <c r="W110" s="73">
        <v>267</v>
      </c>
      <c r="X110" s="74" t="s">
        <v>1289</v>
      </c>
      <c r="Y110" s="73">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2" t="s">
        <v>235</v>
      </c>
      <c r="K111" s="73">
        <v>2551</v>
      </c>
      <c r="L111" s="74" t="s">
        <v>236</v>
      </c>
      <c r="M111" s="73">
        <v>1323</v>
      </c>
      <c r="N111" s="74" t="s">
        <v>1292</v>
      </c>
      <c r="O111" s="73">
        <v>812</v>
      </c>
      <c r="P111" s="74" t="s">
        <v>237</v>
      </c>
      <c r="Q111" s="73">
        <v>539</v>
      </c>
      <c r="R111" s="74" t="s">
        <v>238</v>
      </c>
      <c r="S111" s="73">
        <v>267</v>
      </c>
      <c r="T111" s="74" t="s">
        <v>239</v>
      </c>
      <c r="U111" s="73">
        <v>137</v>
      </c>
      <c r="V111" s="74" t="s">
        <v>240</v>
      </c>
      <c r="W111" s="73">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4" t="s">
        <v>7</v>
      </c>
      <c r="S113" s="73">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2" t="s">
        <v>1305</v>
      </c>
      <c r="K114" s="73">
        <v>2442</v>
      </c>
      <c r="L114" s="74" t="s">
        <v>1306</v>
      </c>
      <c r="M114" s="73">
        <v>1234</v>
      </c>
      <c r="N114" s="74" t="s">
        <v>1307</v>
      </c>
      <c r="O114" s="73">
        <v>582</v>
      </c>
      <c r="P114" s="74" t="s">
        <v>1308</v>
      </c>
      <c r="Q114" s="73">
        <v>270</v>
      </c>
      <c r="R114" s="74" t="s">
        <v>1309</v>
      </c>
      <c r="S114" s="73">
        <v>137</v>
      </c>
      <c r="T114" s="74" t="s">
        <v>1310</v>
      </c>
      <c r="U114" s="73">
        <v>27</v>
      </c>
      <c r="V114" s="74" t="s">
        <v>1311</v>
      </c>
      <c r="W114" s="73">
        <v>270</v>
      </c>
      <c r="X114" s="74" t="s">
        <v>1312</v>
      </c>
      <c r="Y114" s="73">
        <v>137</v>
      </c>
      <c r="Z114" s="74" t="s">
        <v>1313</v>
      </c>
      <c r="AA114" s="73">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2" t="s">
        <v>1316</v>
      </c>
      <c r="K115" s="73">
        <v>1232</v>
      </c>
      <c r="L115" s="74" t="s">
        <v>1317</v>
      </c>
      <c r="M115" s="73">
        <v>818</v>
      </c>
      <c r="N115" s="74" t="s">
        <v>1318</v>
      </c>
      <c r="O115" s="73">
        <v>578</v>
      </c>
      <c r="P115" s="74" t="s">
        <v>1319</v>
      </c>
      <c r="Q115" s="73">
        <v>185</v>
      </c>
      <c r="R115" s="74" t="s">
        <v>1320</v>
      </c>
      <c r="S115" s="73">
        <v>83</v>
      </c>
      <c r="T115" s="74" t="s">
        <v>1321</v>
      </c>
      <c r="U115" s="73">
        <v>35</v>
      </c>
      <c r="V115" s="74" t="s">
        <v>1322</v>
      </c>
      <c r="W115" s="73">
        <v>185</v>
      </c>
      <c r="X115" s="74" t="s">
        <v>1323</v>
      </c>
      <c r="Y115" s="73">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2" t="s">
        <v>1326</v>
      </c>
      <c r="K116" s="73">
        <v>578</v>
      </c>
      <c r="L116" s="74" t="s">
        <v>1327</v>
      </c>
      <c r="M116" s="73">
        <v>269</v>
      </c>
      <c r="N116" s="74" t="s">
        <v>1328</v>
      </c>
      <c r="O116" s="73">
        <v>110</v>
      </c>
      <c r="P116" s="74" t="s">
        <v>1329</v>
      </c>
      <c r="Q116" s="73">
        <v>83</v>
      </c>
      <c r="R116" s="74" t="s">
        <v>1330</v>
      </c>
      <c r="S116" s="73">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2" t="s">
        <v>1333</v>
      </c>
      <c r="K117" s="73">
        <v>1622</v>
      </c>
      <c r="L117" s="74" t="s">
        <v>1334</v>
      </c>
      <c r="M117" s="73">
        <v>818</v>
      </c>
      <c r="N117" s="74" t="s">
        <v>1335</v>
      </c>
      <c r="O117" s="73">
        <v>411</v>
      </c>
      <c r="P117" s="74" t="s">
        <v>1336</v>
      </c>
      <c r="Q117" s="73">
        <v>83</v>
      </c>
      <c r="R117" s="74" t="s">
        <v>1337</v>
      </c>
      <c r="S117" s="73">
        <v>35</v>
      </c>
      <c r="T117" s="74" t="s">
        <v>1338</v>
      </c>
      <c r="U117" s="73">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2" t="s">
        <v>1340</v>
      </c>
      <c r="K118" s="73">
        <v>2414</v>
      </c>
      <c r="L118" s="74" t="s">
        <v>1341</v>
      </c>
      <c r="M118" s="73">
        <v>1622</v>
      </c>
      <c r="N118" s="74" t="s">
        <v>1342</v>
      </c>
      <c r="O118" s="73">
        <v>1232</v>
      </c>
      <c r="P118" s="74" t="s">
        <v>1343</v>
      </c>
      <c r="Q118" s="73">
        <v>818</v>
      </c>
      <c r="R118" s="74" t="s">
        <v>1344</v>
      </c>
      <c r="S118" s="73">
        <v>578</v>
      </c>
      <c r="T118" s="74" t="s">
        <v>1345</v>
      </c>
      <c r="U118" s="73">
        <v>269</v>
      </c>
      <c r="V118" s="74" t="s">
        <v>1346</v>
      </c>
      <c r="W118" s="73">
        <v>138</v>
      </c>
      <c r="X118" s="74" t="s">
        <v>1347</v>
      </c>
      <c r="Y118" s="73">
        <v>83</v>
      </c>
      <c r="Z118" s="74" t="s">
        <v>1348</v>
      </c>
      <c r="AA118" s="73">
        <v>35</v>
      </c>
      <c r="AB118" s="74" t="s">
        <v>1349</v>
      </c>
      <c r="AC118" s="73">
        <v>2414</v>
      </c>
      <c r="AD118" s="74" t="s">
        <v>1350</v>
      </c>
      <c r="AE118" s="73">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2" t="s">
        <v>1353</v>
      </c>
      <c r="K119" s="73">
        <v>1867</v>
      </c>
      <c r="L119" s="74" t="s">
        <v>1354</v>
      </c>
      <c r="M119" s="73">
        <v>1232</v>
      </c>
      <c r="N119" s="74" t="s">
        <v>1355</v>
      </c>
      <c r="O119" s="73">
        <v>818</v>
      </c>
      <c r="P119" s="74" t="s">
        <v>1356</v>
      </c>
      <c r="Q119" s="73">
        <v>327</v>
      </c>
      <c r="R119" s="74" t="s">
        <v>1357</v>
      </c>
      <c r="S119" s="73">
        <v>185</v>
      </c>
      <c r="T119" s="74" t="s">
        <v>1358</v>
      </c>
      <c r="U119" s="73">
        <v>110</v>
      </c>
      <c r="V119" s="74" t="s">
        <v>1278</v>
      </c>
      <c r="W119" s="73">
        <v>185</v>
      </c>
      <c r="X119" s="74" t="s">
        <v>1359</v>
      </c>
      <c r="Y119" s="73">
        <v>818</v>
      </c>
      <c r="Z119" s="74" t="s">
        <v>1360</v>
      </c>
      <c r="AA119" s="73">
        <v>578</v>
      </c>
      <c r="AB119" s="74" t="s">
        <v>1361</v>
      </c>
      <c r="AC119" s="73">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2" t="s">
        <v>1364</v>
      </c>
      <c r="K120" s="73">
        <v>2011</v>
      </c>
      <c r="L120" s="74" t="s">
        <v>1365</v>
      </c>
      <c r="M120" s="73">
        <v>1066</v>
      </c>
      <c r="N120" s="74" t="s">
        <v>1366</v>
      </c>
      <c r="O120" s="73">
        <v>244</v>
      </c>
      <c r="P120" s="74" t="s">
        <v>1367</v>
      </c>
      <c r="Q120" s="73">
        <v>110</v>
      </c>
      <c r="R120" s="74" t="s">
        <v>1368</v>
      </c>
      <c r="S120" s="73">
        <v>35</v>
      </c>
      <c r="T120" s="74" t="s">
        <v>9</v>
      </c>
      <c r="U120" s="73">
        <v>653</v>
      </c>
      <c r="V120" s="74" t="s">
        <v>10</v>
      </c>
      <c r="W120" s="73">
        <v>244</v>
      </c>
      <c r="X120" s="74" t="s">
        <v>11</v>
      </c>
      <c r="Y120" s="73">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2" t="s">
        <v>1371</v>
      </c>
      <c r="K121" s="73">
        <v>1948</v>
      </c>
      <c r="L121" s="74" t="s">
        <v>1372</v>
      </c>
      <c r="M121" s="73">
        <v>984</v>
      </c>
      <c r="N121" s="74" t="s">
        <v>1373</v>
      </c>
      <c r="O121" s="73">
        <v>620</v>
      </c>
      <c r="P121" s="74" t="s">
        <v>1374</v>
      </c>
      <c r="Q121" s="73">
        <v>419</v>
      </c>
      <c r="R121" s="74" t="s">
        <v>1375</v>
      </c>
      <c r="S121" s="73">
        <v>210</v>
      </c>
      <c r="T121" s="74" t="s">
        <v>1376</v>
      </c>
      <c r="U121" s="73">
        <v>115</v>
      </c>
      <c r="V121" s="74" t="s">
        <v>1377</v>
      </c>
      <c r="W121" s="73">
        <v>32</v>
      </c>
      <c r="X121" s="74" t="s">
        <v>1378</v>
      </c>
      <c r="Y121" s="73">
        <v>984</v>
      </c>
      <c r="Z121" s="74" t="s">
        <v>1329</v>
      </c>
      <c r="AA121" s="73">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2" t="s">
        <v>18</v>
      </c>
      <c r="K122" s="73">
        <v>2551</v>
      </c>
      <c r="L122" s="74" t="s">
        <v>19</v>
      </c>
      <c r="M122" s="73">
        <v>1323</v>
      </c>
      <c r="N122" s="74" t="s">
        <v>20</v>
      </c>
      <c r="O122" s="73">
        <v>786</v>
      </c>
      <c r="P122" s="74" t="s">
        <v>21</v>
      </c>
      <c r="Q122" s="73">
        <v>539</v>
      </c>
      <c r="R122" s="74" t="s">
        <v>22</v>
      </c>
      <c r="S122" s="73">
        <v>267</v>
      </c>
      <c r="T122" s="74" t="s">
        <v>23</v>
      </c>
      <c r="U122" s="73">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2" t="s">
        <v>12</v>
      </c>
      <c r="K123" s="73">
        <v>2551</v>
      </c>
      <c r="L123" s="74" t="s">
        <v>13</v>
      </c>
      <c r="M123" s="73">
        <v>1323</v>
      </c>
      <c r="N123" s="74" t="s">
        <v>24</v>
      </c>
      <c r="O123" s="73">
        <v>786</v>
      </c>
      <c r="P123" s="74" t="s">
        <v>14</v>
      </c>
      <c r="Q123" s="73">
        <v>539</v>
      </c>
      <c r="R123" s="74" t="s">
        <v>16</v>
      </c>
      <c r="S123" s="73">
        <v>138</v>
      </c>
      <c r="T123" s="74" t="s">
        <v>25</v>
      </c>
      <c r="U123" s="73">
        <v>267</v>
      </c>
      <c r="V123" s="74" t="s">
        <v>26</v>
      </c>
      <c r="W123" s="73">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2" t="s">
        <v>27</v>
      </c>
      <c r="K124" s="73">
        <v>559</v>
      </c>
      <c r="L124" s="74" t="s">
        <v>28</v>
      </c>
      <c r="M124" s="73">
        <v>397</v>
      </c>
      <c r="N124" s="74" t="s">
        <v>29</v>
      </c>
      <c r="O124" s="73">
        <v>236</v>
      </c>
      <c r="P124" s="74" t="s">
        <v>30</v>
      </c>
      <c r="Q124" s="73">
        <v>133</v>
      </c>
      <c r="R124" s="74" t="s">
        <v>31</v>
      </c>
      <c r="S124" s="73">
        <v>80</v>
      </c>
      <c r="T124" s="74" t="s">
        <v>32</v>
      </c>
      <c r="U124" s="73">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2" t="s">
        <v>33</v>
      </c>
      <c r="K125" s="73">
        <v>2450</v>
      </c>
      <c r="L125" s="74" t="s">
        <v>34</v>
      </c>
      <c r="M125" s="73">
        <v>1328</v>
      </c>
      <c r="N125" s="74" t="s">
        <v>35</v>
      </c>
      <c r="O125" s="73">
        <v>808</v>
      </c>
      <c r="P125" s="74" t="s">
        <v>36</v>
      </c>
      <c r="Q125" s="73">
        <v>437</v>
      </c>
      <c r="R125" s="74" t="s">
        <v>37</v>
      </c>
      <c r="S125" s="73">
        <v>273</v>
      </c>
      <c r="T125" s="74" t="s">
        <v>38</v>
      </c>
      <c r="U125" s="73">
        <v>137</v>
      </c>
      <c r="V125" s="74" t="s">
        <v>39</v>
      </c>
      <c r="W125" s="73">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2" t="s">
        <v>40</v>
      </c>
      <c r="K126" s="73">
        <v>2333</v>
      </c>
      <c r="L126" s="74" t="s">
        <v>41</v>
      </c>
      <c r="M126" s="73">
        <v>1030</v>
      </c>
      <c r="N126" s="74" t="s">
        <v>42</v>
      </c>
      <c r="O126" s="73">
        <v>631</v>
      </c>
      <c r="P126" s="74" t="s">
        <v>43</v>
      </c>
      <c r="Q126" s="73">
        <v>236</v>
      </c>
      <c r="R126" s="74" t="s">
        <v>44</v>
      </c>
      <c r="S126" s="73">
        <v>115</v>
      </c>
      <c r="T126" s="74" t="s">
        <v>45</v>
      </c>
      <c r="U126" s="73">
        <v>35</v>
      </c>
      <c r="V126" s="74" t="s">
        <v>46</v>
      </c>
      <c r="W126" s="73">
        <v>2333</v>
      </c>
      <c r="X126" s="74" t="s">
        <v>47</v>
      </c>
      <c r="Y126" s="73">
        <v>1030</v>
      </c>
      <c r="Z126" s="74" t="s">
        <v>9</v>
      </c>
      <c r="AA126" s="73">
        <v>631</v>
      </c>
      <c r="AB126" s="74" t="s">
        <v>10</v>
      </c>
      <c r="AC126" s="73">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2" t="s">
        <v>48</v>
      </c>
      <c r="K127" s="73">
        <v>2333</v>
      </c>
      <c r="L127" s="74" t="s">
        <v>49</v>
      </c>
      <c r="M127" s="73">
        <v>1190</v>
      </c>
      <c r="N127" s="74" t="s">
        <v>50</v>
      </c>
      <c r="O127" s="73">
        <v>539</v>
      </c>
      <c r="P127" s="74" t="s">
        <v>51</v>
      </c>
      <c r="Q127" s="73">
        <v>267</v>
      </c>
      <c r="R127" s="74" t="s">
        <v>52</v>
      </c>
      <c r="S127" s="73">
        <v>115</v>
      </c>
      <c r="T127" s="74" t="s">
        <v>53</v>
      </c>
      <c r="U127" s="73">
        <v>35</v>
      </c>
      <c r="V127" s="74" t="s">
        <v>54</v>
      </c>
      <c r="W127" s="73">
        <v>138</v>
      </c>
      <c r="X127" s="74" t="s">
        <v>55</v>
      </c>
      <c r="Y127" s="73">
        <v>267</v>
      </c>
      <c r="Z127" s="74" t="s">
        <v>56</v>
      </c>
      <c r="AA127" s="73">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2" t="s">
        <v>61</v>
      </c>
      <c r="K128" s="73">
        <v>2551</v>
      </c>
      <c r="L128" s="74" t="s">
        <v>62</v>
      </c>
      <c r="M128" s="73">
        <v>1323</v>
      </c>
      <c r="N128" s="74" t="s">
        <v>63</v>
      </c>
      <c r="O128" s="73">
        <v>786</v>
      </c>
      <c r="P128" s="74" t="s">
        <v>64</v>
      </c>
      <c r="Q128" s="73">
        <v>539</v>
      </c>
      <c r="R128" s="74" t="s">
        <v>65</v>
      </c>
      <c r="S128" s="73">
        <v>267</v>
      </c>
      <c r="T128" s="74" t="s">
        <v>16</v>
      </c>
      <c r="U128" s="73">
        <v>138</v>
      </c>
      <c r="V128" s="74" t="s">
        <v>7</v>
      </c>
      <c r="W128" s="73">
        <v>35</v>
      </c>
      <c r="X128" s="74" t="s">
        <v>66</v>
      </c>
      <c r="Y128" s="73">
        <v>267</v>
      </c>
      <c r="Z128" s="74" t="s">
        <v>67</v>
      </c>
      <c r="AA128" s="73">
        <v>267</v>
      </c>
      <c r="AB128" s="74" t="s">
        <v>68</v>
      </c>
      <c r="AC128" s="73">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2" t="s">
        <v>69</v>
      </c>
      <c r="K129" s="73">
        <v>2551</v>
      </c>
      <c r="L129" s="74" t="s">
        <v>70</v>
      </c>
      <c r="M129" s="73">
        <v>1804</v>
      </c>
      <c r="N129" s="74" t="s">
        <v>71</v>
      </c>
      <c r="O129" s="73">
        <v>1323</v>
      </c>
      <c r="P129" s="74" t="s">
        <v>72</v>
      </c>
      <c r="Q129" s="73">
        <v>786</v>
      </c>
      <c r="R129" s="74" t="s">
        <v>73</v>
      </c>
      <c r="S129" s="73">
        <v>539</v>
      </c>
      <c r="T129" s="74" t="s">
        <v>74</v>
      </c>
      <c r="U129" s="73">
        <v>397</v>
      </c>
      <c r="V129" s="74" t="s">
        <v>75</v>
      </c>
      <c r="W129" s="73">
        <v>138</v>
      </c>
      <c r="X129" s="74" t="s">
        <v>76</v>
      </c>
      <c r="Y129" s="73">
        <v>89</v>
      </c>
      <c r="Z129" s="74" t="s">
        <v>77</v>
      </c>
      <c r="AA129" s="73">
        <v>62</v>
      </c>
      <c r="AB129" s="74" t="s">
        <v>78</v>
      </c>
      <c r="AC129" s="73">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2" t="s">
        <v>79</v>
      </c>
      <c r="K130" s="73">
        <v>2099</v>
      </c>
      <c r="L130" s="74" t="s">
        <v>80</v>
      </c>
      <c r="M130" s="73">
        <v>1410</v>
      </c>
      <c r="N130" s="74" t="s">
        <v>81</v>
      </c>
      <c r="O130" s="73">
        <v>786</v>
      </c>
      <c r="P130" s="74" t="s">
        <v>82</v>
      </c>
      <c r="Q130" s="73">
        <v>539</v>
      </c>
      <c r="R130" s="74" t="s">
        <v>83</v>
      </c>
      <c r="S130" s="73">
        <v>267</v>
      </c>
      <c r="T130" s="74" t="s">
        <v>84</v>
      </c>
      <c r="U130" s="73">
        <v>138</v>
      </c>
      <c r="V130" s="74" t="s">
        <v>85</v>
      </c>
      <c r="W130" s="73">
        <v>138</v>
      </c>
      <c r="X130" s="74" t="s">
        <v>86</v>
      </c>
      <c r="Y130" s="73">
        <v>397</v>
      </c>
      <c r="Z130" s="74" t="s">
        <v>87</v>
      </c>
      <c r="AA130" s="73">
        <v>539</v>
      </c>
      <c r="AB130" s="74" t="s">
        <v>88</v>
      </c>
      <c r="AC130" s="73">
        <v>267</v>
      </c>
      <c r="AD130" s="74" t="s">
        <v>89</v>
      </c>
      <c r="AE130" s="73">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2" t="s">
        <v>90</v>
      </c>
      <c r="K131" s="73">
        <v>2333</v>
      </c>
      <c r="L131" s="74" t="s">
        <v>91</v>
      </c>
      <c r="M131" s="73">
        <v>1190</v>
      </c>
      <c r="N131" s="74" t="s">
        <v>92</v>
      </c>
      <c r="O131" s="73">
        <v>786</v>
      </c>
      <c r="P131" s="74" t="s">
        <v>93</v>
      </c>
      <c r="Q131" s="73">
        <v>559</v>
      </c>
      <c r="R131" s="74" t="s">
        <v>94</v>
      </c>
      <c r="S131" s="73">
        <v>267</v>
      </c>
      <c r="T131" s="74" t="s">
        <v>95</v>
      </c>
      <c r="U131" s="73">
        <v>133</v>
      </c>
      <c r="V131" s="74" t="s">
        <v>96</v>
      </c>
      <c r="W131" s="73">
        <v>27</v>
      </c>
      <c r="X131" s="74" t="s">
        <v>97</v>
      </c>
      <c r="Y131" s="73">
        <v>133</v>
      </c>
      <c r="Z131" s="74" t="s">
        <v>98</v>
      </c>
      <c r="AA131" s="73">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2" t="s">
        <v>12</v>
      </c>
      <c r="K132" s="73">
        <v>2551</v>
      </c>
      <c r="L132" s="74" t="s">
        <v>118</v>
      </c>
      <c r="M132" s="73">
        <v>1804</v>
      </c>
      <c r="N132" s="74" t="s">
        <v>119</v>
      </c>
      <c r="O132" s="73">
        <v>1323</v>
      </c>
      <c r="P132" s="74" t="s">
        <v>24</v>
      </c>
      <c r="Q132" s="73">
        <v>786</v>
      </c>
      <c r="R132" s="74" t="s">
        <v>14</v>
      </c>
      <c r="S132" s="73">
        <v>539</v>
      </c>
      <c r="T132" s="74" t="s">
        <v>15</v>
      </c>
      <c r="U132" s="73">
        <v>397</v>
      </c>
      <c r="V132" s="74" t="s">
        <v>120</v>
      </c>
      <c r="W132" s="73">
        <v>267</v>
      </c>
      <c r="X132" s="74" t="s">
        <v>16</v>
      </c>
      <c r="Y132" s="73">
        <v>138</v>
      </c>
      <c r="Z132" s="74" t="s">
        <v>121</v>
      </c>
      <c r="AA132" s="73">
        <v>89</v>
      </c>
      <c r="AB132" s="74" t="s">
        <v>7</v>
      </c>
      <c r="AC132" s="73">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2" t="s">
        <v>101</v>
      </c>
      <c r="K133" s="73">
        <v>2551</v>
      </c>
      <c r="L133" s="74" t="s">
        <v>102</v>
      </c>
      <c r="M133" s="73">
        <v>1323</v>
      </c>
      <c r="N133" s="74" t="s">
        <v>103</v>
      </c>
      <c r="O133" s="73">
        <v>559</v>
      </c>
      <c r="P133" s="74" t="s">
        <v>104</v>
      </c>
      <c r="Q133" s="73">
        <v>267</v>
      </c>
      <c r="R133" s="74" t="s">
        <v>105</v>
      </c>
      <c r="S133" s="73">
        <v>138</v>
      </c>
      <c r="T133" s="74" t="s">
        <v>106</v>
      </c>
      <c r="U133" s="73">
        <v>35</v>
      </c>
      <c r="V133" s="74" t="s">
        <v>107</v>
      </c>
      <c r="W133" s="73">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2" t="s">
        <v>108</v>
      </c>
      <c r="K134" s="73">
        <v>1943</v>
      </c>
      <c r="L134" s="74" t="s">
        <v>109</v>
      </c>
      <c r="M134" s="73">
        <v>1030</v>
      </c>
      <c r="N134" s="74" t="s">
        <v>110</v>
      </c>
      <c r="O134" s="73">
        <v>631</v>
      </c>
      <c r="P134" s="74" t="s">
        <v>111</v>
      </c>
      <c r="Q134" s="73">
        <v>236</v>
      </c>
      <c r="R134" s="74" t="s">
        <v>112</v>
      </c>
      <c r="S134" s="73">
        <v>53</v>
      </c>
      <c r="T134" s="74" t="s">
        <v>113</v>
      </c>
      <c r="U134" s="73">
        <v>107</v>
      </c>
      <c r="V134" s="74" t="s">
        <v>114</v>
      </c>
      <c r="W134" s="73">
        <v>631</v>
      </c>
      <c r="X134" s="74" t="s">
        <v>115</v>
      </c>
      <c r="Y134" s="73">
        <v>397</v>
      </c>
      <c r="Z134" s="74" t="s">
        <v>116</v>
      </c>
      <c r="AA134" s="73">
        <v>1804</v>
      </c>
      <c r="AB134" s="74" t="s">
        <v>117</v>
      </c>
      <c r="AC134" s="73">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2" t="s">
        <v>125</v>
      </c>
      <c r="K135" s="73">
        <v>2551</v>
      </c>
      <c r="L135" s="74" t="s">
        <v>126</v>
      </c>
      <c r="M135" s="73">
        <v>2386</v>
      </c>
      <c r="N135" s="74" t="s">
        <v>127</v>
      </c>
      <c r="O135" s="73">
        <v>1987</v>
      </c>
      <c r="P135" s="74" t="s">
        <v>128</v>
      </c>
      <c r="Q135" s="73">
        <v>1323</v>
      </c>
      <c r="R135" s="74" t="s">
        <v>129</v>
      </c>
      <c r="S135" s="73">
        <v>1078</v>
      </c>
      <c r="T135" s="74" t="s">
        <v>130</v>
      </c>
      <c r="U135" s="73">
        <v>786</v>
      </c>
      <c r="V135" s="74" t="s">
        <v>131</v>
      </c>
      <c r="W135" s="73">
        <v>539</v>
      </c>
      <c r="X135" s="74" t="s">
        <v>132</v>
      </c>
      <c r="Y135" s="73">
        <v>394</v>
      </c>
      <c r="Z135" s="74" t="s">
        <v>133</v>
      </c>
      <c r="AA135" s="73">
        <v>267</v>
      </c>
      <c r="AB135" s="74" t="s">
        <v>134</v>
      </c>
      <c r="AC135" s="73">
        <v>141</v>
      </c>
      <c r="AD135" s="74" t="s">
        <v>135</v>
      </c>
      <c r="AE135" s="73">
        <v>27</v>
      </c>
      <c r="AF135" s="74" t="s">
        <v>136</v>
      </c>
      <c r="AG135" s="73">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2" t="s">
        <v>4</v>
      </c>
      <c r="K136" s="73">
        <v>2551</v>
      </c>
      <c r="L136" s="74" t="s">
        <v>137</v>
      </c>
      <c r="M136" s="73">
        <v>1323</v>
      </c>
      <c r="N136" s="74" t="s">
        <v>138</v>
      </c>
      <c r="O136" s="73">
        <v>539</v>
      </c>
      <c r="P136" s="74" t="s">
        <v>139</v>
      </c>
      <c r="Q136" s="73">
        <v>267</v>
      </c>
      <c r="R136" s="74" t="s">
        <v>140</v>
      </c>
      <c r="S136" s="73">
        <v>141</v>
      </c>
      <c r="T136" s="74" t="s">
        <v>7</v>
      </c>
      <c r="U136" s="73">
        <v>30</v>
      </c>
      <c r="V136" s="74" t="s">
        <v>141</v>
      </c>
      <c r="W136" s="73">
        <v>141</v>
      </c>
      <c r="X136" s="74" t="s">
        <v>142</v>
      </c>
      <c r="Y136" s="73">
        <v>539</v>
      </c>
      <c r="Z136" s="74" t="s">
        <v>143</v>
      </c>
      <c r="AA136" s="73">
        <v>267</v>
      </c>
      <c r="AB136" s="74" t="s">
        <v>144</v>
      </c>
      <c r="AC136" s="73">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2" t="s">
        <v>145</v>
      </c>
      <c r="K137" s="73">
        <v>1845</v>
      </c>
      <c r="L137" s="74" t="s">
        <v>146</v>
      </c>
      <c r="M137" s="73">
        <v>786</v>
      </c>
      <c r="N137" s="74" t="s">
        <v>147</v>
      </c>
      <c r="O137" s="73">
        <v>539</v>
      </c>
      <c r="P137" s="74" t="s">
        <v>148</v>
      </c>
      <c r="Q137" s="73">
        <v>183</v>
      </c>
      <c r="R137" s="74" t="s">
        <v>149</v>
      </c>
      <c r="S137" s="73">
        <v>109</v>
      </c>
      <c r="T137" s="74" t="s">
        <v>64</v>
      </c>
      <c r="U137" s="73">
        <v>30</v>
      </c>
      <c r="V137" s="74" t="s">
        <v>150</v>
      </c>
      <c r="W137" s="73">
        <v>1603</v>
      </c>
      <c r="X137" s="74" t="s">
        <v>47</v>
      </c>
      <c r="Y137" s="73">
        <v>1054</v>
      </c>
      <c r="Z137" s="74" t="s">
        <v>151</v>
      </c>
      <c r="AA137" s="73">
        <v>786</v>
      </c>
      <c r="AB137" s="74" t="s">
        <v>152</v>
      </c>
      <c r="AC137" s="73">
        <v>539</v>
      </c>
      <c r="AD137" s="74" t="s">
        <v>153</v>
      </c>
      <c r="AE137" s="73">
        <v>394</v>
      </c>
      <c r="AF137" s="74" t="s">
        <v>154</v>
      </c>
      <c r="AG137" s="73">
        <v>158</v>
      </c>
      <c r="AH137" s="74" t="s">
        <v>11</v>
      </c>
      <c r="AI137" s="73">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2" t="s">
        <v>155</v>
      </c>
      <c r="K138" s="73">
        <v>2551</v>
      </c>
      <c r="L138" s="74" t="s">
        <v>156</v>
      </c>
      <c r="M138" s="73">
        <v>1323</v>
      </c>
      <c r="N138" s="74" t="s">
        <v>157</v>
      </c>
      <c r="O138" s="73">
        <v>786</v>
      </c>
      <c r="P138" s="74" t="s">
        <v>158</v>
      </c>
      <c r="Q138" s="73">
        <v>539</v>
      </c>
      <c r="R138" s="74" t="s">
        <v>159</v>
      </c>
      <c r="S138" s="73">
        <v>394</v>
      </c>
      <c r="T138" s="74" t="s">
        <v>160</v>
      </c>
      <c r="U138" s="73">
        <v>267</v>
      </c>
      <c r="V138" s="74" t="s">
        <v>161</v>
      </c>
      <c r="W138" s="73">
        <v>141</v>
      </c>
      <c r="X138" s="74" t="s">
        <v>162</v>
      </c>
      <c r="Y138" s="73">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2" t="s">
        <v>4</v>
      </c>
      <c r="K139" s="73">
        <v>2551</v>
      </c>
      <c r="L139" s="74" t="s">
        <v>5</v>
      </c>
      <c r="M139" s="73">
        <v>1323</v>
      </c>
      <c r="N139" s="74" t="s">
        <v>17</v>
      </c>
      <c r="O139" s="73">
        <v>539</v>
      </c>
      <c r="P139" s="74" t="s">
        <v>163</v>
      </c>
      <c r="Q139" s="73">
        <v>267</v>
      </c>
      <c r="R139" s="74" t="s">
        <v>6</v>
      </c>
      <c r="S139" s="73">
        <v>141</v>
      </c>
      <c r="T139" s="74" t="s">
        <v>164</v>
      </c>
      <c r="U139" s="73">
        <v>30</v>
      </c>
      <c r="V139" s="74" t="s">
        <v>165</v>
      </c>
      <c r="W139" s="73">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2" t="s">
        <v>168</v>
      </c>
      <c r="K140" s="73">
        <v>2551</v>
      </c>
      <c r="L140" s="74" t="s">
        <v>169</v>
      </c>
      <c r="M140" s="73">
        <v>1323</v>
      </c>
      <c r="N140" s="74" t="s">
        <v>170</v>
      </c>
      <c r="O140" s="73">
        <v>786</v>
      </c>
      <c r="P140" s="74" t="s">
        <v>171</v>
      </c>
      <c r="Q140" s="73">
        <v>539</v>
      </c>
      <c r="R140" s="74" t="s">
        <v>172</v>
      </c>
      <c r="S140" s="73">
        <v>394</v>
      </c>
      <c r="T140" s="74" t="s">
        <v>173</v>
      </c>
      <c r="U140" s="73">
        <v>267</v>
      </c>
      <c r="V140" s="74" t="s">
        <v>174</v>
      </c>
      <c r="W140" s="73">
        <v>148</v>
      </c>
      <c r="X140" s="74" t="s">
        <v>175</v>
      </c>
      <c r="Y140" s="73">
        <v>35</v>
      </c>
      <c r="Z140" s="74" t="s">
        <v>176</v>
      </c>
      <c r="AA140" s="73">
        <v>52</v>
      </c>
      <c r="AB140" s="74" t="s">
        <v>177</v>
      </c>
      <c r="AC140" s="73">
        <v>267</v>
      </c>
      <c r="AD140" s="74" t="s">
        <v>178</v>
      </c>
      <c r="AE140" s="73">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2" t="s">
        <v>179</v>
      </c>
      <c r="K141" s="73">
        <v>2753</v>
      </c>
      <c r="L141" s="74" t="s">
        <v>180</v>
      </c>
      <c r="M141" s="73">
        <v>1394</v>
      </c>
      <c r="N141" s="74" t="s">
        <v>181</v>
      </c>
      <c r="O141" s="73">
        <v>850</v>
      </c>
      <c r="P141" s="74" t="s">
        <v>182</v>
      </c>
      <c r="Q141" s="73">
        <v>539</v>
      </c>
      <c r="R141" s="74" t="s">
        <v>183</v>
      </c>
      <c r="S141" s="73">
        <v>289</v>
      </c>
      <c r="T141" s="74" t="s">
        <v>65</v>
      </c>
      <c r="U141" s="73">
        <v>152</v>
      </c>
      <c r="V141" s="74" t="s">
        <v>121</v>
      </c>
      <c r="W141" s="73">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2" t="s">
        <v>4</v>
      </c>
      <c r="K142" s="73">
        <v>2474</v>
      </c>
      <c r="L142" s="74" t="s">
        <v>5</v>
      </c>
      <c r="M142" s="73">
        <v>1257</v>
      </c>
      <c r="N142" s="74" t="s">
        <v>17</v>
      </c>
      <c r="O142" s="73">
        <v>522</v>
      </c>
      <c r="P142" s="74" t="s">
        <v>163</v>
      </c>
      <c r="Q142" s="73">
        <v>267</v>
      </c>
      <c r="R142" s="74" t="s">
        <v>6</v>
      </c>
      <c r="S142" s="73">
        <v>139</v>
      </c>
      <c r="T142" s="74" t="s">
        <v>164</v>
      </c>
      <c r="U142" s="73">
        <v>35</v>
      </c>
      <c r="V142" s="74" t="s">
        <v>184</v>
      </c>
      <c r="W142" s="73">
        <v>522</v>
      </c>
      <c r="X142" s="74" t="s">
        <v>185</v>
      </c>
      <c r="Y142" s="73">
        <v>637</v>
      </c>
      <c r="Z142" s="74" t="s">
        <v>186</v>
      </c>
      <c r="AA142" s="73">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2" t="s">
        <v>188</v>
      </c>
      <c r="K143" s="75">
        <v>2551</v>
      </c>
      <c r="L143" s="74" t="s">
        <v>189</v>
      </c>
      <c r="M143" s="75">
        <v>1764</v>
      </c>
      <c r="N143" s="74" t="s">
        <v>190</v>
      </c>
      <c r="O143" s="75">
        <v>1217</v>
      </c>
      <c r="P143" s="76" t="s">
        <v>191</v>
      </c>
      <c r="Q143" s="75">
        <v>727</v>
      </c>
      <c r="R143" s="76" t="s">
        <v>63</v>
      </c>
      <c r="S143" s="75">
        <v>394</v>
      </c>
      <c r="T143" s="76" t="s">
        <v>192</v>
      </c>
      <c r="U143" s="75">
        <v>267</v>
      </c>
      <c r="V143" s="76" t="s">
        <v>193</v>
      </c>
      <c r="W143" s="75">
        <v>165</v>
      </c>
      <c r="X143" s="76" t="s">
        <v>194</v>
      </c>
      <c r="Y143" s="75">
        <v>61</v>
      </c>
      <c r="Z143" s="76" t="s">
        <v>195</v>
      </c>
      <c r="AA143" s="75">
        <v>35</v>
      </c>
      <c r="AB143" s="76" t="s">
        <v>196</v>
      </c>
      <c r="AC143" s="75">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2" t="s">
        <v>200</v>
      </c>
      <c r="K144" s="75">
        <v>2551</v>
      </c>
      <c r="L144" s="74" t="s">
        <v>201</v>
      </c>
      <c r="M144" s="75">
        <v>1323</v>
      </c>
      <c r="N144" s="74" t="s">
        <v>202</v>
      </c>
      <c r="O144" s="75">
        <v>539</v>
      </c>
      <c r="P144" s="76" t="s">
        <v>203</v>
      </c>
      <c r="Q144" s="75">
        <v>267</v>
      </c>
      <c r="R144" s="76" t="s">
        <v>204</v>
      </c>
      <c r="S144" s="75">
        <v>148</v>
      </c>
      <c r="T144" s="76" t="s">
        <v>205</v>
      </c>
      <c r="U144" s="75">
        <v>35</v>
      </c>
      <c r="V144" s="76" t="s">
        <v>206</v>
      </c>
      <c r="W144" s="75">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2" t="s">
        <v>18</v>
      </c>
      <c r="K145" s="75">
        <v>2386</v>
      </c>
      <c r="L145" s="74" t="s">
        <v>19</v>
      </c>
      <c r="M145" s="75">
        <v>1442</v>
      </c>
      <c r="N145" s="74" t="s">
        <v>20</v>
      </c>
      <c r="O145" s="75">
        <v>786</v>
      </c>
      <c r="P145" s="76" t="s">
        <v>207</v>
      </c>
      <c r="Q145" s="75">
        <v>394</v>
      </c>
      <c r="R145" s="76" t="s">
        <v>23</v>
      </c>
      <c r="S145" s="75">
        <v>130</v>
      </c>
      <c r="T145" s="76" t="s">
        <v>208</v>
      </c>
      <c r="U145" s="75">
        <v>35</v>
      </c>
      <c r="V145" s="76" t="s">
        <v>209</v>
      </c>
      <c r="W145" s="75">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2" t="s">
        <v>210</v>
      </c>
      <c r="K146" s="75">
        <v>2386</v>
      </c>
      <c r="L146" s="74" t="s">
        <v>211</v>
      </c>
      <c r="M146" s="75">
        <v>1603</v>
      </c>
      <c r="N146" s="74" t="s">
        <v>212</v>
      </c>
      <c r="O146" s="75">
        <v>786</v>
      </c>
      <c r="P146" s="76" t="s">
        <v>213</v>
      </c>
      <c r="Q146" s="75">
        <v>278</v>
      </c>
      <c r="R146" s="76" t="s">
        <v>214</v>
      </c>
      <c r="S146" s="75">
        <v>130</v>
      </c>
      <c r="T146" s="76" t="s">
        <v>215</v>
      </c>
      <c r="U146" s="75">
        <v>52</v>
      </c>
      <c r="V146" s="76" t="s">
        <v>216</v>
      </c>
      <c r="W146" s="75">
        <v>130</v>
      </c>
      <c r="X146" s="76" t="s">
        <v>217</v>
      </c>
      <c r="Y146" s="75">
        <v>278</v>
      </c>
      <c r="Z146" s="76" t="s">
        <v>218</v>
      </c>
      <c r="AA146" s="75">
        <v>539</v>
      </c>
      <c r="AB146" s="76" t="s">
        <v>219</v>
      </c>
      <c r="AC146" s="75">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2" t="s">
        <v>4</v>
      </c>
      <c r="K147" s="75">
        <v>2386</v>
      </c>
      <c r="L147" s="74" t="s">
        <v>5</v>
      </c>
      <c r="M147" s="75">
        <v>1217</v>
      </c>
      <c r="N147" s="74" t="s">
        <v>17</v>
      </c>
      <c r="O147" s="75">
        <v>539</v>
      </c>
      <c r="P147" s="76" t="s">
        <v>163</v>
      </c>
      <c r="Q147" s="75">
        <v>278</v>
      </c>
      <c r="R147" s="76" t="s">
        <v>6</v>
      </c>
      <c r="S147" s="75">
        <v>130</v>
      </c>
      <c r="T147" s="76" t="s">
        <v>164</v>
      </c>
      <c r="U147" s="75">
        <v>35</v>
      </c>
      <c r="V147" s="76" t="s">
        <v>221</v>
      </c>
      <c r="W147" s="75">
        <v>278</v>
      </c>
      <c r="X147" s="76" t="s">
        <v>222</v>
      </c>
      <c r="Y147" s="75">
        <v>539</v>
      </c>
      <c r="Z147" s="76" t="s">
        <v>107</v>
      </c>
      <c r="AA147" s="75">
        <v>130</v>
      </c>
      <c r="AB147" s="76" t="s">
        <v>66</v>
      </c>
      <c r="AC147" s="75">
        <v>323</v>
      </c>
      <c r="AD147" s="76" t="s">
        <v>223</v>
      </c>
      <c r="AE147" s="75">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2" t="s">
        <v>12</v>
      </c>
      <c r="K148" s="75">
        <v>2595</v>
      </c>
      <c r="L148" s="74" t="s">
        <v>13</v>
      </c>
      <c r="M148" s="75">
        <v>1323</v>
      </c>
      <c r="N148" s="74" t="s">
        <v>24</v>
      </c>
      <c r="O148" s="75">
        <v>786</v>
      </c>
      <c r="P148" s="76" t="s">
        <v>14</v>
      </c>
      <c r="Q148" s="75">
        <v>548</v>
      </c>
      <c r="R148" s="76" t="s">
        <v>232</v>
      </c>
      <c r="S148" s="75">
        <v>394</v>
      </c>
      <c r="T148" s="76" t="s">
        <v>233</v>
      </c>
      <c r="U148" s="75">
        <v>198</v>
      </c>
      <c r="V148" s="76" t="s">
        <v>121</v>
      </c>
      <c r="W148" s="75">
        <v>86</v>
      </c>
      <c r="X148" s="76" t="s">
        <v>7</v>
      </c>
      <c r="Y148" s="75">
        <v>35</v>
      </c>
      <c r="Z148" s="76" t="s">
        <v>234</v>
      </c>
      <c r="AA148" s="75">
        <v>146</v>
      </c>
      <c r="AB148" s="76" t="s">
        <v>177</v>
      </c>
      <c r="AC148" s="75">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2" t="s">
        <v>235</v>
      </c>
      <c r="K149" s="75">
        <v>2551</v>
      </c>
      <c r="L149" s="74" t="s">
        <v>236</v>
      </c>
      <c r="M149" s="75">
        <v>1323</v>
      </c>
      <c r="N149" s="74" t="s">
        <v>237</v>
      </c>
      <c r="O149" s="75">
        <v>539</v>
      </c>
      <c r="P149" s="76" t="s">
        <v>238</v>
      </c>
      <c r="Q149" s="75">
        <v>266</v>
      </c>
      <c r="R149" s="76" t="s">
        <v>239</v>
      </c>
      <c r="S149" s="75">
        <v>146</v>
      </c>
      <c r="T149" s="76" t="s">
        <v>240</v>
      </c>
      <c r="U149" s="75">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2" t="s">
        <v>245</v>
      </c>
      <c r="K150" s="75">
        <v>1949</v>
      </c>
      <c r="L150" s="74" t="s">
        <v>246</v>
      </c>
      <c r="M150" s="75">
        <v>1010</v>
      </c>
      <c r="N150" s="74" t="s">
        <v>247</v>
      </c>
      <c r="O150" s="75">
        <v>618</v>
      </c>
      <c r="P150" s="76" t="s">
        <v>248</v>
      </c>
      <c r="Q150" s="75">
        <v>310</v>
      </c>
      <c r="R150" s="76" t="s">
        <v>1410</v>
      </c>
      <c r="S150" s="75">
        <v>230</v>
      </c>
      <c r="T150" s="76" t="s">
        <v>17</v>
      </c>
      <c r="U150" s="75">
        <v>76</v>
      </c>
      <c r="V150" s="76" t="s">
        <v>249</v>
      </c>
      <c r="W150" s="75">
        <v>230</v>
      </c>
      <c r="X150" s="76" t="s">
        <v>250</v>
      </c>
      <c r="Y150" s="75">
        <v>175</v>
      </c>
      <c r="Z150" s="76" t="s">
        <v>251</v>
      </c>
      <c r="AA150" s="75">
        <v>127</v>
      </c>
      <c r="AB150" s="76" t="s">
        <v>252</v>
      </c>
      <c r="AC150" s="75">
        <v>101</v>
      </c>
      <c r="AD150" s="76" t="s">
        <v>253</v>
      </c>
      <c r="AE150" s="75">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2" t="s">
        <v>254</v>
      </c>
      <c r="K151" s="75">
        <v>2340</v>
      </c>
      <c r="L151" s="74" t="s">
        <v>255</v>
      </c>
      <c r="M151" s="75">
        <v>1166</v>
      </c>
      <c r="N151" s="74" t="s">
        <v>256</v>
      </c>
      <c r="O151" s="75">
        <v>618</v>
      </c>
      <c r="P151" s="76" t="s">
        <v>257</v>
      </c>
      <c r="Q151" s="75">
        <v>310</v>
      </c>
      <c r="R151" s="76" t="s">
        <v>258</v>
      </c>
      <c r="S151" s="75">
        <v>101</v>
      </c>
      <c r="T151" s="76" t="s">
        <v>259</v>
      </c>
      <c r="U151" s="75">
        <v>1793</v>
      </c>
      <c r="V151" s="76" t="s">
        <v>260</v>
      </c>
      <c r="W151" s="75">
        <v>1558</v>
      </c>
      <c r="X151" s="76" t="s">
        <v>261</v>
      </c>
      <c r="Y151" s="75">
        <v>1010</v>
      </c>
      <c r="Z151" s="76" t="s">
        <v>262</v>
      </c>
      <c r="AA151" s="75">
        <v>775</v>
      </c>
      <c r="AB151" s="76" t="s">
        <v>263</v>
      </c>
      <c r="AC151" s="75">
        <v>618</v>
      </c>
      <c r="AD151" s="76" t="s">
        <v>264</v>
      </c>
      <c r="AE151" s="75">
        <v>548</v>
      </c>
      <c r="AF151" s="76" t="s">
        <v>265</v>
      </c>
      <c r="AG151" s="75">
        <v>254</v>
      </c>
      <c r="AH151" s="76" t="s">
        <v>250</v>
      </c>
      <c r="AI151" s="75">
        <v>175</v>
      </c>
      <c r="AJ151" s="76" t="s">
        <v>252</v>
      </c>
      <c r="AK151" s="75">
        <v>101</v>
      </c>
      <c r="AL151" s="77"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2" t="s">
        <v>270</v>
      </c>
      <c r="K152" s="75">
        <v>2510</v>
      </c>
      <c r="L152" s="74" t="s">
        <v>271</v>
      </c>
      <c r="M152" s="75">
        <v>1308</v>
      </c>
      <c r="N152" s="74" t="s">
        <v>272</v>
      </c>
      <c r="O152" s="75">
        <v>766</v>
      </c>
      <c r="P152" s="76" t="s">
        <v>273</v>
      </c>
      <c r="Q152" s="75">
        <v>385</v>
      </c>
      <c r="R152" s="76" t="s">
        <v>274</v>
      </c>
      <c r="S152" s="75">
        <v>142</v>
      </c>
      <c r="T152" s="76" t="s">
        <v>275</v>
      </c>
      <c r="U152" s="75">
        <v>28</v>
      </c>
      <c r="V152" s="76" t="s">
        <v>276</v>
      </c>
      <c r="W152" s="75">
        <v>142</v>
      </c>
      <c r="X152" s="76" t="s">
        <v>277</v>
      </c>
      <c r="Y152" s="75">
        <v>259</v>
      </c>
      <c r="Z152" s="76" t="s">
        <v>278</v>
      </c>
      <c r="AA152" s="75">
        <v>1308</v>
      </c>
      <c r="AB152" s="76" t="s">
        <v>262</v>
      </c>
      <c r="AC152" s="75">
        <v>766</v>
      </c>
      <c r="AD152" s="76" t="s">
        <v>279</v>
      </c>
      <c r="AE152" s="75">
        <v>526</v>
      </c>
      <c r="AF152" s="76" t="s">
        <v>280</v>
      </c>
      <c r="AG152" s="75">
        <v>259</v>
      </c>
      <c r="AH152" s="76" t="s">
        <v>281</v>
      </c>
      <c r="AI152" s="75">
        <v>142</v>
      </c>
      <c r="AJ152" s="76" t="s">
        <v>282</v>
      </c>
      <c r="AK152" s="75">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2" t="s">
        <v>12</v>
      </c>
      <c r="K153" s="75">
        <v>2314</v>
      </c>
      <c r="L153" s="74" t="s">
        <v>13</v>
      </c>
      <c r="M153" s="75">
        <v>1153</v>
      </c>
      <c r="N153" s="74" t="s">
        <v>24</v>
      </c>
      <c r="O153" s="75">
        <v>766</v>
      </c>
      <c r="P153" s="76" t="s">
        <v>14</v>
      </c>
      <c r="Q153" s="75">
        <v>541</v>
      </c>
      <c r="R153" s="76" t="s">
        <v>15</v>
      </c>
      <c r="S153" s="75">
        <v>385</v>
      </c>
      <c r="T153" s="76" t="s">
        <v>120</v>
      </c>
      <c r="U153" s="75">
        <v>251</v>
      </c>
      <c r="V153" s="76" t="s">
        <v>284</v>
      </c>
      <c r="W153" s="75">
        <v>228</v>
      </c>
      <c r="X153" s="76" t="s">
        <v>16</v>
      </c>
      <c r="Y153" s="75">
        <v>125</v>
      </c>
      <c r="Z153" s="76" t="s">
        <v>121</v>
      </c>
      <c r="AA153" s="75">
        <v>75</v>
      </c>
      <c r="AB153" s="76" t="s">
        <v>285</v>
      </c>
      <c r="AC153" s="75">
        <v>50</v>
      </c>
      <c r="AD153" s="76" t="s">
        <v>7</v>
      </c>
      <c r="AE153" s="75">
        <v>25</v>
      </c>
      <c r="AF153" s="76" t="s">
        <v>286</v>
      </c>
      <c r="AG153" s="75">
        <v>2314</v>
      </c>
      <c r="AH153" s="76" t="s">
        <v>287</v>
      </c>
      <c r="AI153" s="75">
        <v>1153</v>
      </c>
      <c r="AJ153" s="76" t="s">
        <v>288</v>
      </c>
      <c r="AK153" s="75">
        <v>766</v>
      </c>
      <c r="AL153" s="77"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2" t="s">
        <v>295</v>
      </c>
      <c r="K154" s="75">
        <v>2314</v>
      </c>
      <c r="L154" s="74" t="s">
        <v>296</v>
      </c>
      <c r="M154" s="75">
        <v>1153</v>
      </c>
      <c r="N154" s="74" t="s">
        <v>297</v>
      </c>
      <c r="O154" s="75">
        <v>541</v>
      </c>
      <c r="P154" s="76" t="s">
        <v>298</v>
      </c>
      <c r="Q154" s="75">
        <v>251</v>
      </c>
      <c r="R154" s="76" t="s">
        <v>299</v>
      </c>
      <c r="S154" s="75">
        <v>125</v>
      </c>
      <c r="T154" s="76" t="s">
        <v>300</v>
      </c>
      <c r="U154" s="75">
        <v>25</v>
      </c>
      <c r="V154" s="76" t="s">
        <v>301</v>
      </c>
      <c r="W154" s="75">
        <v>2314</v>
      </c>
      <c r="X154" s="76" t="s">
        <v>302</v>
      </c>
      <c r="Y154" s="75">
        <v>1153</v>
      </c>
      <c r="Z154" s="76" t="s">
        <v>262</v>
      </c>
      <c r="AA154" s="75">
        <v>766</v>
      </c>
      <c r="AB154" s="76" t="s">
        <v>264</v>
      </c>
      <c r="AC154" s="75">
        <v>541</v>
      </c>
      <c r="AD154" s="76" t="s">
        <v>303</v>
      </c>
      <c r="AE154" s="75">
        <v>306</v>
      </c>
      <c r="AF154" s="76" t="s">
        <v>265</v>
      </c>
      <c r="AG154" s="75">
        <v>251</v>
      </c>
      <c r="AH154" s="76" t="s">
        <v>250</v>
      </c>
      <c r="AI154" s="75">
        <v>173</v>
      </c>
      <c r="AJ154" s="76" t="s">
        <v>251</v>
      </c>
      <c r="AK154" s="75">
        <v>125</v>
      </c>
      <c r="AL154" s="77"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2" t="s">
        <v>308</v>
      </c>
      <c r="K155" s="75">
        <v>2518</v>
      </c>
      <c r="L155" s="74" t="s">
        <v>309</v>
      </c>
      <c r="M155" s="75">
        <v>1277</v>
      </c>
      <c r="N155" s="74" t="s">
        <v>310</v>
      </c>
      <c r="O155" s="75">
        <v>766</v>
      </c>
      <c r="P155" s="76" t="s">
        <v>311</v>
      </c>
      <c r="Q155" s="75">
        <v>526</v>
      </c>
      <c r="R155" s="76" t="s">
        <v>312</v>
      </c>
      <c r="S155" s="75">
        <v>385</v>
      </c>
      <c r="T155" s="76" t="s">
        <v>313</v>
      </c>
      <c r="U155" s="75">
        <v>259</v>
      </c>
      <c r="V155" s="76" t="s">
        <v>314</v>
      </c>
      <c r="W155" s="75">
        <v>142</v>
      </c>
      <c r="X155" s="76" t="s">
        <v>315</v>
      </c>
      <c r="Y155" s="75">
        <v>113</v>
      </c>
      <c r="Z155" s="76" t="s">
        <v>316</v>
      </c>
      <c r="AA155" s="75">
        <v>84</v>
      </c>
      <c r="AB155" s="76" t="s">
        <v>317</v>
      </c>
      <c r="AC155" s="75">
        <v>58</v>
      </c>
      <c r="AD155" s="76" t="s">
        <v>318</v>
      </c>
      <c r="AE155" s="75">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2" t="s">
        <v>319</v>
      </c>
      <c r="K156" s="75">
        <v>2314</v>
      </c>
      <c r="L156" s="74" t="s">
        <v>320</v>
      </c>
      <c r="M156" s="75">
        <v>1153</v>
      </c>
      <c r="N156" s="74" t="s">
        <v>321</v>
      </c>
      <c r="O156" s="75">
        <v>541</v>
      </c>
      <c r="P156" s="76" t="s">
        <v>15</v>
      </c>
      <c r="Q156" s="75">
        <v>251</v>
      </c>
      <c r="R156" s="76" t="s">
        <v>322</v>
      </c>
      <c r="S156" s="75">
        <v>125</v>
      </c>
      <c r="T156" s="76" t="s">
        <v>7</v>
      </c>
      <c r="U156" s="75">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3" t="s">
        <v>1437</v>
      </c>
      <c r="K157" s="78">
        <v>1860</v>
      </c>
      <c r="L157" s="86" t="s">
        <v>1438</v>
      </c>
      <c r="M157" s="78">
        <v>1860</v>
      </c>
      <c r="N157" s="86"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3" t="s">
        <v>1417</v>
      </c>
      <c r="K158" s="78">
        <v>1803</v>
      </c>
      <c r="L158" s="86" t="s">
        <v>1418</v>
      </c>
      <c r="M158" s="78">
        <v>937</v>
      </c>
      <c r="N158" s="86" t="s">
        <v>1419</v>
      </c>
      <c r="O158" s="78">
        <v>551</v>
      </c>
      <c r="P158" s="79" t="s">
        <v>1420</v>
      </c>
      <c r="Q158" s="78">
        <v>391</v>
      </c>
      <c r="R158" s="79" t="s">
        <v>1421</v>
      </c>
      <c r="S158" s="78">
        <v>279</v>
      </c>
      <c r="T158" s="79" t="s">
        <v>1422</v>
      </c>
      <c r="U158" s="78">
        <v>176</v>
      </c>
      <c r="V158" s="79" t="s">
        <v>1423</v>
      </c>
      <c r="W158" s="78">
        <v>102</v>
      </c>
      <c r="X158" s="79" t="s">
        <v>1424</v>
      </c>
      <c r="Y158" s="78">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3" t="s">
        <v>12</v>
      </c>
      <c r="K159" s="78">
        <v>2554</v>
      </c>
      <c r="L159" s="86" t="s">
        <v>13</v>
      </c>
      <c r="M159" s="78">
        <v>1330</v>
      </c>
      <c r="N159" s="86"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80"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3" t="s">
        <v>1459</v>
      </c>
      <c r="K160" s="78">
        <v>2525</v>
      </c>
      <c r="L160" s="86" t="s">
        <v>1460</v>
      </c>
      <c r="M160" s="78">
        <v>1315</v>
      </c>
      <c r="N160" s="86" t="s">
        <v>1461</v>
      </c>
      <c r="O160" s="78">
        <v>529</v>
      </c>
      <c r="P160" s="79" t="s">
        <v>1462</v>
      </c>
      <c r="Q160" s="78">
        <v>260</v>
      </c>
      <c r="R160" s="79" t="s">
        <v>1463</v>
      </c>
      <c r="S160" s="78">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3" t="s">
        <v>1429</v>
      </c>
      <c r="K161" s="78">
        <v>2525</v>
      </c>
      <c r="L161" s="86" t="s">
        <v>1430</v>
      </c>
      <c r="M161" s="78">
        <v>1938</v>
      </c>
      <c r="N161" s="86"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3" t="s">
        <v>1450</v>
      </c>
      <c r="K162" s="78">
        <v>1160</v>
      </c>
      <c r="L162" s="86" t="s">
        <v>1451</v>
      </c>
      <c r="M162" s="78">
        <v>693</v>
      </c>
      <c r="N162" s="86"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3" t="s">
        <v>12</v>
      </c>
      <c r="K163" s="78">
        <v>2327</v>
      </c>
      <c r="L163" s="86" t="s">
        <v>13</v>
      </c>
      <c r="M163" s="78">
        <v>1160</v>
      </c>
      <c r="N163" s="86"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3" t="s">
        <v>12</v>
      </c>
      <c r="K164" s="78">
        <v>2327</v>
      </c>
      <c r="L164" s="86" t="s">
        <v>13</v>
      </c>
      <c r="M164" s="78">
        <v>1160</v>
      </c>
      <c r="N164" s="86" t="s">
        <v>24</v>
      </c>
      <c r="O164" s="78">
        <v>771</v>
      </c>
      <c r="P164" s="79" t="s">
        <v>14</v>
      </c>
      <c r="Q164" s="78">
        <v>529</v>
      </c>
      <c r="R164" s="79" t="s">
        <v>120</v>
      </c>
      <c r="S164" s="78">
        <v>260</v>
      </c>
      <c r="T164" s="79" t="s">
        <v>16</v>
      </c>
      <c r="U164" s="78">
        <v>143</v>
      </c>
      <c r="V164" s="79" t="s">
        <v>7</v>
      </c>
      <c r="W164" s="78">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3" t="s">
        <v>1466</v>
      </c>
      <c r="K165" s="78">
        <v>2494</v>
      </c>
      <c r="L165" s="86" t="s">
        <v>1467</v>
      </c>
      <c r="M165" s="78">
        <v>2413</v>
      </c>
      <c r="N165" s="86"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80"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3" t="s">
        <v>4</v>
      </c>
      <c r="K166" s="78">
        <v>2335</v>
      </c>
      <c r="L166" s="86" t="s">
        <v>190</v>
      </c>
      <c r="M166" s="78">
        <v>1284</v>
      </c>
      <c r="N166" s="86" t="s">
        <v>1476</v>
      </c>
      <c r="O166" s="78">
        <v>521</v>
      </c>
      <c r="P166" s="79" t="s">
        <v>163</v>
      </c>
      <c r="Q166" s="78">
        <v>260</v>
      </c>
      <c r="R166" s="79" t="s">
        <v>233</v>
      </c>
      <c r="S166" s="78">
        <v>139</v>
      </c>
      <c r="T166" s="79" t="s">
        <v>1477</v>
      </c>
      <c r="U166" s="78">
        <v>83</v>
      </c>
      <c r="V166" s="79" t="s">
        <v>1478</v>
      </c>
      <c r="W166" s="78">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3" t="s">
        <v>1479</v>
      </c>
      <c r="K167" s="78">
        <v>2296</v>
      </c>
      <c r="L167" s="86" t="s">
        <v>1480</v>
      </c>
      <c r="M167" s="78">
        <v>1144</v>
      </c>
      <c r="N167" s="86" t="s">
        <v>1481</v>
      </c>
      <c r="O167" s="78">
        <v>529</v>
      </c>
      <c r="P167" s="79" t="s">
        <v>1482</v>
      </c>
      <c r="Q167" s="78">
        <v>260</v>
      </c>
      <c r="R167" s="79" t="s">
        <v>1483</v>
      </c>
      <c r="S167" s="78">
        <v>143</v>
      </c>
      <c r="T167" s="79" t="s">
        <v>1484</v>
      </c>
      <c r="U167" s="78">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3" t="s">
        <v>1487</v>
      </c>
      <c r="K168" s="78">
        <v>2539</v>
      </c>
      <c r="L168" s="86" t="s">
        <v>1488</v>
      </c>
      <c r="M168" s="78">
        <v>1323</v>
      </c>
      <c r="N168" s="86"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80"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3" t="s">
        <v>1498</v>
      </c>
      <c r="K169" s="78">
        <v>2508</v>
      </c>
      <c r="L169" s="86" t="s">
        <v>1499</v>
      </c>
      <c r="M169" s="78">
        <v>1268</v>
      </c>
      <c r="N169" s="86" t="s">
        <v>1500</v>
      </c>
      <c r="O169" s="78">
        <v>548</v>
      </c>
      <c r="P169" s="79" t="s">
        <v>3982</v>
      </c>
      <c r="Q169" s="78">
        <v>278</v>
      </c>
      <c r="R169" s="79" t="s">
        <v>1501</v>
      </c>
      <c r="S169" s="78">
        <v>127</v>
      </c>
      <c r="T169" s="79" t="s">
        <v>1502</v>
      </c>
      <c r="U169" s="78">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3" t="s">
        <v>61</v>
      </c>
      <c r="K170" s="78">
        <v>2539</v>
      </c>
      <c r="L170" s="86" t="s">
        <v>62</v>
      </c>
      <c r="M170" s="78">
        <v>1323</v>
      </c>
      <c r="N170" s="86" t="s">
        <v>3983</v>
      </c>
      <c r="O170" s="78">
        <v>579</v>
      </c>
      <c r="P170" s="79" t="s">
        <v>1326</v>
      </c>
      <c r="Q170" s="78">
        <v>294</v>
      </c>
      <c r="R170" s="79" t="s">
        <v>16</v>
      </c>
      <c r="S170" s="78">
        <v>144</v>
      </c>
      <c r="T170" s="79" t="s">
        <v>7</v>
      </c>
      <c r="U170" s="78">
        <v>28</v>
      </c>
      <c r="V170" s="79" t="s">
        <v>177</v>
      </c>
      <c r="W170" s="78">
        <v>294</v>
      </c>
      <c r="X170" s="79" t="s">
        <v>1295</v>
      </c>
      <c r="Y170" s="78">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3" t="s">
        <v>1506</v>
      </c>
      <c r="K171" s="78">
        <v>2340</v>
      </c>
      <c r="L171" s="86" t="s">
        <v>1507</v>
      </c>
      <c r="M171" s="78">
        <v>1166</v>
      </c>
      <c r="N171" s="86" t="s">
        <v>1508</v>
      </c>
      <c r="O171" s="78">
        <v>775</v>
      </c>
      <c r="P171" s="79" t="s">
        <v>1509</v>
      </c>
      <c r="Q171" s="78">
        <v>532</v>
      </c>
      <c r="R171" s="79" t="s">
        <v>1510</v>
      </c>
      <c r="S171" s="78">
        <v>262</v>
      </c>
      <c r="T171" s="79" t="s">
        <v>1511</v>
      </c>
      <c r="U171" s="78">
        <v>144</v>
      </c>
      <c r="V171" s="79" t="s">
        <v>1512</v>
      </c>
      <c r="W171" s="78">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3" t="s">
        <v>1514</v>
      </c>
      <c r="K172" s="78">
        <v>2539</v>
      </c>
      <c r="L172" s="86" t="s">
        <v>1515</v>
      </c>
      <c r="M172" s="78">
        <v>1323</v>
      </c>
      <c r="N172" s="86"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2.5" customHeight="1" thickBot="1">
      <c r="A173" s="46" t="s">
        <v>3984</v>
      </c>
      <c r="F173" s="41" t="str">
        <f t="shared" si="4"/>
        <v>https://www.ssbuy.tw/detail_giftcode/dist/giftcodes/奇蹟MU：暴走之翼.html</v>
      </c>
      <c r="H173" s="41" t="str">
        <f t="shared" si="5"/>
        <v>https://www.ssbuy.tw/detail_giftcode/dist/gamedetail/奇蹟MU：暴走之翼.html</v>
      </c>
      <c r="I173" s="42" t="s">
        <v>3985</v>
      </c>
      <c r="J173" s="83" t="s">
        <v>155</v>
      </c>
      <c r="K173" s="78">
        <v>2525</v>
      </c>
      <c r="L173" s="86" t="s">
        <v>1520</v>
      </c>
      <c r="M173" s="78">
        <v>1284</v>
      </c>
      <c r="N173" s="86"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3" t="s">
        <v>235</v>
      </c>
      <c r="K174" s="78">
        <v>2539</v>
      </c>
      <c r="L174" s="86" t="s">
        <v>236</v>
      </c>
      <c r="M174" s="78">
        <v>1323</v>
      </c>
      <c r="N174" s="86" t="s">
        <v>1292</v>
      </c>
      <c r="O174" s="78">
        <v>775</v>
      </c>
      <c r="P174" s="79" t="s">
        <v>237</v>
      </c>
      <c r="Q174" s="78">
        <v>532</v>
      </c>
      <c r="R174" s="79" t="s">
        <v>238</v>
      </c>
      <c r="S174" s="78">
        <v>262</v>
      </c>
      <c r="T174" s="79" t="s">
        <v>239</v>
      </c>
      <c r="U174" s="78">
        <v>144</v>
      </c>
      <c r="V174" s="79" t="s">
        <v>240</v>
      </c>
      <c r="W174" s="78">
        <v>28</v>
      </c>
      <c r="X174" s="79" t="s">
        <v>1531</v>
      </c>
      <c r="Y174" s="78">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3" t="s">
        <v>235</v>
      </c>
      <c r="K175" s="78">
        <v>2539</v>
      </c>
      <c r="L175" s="86" t="s">
        <v>236</v>
      </c>
      <c r="M175" s="78">
        <v>1323</v>
      </c>
      <c r="N175" s="86" t="s">
        <v>237</v>
      </c>
      <c r="O175" s="78">
        <v>775</v>
      </c>
      <c r="P175" s="79" t="s">
        <v>238</v>
      </c>
      <c r="Q175" s="78">
        <v>262</v>
      </c>
      <c r="R175" s="79" t="s">
        <v>239</v>
      </c>
      <c r="S175" s="78">
        <v>144</v>
      </c>
      <c r="T175" s="79" t="s">
        <v>240</v>
      </c>
      <c r="U175" s="78">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3" t="s">
        <v>1536</v>
      </c>
      <c r="K176" s="78">
        <v>2340</v>
      </c>
      <c r="L176" s="86" t="s">
        <v>1537</v>
      </c>
      <c r="M176" s="78">
        <v>1323</v>
      </c>
      <c r="N176" s="86" t="s">
        <v>1538</v>
      </c>
      <c r="O176" s="78">
        <v>532</v>
      </c>
      <c r="P176" s="79" t="s">
        <v>1539</v>
      </c>
      <c r="Q176" s="78">
        <v>262</v>
      </c>
      <c r="R176" s="79" t="s">
        <v>1540</v>
      </c>
      <c r="S176" s="78">
        <v>144</v>
      </c>
      <c r="T176" s="79" t="s">
        <v>1541</v>
      </c>
      <c r="U176" s="78">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3" t="s">
        <v>1542</v>
      </c>
      <c r="K177" s="78">
        <v>2340</v>
      </c>
      <c r="L177" s="86" t="s">
        <v>1543</v>
      </c>
      <c r="M177" s="78">
        <v>1166</v>
      </c>
      <c r="N177" s="86" t="s">
        <v>1544</v>
      </c>
      <c r="O177" s="78">
        <v>548</v>
      </c>
      <c r="P177" s="79" t="s">
        <v>1545</v>
      </c>
      <c r="Q177" s="78">
        <v>254</v>
      </c>
      <c r="R177" s="79" t="s">
        <v>1546</v>
      </c>
      <c r="S177" s="78">
        <v>127</v>
      </c>
      <c r="T177" s="79" t="s">
        <v>1547</v>
      </c>
      <c r="U177" s="78">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4004</v>
      </c>
      <c r="J178" s="83" t="s">
        <v>1553</v>
      </c>
      <c r="K178" s="78">
        <v>2340</v>
      </c>
      <c r="L178" s="86" t="s">
        <v>1554</v>
      </c>
      <c r="M178" s="78">
        <v>1166</v>
      </c>
      <c r="N178" s="86" t="s">
        <v>1555</v>
      </c>
      <c r="O178" s="78">
        <v>775</v>
      </c>
      <c r="P178" s="79" t="s">
        <v>1556</v>
      </c>
      <c r="Q178" s="78">
        <v>532</v>
      </c>
      <c r="R178" s="79" t="s">
        <v>1557</v>
      </c>
      <c r="S178" s="78">
        <v>262</v>
      </c>
      <c r="T178" s="79" t="s">
        <v>1558</v>
      </c>
      <c r="U178" s="78">
        <v>144</v>
      </c>
      <c r="V178" s="79" t="s">
        <v>1559</v>
      </c>
      <c r="W178" s="78">
        <v>28</v>
      </c>
      <c r="X178" s="79" t="s">
        <v>1560</v>
      </c>
      <c r="Y178" s="78">
        <v>262</v>
      </c>
      <c r="Z178" s="79" t="s">
        <v>107</v>
      </c>
      <c r="AA178" s="78">
        <v>144</v>
      </c>
      <c r="AB178" s="79" t="s">
        <v>1561</v>
      </c>
      <c r="AC178" s="78">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3" t="s">
        <v>1567</v>
      </c>
      <c r="K179" s="78">
        <v>2340</v>
      </c>
      <c r="L179" s="86" t="s">
        <v>1568</v>
      </c>
      <c r="M179" s="78">
        <v>1166</v>
      </c>
      <c r="N179" s="86" t="s">
        <v>1569</v>
      </c>
      <c r="O179" s="78">
        <v>697</v>
      </c>
      <c r="P179" s="79" t="s">
        <v>1570</v>
      </c>
      <c r="Q179" s="78">
        <v>357</v>
      </c>
      <c r="R179" s="79" t="s">
        <v>1571</v>
      </c>
      <c r="S179" s="78">
        <v>127</v>
      </c>
      <c r="T179" s="79" t="s">
        <v>1572</v>
      </c>
      <c r="U179" s="78">
        <v>25</v>
      </c>
      <c r="V179" s="79" t="s">
        <v>1573</v>
      </c>
      <c r="W179" s="78">
        <v>230</v>
      </c>
      <c r="X179" s="79" t="s">
        <v>1574</v>
      </c>
      <c r="Y179" s="78">
        <v>697</v>
      </c>
      <c r="Z179" s="79" t="s">
        <v>1575</v>
      </c>
      <c r="AA179" s="78">
        <v>230</v>
      </c>
      <c r="AB179" s="79" t="s">
        <v>1576</v>
      </c>
      <c r="AC179" s="78">
        <v>25</v>
      </c>
      <c r="AD179" s="79" t="s">
        <v>1577</v>
      </c>
      <c r="AE179" s="78">
        <v>357</v>
      </c>
      <c r="AF179" s="79" t="s">
        <v>1578</v>
      </c>
      <c r="AG179" s="78">
        <v>127</v>
      </c>
      <c r="AH179" s="79" t="s">
        <v>1579</v>
      </c>
      <c r="AI179" s="78">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3" t="s">
        <v>1586</v>
      </c>
      <c r="K180" s="78">
        <v>2539</v>
      </c>
      <c r="L180" s="86" t="s">
        <v>1587</v>
      </c>
      <c r="M180" s="78">
        <v>1323</v>
      </c>
      <c r="N180" s="86" t="s">
        <v>1588</v>
      </c>
      <c r="O180" s="78">
        <v>262</v>
      </c>
      <c r="P180" s="79" t="s">
        <v>1589</v>
      </c>
      <c r="Q180" s="78">
        <v>144</v>
      </c>
      <c r="R180" s="79" t="s">
        <v>1590</v>
      </c>
      <c r="S180" s="78">
        <v>28</v>
      </c>
      <c r="T180" s="79" t="s">
        <v>1591</v>
      </c>
      <c r="U180" s="78">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3" t="s">
        <v>1603</v>
      </c>
      <c r="K181" s="78">
        <v>2539</v>
      </c>
      <c r="L181" s="86" t="s">
        <v>1602</v>
      </c>
      <c r="M181" s="78">
        <v>1323</v>
      </c>
      <c r="N181" s="86" t="s">
        <v>1604</v>
      </c>
      <c r="O181" s="78">
        <v>783</v>
      </c>
      <c r="P181" s="79" t="s">
        <v>1605</v>
      </c>
      <c r="Q181" s="78">
        <v>397</v>
      </c>
      <c r="R181" s="79" t="s">
        <v>1606</v>
      </c>
      <c r="S181" s="78">
        <v>144</v>
      </c>
      <c r="T181" s="79" t="s">
        <v>1607</v>
      </c>
      <c r="U181" s="78">
        <v>25</v>
      </c>
      <c r="V181" s="79" t="s">
        <v>1608</v>
      </c>
      <c r="W181" s="78">
        <v>1252</v>
      </c>
      <c r="X181" s="79" t="s">
        <v>1609</v>
      </c>
      <c r="Y181" s="78">
        <v>135</v>
      </c>
      <c r="Z181" s="79" t="s">
        <v>1610</v>
      </c>
      <c r="AA181" s="78">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4005</v>
      </c>
      <c r="J182" s="83" t="s">
        <v>1611</v>
      </c>
      <c r="K182" s="78">
        <v>2539</v>
      </c>
      <c r="L182" s="86" t="s">
        <v>1612</v>
      </c>
      <c r="M182" s="78">
        <v>1793</v>
      </c>
      <c r="N182" s="86" t="s">
        <v>1613</v>
      </c>
      <c r="O182" s="78">
        <v>1323</v>
      </c>
      <c r="P182" s="79" t="s">
        <v>1614</v>
      </c>
      <c r="Q182" s="78">
        <v>775</v>
      </c>
      <c r="R182" s="79" t="s">
        <v>1615</v>
      </c>
      <c r="S182" s="78">
        <v>532</v>
      </c>
      <c r="T182" s="79" t="s">
        <v>1616</v>
      </c>
      <c r="U182" s="78">
        <v>389</v>
      </c>
      <c r="V182" s="79" t="s">
        <v>1617</v>
      </c>
      <c r="W182" s="78">
        <v>262</v>
      </c>
      <c r="X182" s="79" t="s">
        <v>1618</v>
      </c>
      <c r="Y182" s="78">
        <v>238</v>
      </c>
      <c r="Z182" s="79" t="s">
        <v>1619</v>
      </c>
      <c r="AA182" s="78">
        <v>144</v>
      </c>
      <c r="AB182" s="79" t="s">
        <v>1620</v>
      </c>
      <c r="AC182" s="78">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3" t="s">
        <v>1627</v>
      </c>
      <c r="K183" s="78">
        <v>2539</v>
      </c>
      <c r="L183" s="86" t="s">
        <v>313</v>
      </c>
      <c r="M183" s="78">
        <v>1323</v>
      </c>
      <c r="N183" s="86" t="s">
        <v>1628</v>
      </c>
      <c r="O183" s="78">
        <v>775</v>
      </c>
      <c r="P183" s="79" t="s">
        <v>1629</v>
      </c>
      <c r="Q183" s="78">
        <v>532</v>
      </c>
      <c r="R183" s="79" t="s">
        <v>1630</v>
      </c>
      <c r="S183" s="78">
        <v>262</v>
      </c>
      <c r="T183" s="79" t="s">
        <v>1631</v>
      </c>
      <c r="U183" s="78">
        <v>144</v>
      </c>
      <c r="V183" s="79" t="s">
        <v>1632</v>
      </c>
      <c r="W183" s="78">
        <v>59</v>
      </c>
      <c r="X183" s="79" t="s">
        <v>1518</v>
      </c>
      <c r="Y183" s="78">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4006</v>
      </c>
      <c r="J184" s="83" t="s">
        <v>235</v>
      </c>
      <c r="K184" s="78">
        <v>3010</v>
      </c>
      <c r="L184" s="86" t="s">
        <v>236</v>
      </c>
      <c r="M184" s="78">
        <v>1550</v>
      </c>
      <c r="N184" s="86" t="s">
        <v>1292</v>
      </c>
      <c r="O184" s="78">
        <v>932</v>
      </c>
      <c r="P184" s="79" t="s">
        <v>1638</v>
      </c>
      <c r="Q184" s="78">
        <v>475</v>
      </c>
      <c r="R184" s="79" t="s">
        <v>239</v>
      </c>
      <c r="S184" s="78">
        <v>156</v>
      </c>
      <c r="T184" s="79" t="s">
        <v>240</v>
      </c>
      <c r="U184" s="78">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3986</v>
      </c>
      <c r="J185" s="83" t="s">
        <v>12</v>
      </c>
      <c r="K185" s="78">
        <v>2415</v>
      </c>
      <c r="L185" s="86" t="s">
        <v>13</v>
      </c>
      <c r="M185" s="78">
        <v>1225</v>
      </c>
      <c r="N185" s="86" t="s">
        <v>24</v>
      </c>
      <c r="O185" s="78">
        <v>735</v>
      </c>
      <c r="P185" s="79" t="s">
        <v>15</v>
      </c>
      <c r="Q185" s="78">
        <v>372</v>
      </c>
      <c r="R185" s="79" t="s">
        <v>16</v>
      </c>
      <c r="S185" s="78">
        <v>132</v>
      </c>
      <c r="T185" s="79" t="s">
        <v>7</v>
      </c>
      <c r="U185" s="78">
        <v>26</v>
      </c>
      <c r="V185" s="79" t="s">
        <v>107</v>
      </c>
      <c r="W185" s="78">
        <v>132</v>
      </c>
      <c r="X185" s="79" t="s">
        <v>1436</v>
      </c>
      <c r="Y185" s="78">
        <v>372</v>
      </c>
      <c r="Z185" s="79" t="s">
        <v>1643</v>
      </c>
      <c r="AA185" s="78">
        <v>1127</v>
      </c>
      <c r="AB185" s="79" t="s">
        <v>1644</v>
      </c>
      <c r="AC185" s="78">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4007</v>
      </c>
      <c r="J186" s="83" t="s">
        <v>1655</v>
      </c>
      <c r="K186" s="78">
        <v>2355</v>
      </c>
      <c r="L186" s="86" t="s">
        <v>1656</v>
      </c>
      <c r="M186" s="78">
        <v>937</v>
      </c>
      <c r="N186" s="86" t="s">
        <v>1657</v>
      </c>
      <c r="O186" s="78">
        <v>232</v>
      </c>
      <c r="P186" s="79" t="s">
        <v>1658</v>
      </c>
      <c r="Q186" s="78">
        <v>176</v>
      </c>
      <c r="R186" s="79" t="s">
        <v>1659</v>
      </c>
      <c r="S186" s="78">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4008</v>
      </c>
      <c r="J187" s="83" t="s">
        <v>1660</v>
      </c>
      <c r="K187" s="78">
        <v>2555</v>
      </c>
      <c r="L187" s="86" t="s">
        <v>1661</v>
      </c>
      <c r="M187" s="78">
        <v>1331</v>
      </c>
      <c r="N187" s="86" t="s">
        <v>1662</v>
      </c>
      <c r="O187" s="78">
        <v>788</v>
      </c>
      <c r="P187" s="79" t="s">
        <v>1663</v>
      </c>
      <c r="Q187" s="78">
        <v>535</v>
      </c>
      <c r="R187" s="79" t="s">
        <v>1664</v>
      </c>
      <c r="S187" s="78">
        <v>391</v>
      </c>
      <c r="T187" s="79" t="s">
        <v>1665</v>
      </c>
      <c r="U187" s="78">
        <v>343</v>
      </c>
      <c r="V187" s="79" t="s">
        <v>1666</v>
      </c>
      <c r="W187" s="78">
        <v>264</v>
      </c>
      <c r="X187" s="79" t="s">
        <v>1667</v>
      </c>
      <c r="Y187" s="78">
        <v>145</v>
      </c>
      <c r="Z187" s="79" t="s">
        <v>1668</v>
      </c>
      <c r="AA187" s="78">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4009</v>
      </c>
      <c r="J188" s="83" t="s">
        <v>1674</v>
      </c>
      <c r="K188" s="78">
        <v>1961</v>
      </c>
      <c r="L188" s="86" t="s">
        <v>1675</v>
      </c>
      <c r="M188" s="78">
        <v>1804</v>
      </c>
      <c r="N188" s="86" t="s">
        <v>1676</v>
      </c>
      <c r="O188" s="78">
        <v>1331</v>
      </c>
      <c r="P188" s="79" t="s">
        <v>1677</v>
      </c>
      <c r="Q188" s="78">
        <v>1174</v>
      </c>
      <c r="R188" s="79" t="s">
        <v>1678</v>
      </c>
      <c r="S188" s="78">
        <v>937</v>
      </c>
      <c r="T188" s="79" t="s">
        <v>151</v>
      </c>
      <c r="U188" s="78">
        <v>780</v>
      </c>
      <c r="V188" s="79" t="s">
        <v>1679</v>
      </c>
      <c r="W188" s="78">
        <v>535</v>
      </c>
      <c r="X188" s="79" t="s">
        <v>1680</v>
      </c>
      <c r="Y188" s="78">
        <v>264</v>
      </c>
      <c r="Z188" s="79" t="s">
        <v>1681</v>
      </c>
      <c r="AA188" s="78">
        <v>184</v>
      </c>
      <c r="AB188" s="79" t="s">
        <v>1682</v>
      </c>
      <c r="AC188" s="78">
        <v>145</v>
      </c>
      <c r="AD188" s="79" t="s">
        <v>1683</v>
      </c>
      <c r="AE188" s="78">
        <v>28</v>
      </c>
    </row>
    <row r="189" spans="1:35" ht="22.5" customHeight="1" thickBot="1">
      <c r="A189" s="40" t="s">
        <v>1685</v>
      </c>
      <c r="C189" s="40" t="s">
        <v>1684</v>
      </c>
      <c r="D189" s="41" t="s">
        <v>1684</v>
      </c>
      <c r="E189" s="44" t="s">
        <v>3987</v>
      </c>
      <c r="F189" s="41" t="str">
        <f t="shared" si="4"/>
        <v>https://www.ssbuy.tw/detail_giftcode/dist/giftcodes/全明星無雙.html</v>
      </c>
      <c r="G189" s="44" t="s">
        <v>1636</v>
      </c>
      <c r="H189" s="41" t="str">
        <f t="shared" si="5"/>
        <v>https://www.ssbuy.tw/detail_giftcode/dist/gamedetail/全明星無雙.html</v>
      </c>
      <c r="I189" s="42" t="s">
        <v>3490</v>
      </c>
      <c r="J189" s="83" t="s">
        <v>61</v>
      </c>
      <c r="K189" s="78">
        <v>2555</v>
      </c>
      <c r="L189" s="86" t="s">
        <v>62</v>
      </c>
      <c r="M189" s="78">
        <v>1331</v>
      </c>
      <c r="N189" s="86" t="s">
        <v>63</v>
      </c>
      <c r="O189" s="78">
        <v>780</v>
      </c>
      <c r="P189" s="79" t="s">
        <v>64</v>
      </c>
      <c r="Q189" s="78">
        <v>535</v>
      </c>
      <c r="R189" s="79" t="s">
        <v>1276</v>
      </c>
      <c r="S189" s="78">
        <v>391</v>
      </c>
      <c r="T189" s="79" t="s">
        <v>65</v>
      </c>
      <c r="U189" s="78">
        <v>264</v>
      </c>
      <c r="V189" s="79" t="s">
        <v>16</v>
      </c>
      <c r="W189" s="78">
        <v>145</v>
      </c>
      <c r="X189" s="79" t="s">
        <v>7</v>
      </c>
      <c r="Y189" s="78">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3988</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3989</v>
      </c>
      <c r="J191" s="83" t="s">
        <v>3512</v>
      </c>
      <c r="K191" s="78">
        <v>1961</v>
      </c>
      <c r="L191" s="86" t="s">
        <v>3513</v>
      </c>
      <c r="M191" s="78">
        <v>1567</v>
      </c>
      <c r="N191" s="86" t="s">
        <v>3514</v>
      </c>
      <c r="O191" s="78">
        <v>1016</v>
      </c>
      <c r="P191" s="79" t="s">
        <v>3515</v>
      </c>
      <c r="Q191" s="78">
        <v>622</v>
      </c>
      <c r="R191" s="79" t="s">
        <v>3516</v>
      </c>
      <c r="S191" s="78">
        <v>232</v>
      </c>
      <c r="T191" s="79" t="s">
        <v>3517</v>
      </c>
      <c r="U191" s="78">
        <v>102</v>
      </c>
      <c r="V191" s="79" t="s">
        <v>3518</v>
      </c>
      <c r="W191" s="78">
        <v>51</v>
      </c>
      <c r="X191" s="79" t="s">
        <v>3519</v>
      </c>
      <c r="Y191" s="78">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3990</v>
      </c>
      <c r="J192" s="83" t="s">
        <v>3554</v>
      </c>
      <c r="K192" s="78">
        <v>2415</v>
      </c>
      <c r="L192" s="86" t="s">
        <v>3555</v>
      </c>
      <c r="M192" s="78">
        <v>1225</v>
      </c>
      <c r="N192" s="86" t="s">
        <v>3556</v>
      </c>
      <c r="O192" s="78">
        <v>497</v>
      </c>
      <c r="P192" s="79" t="s">
        <v>3557</v>
      </c>
      <c r="Q192" s="78">
        <v>248</v>
      </c>
      <c r="R192" s="79" t="s">
        <v>3558</v>
      </c>
      <c r="S192" s="78">
        <v>132</v>
      </c>
      <c r="T192" s="79" t="s">
        <v>32</v>
      </c>
      <c r="U192" s="78">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3991</v>
      </c>
      <c r="J193" s="83" t="s">
        <v>3559</v>
      </c>
      <c r="K193" s="78">
        <v>1890</v>
      </c>
      <c r="L193" s="86" t="s">
        <v>3560</v>
      </c>
      <c r="M193" s="78">
        <v>945</v>
      </c>
      <c r="N193" s="86" t="s">
        <v>3561</v>
      </c>
      <c r="O193" s="78">
        <v>575</v>
      </c>
      <c r="P193" s="79" t="s">
        <v>3562</v>
      </c>
      <c r="Q193" s="78">
        <v>192</v>
      </c>
      <c r="R193" s="79" t="s">
        <v>3563</v>
      </c>
      <c r="S193" s="78">
        <v>102</v>
      </c>
      <c r="T193" s="79" t="s">
        <v>3564</v>
      </c>
      <c r="U193" s="78">
        <v>64</v>
      </c>
      <c r="V193" s="79" t="s">
        <v>3565</v>
      </c>
      <c r="W193" s="78">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4010</v>
      </c>
      <c r="J194" s="83" t="s">
        <v>3571</v>
      </c>
      <c r="K194" s="78">
        <v>622</v>
      </c>
      <c r="L194" s="86" t="s">
        <v>3572</v>
      </c>
      <c r="M194" s="78">
        <v>312</v>
      </c>
      <c r="N194" s="86" t="s">
        <v>3573</v>
      </c>
      <c r="O194" s="78">
        <v>176</v>
      </c>
      <c r="P194" s="79" t="s">
        <v>3574</v>
      </c>
      <c r="Q194" s="78">
        <v>102</v>
      </c>
      <c r="R194" s="79" t="s">
        <v>3575</v>
      </c>
      <c r="S194" s="78">
        <v>51</v>
      </c>
      <c r="T194" s="79" t="s">
        <v>3576</v>
      </c>
      <c r="U194" s="78">
        <v>26</v>
      </c>
      <c r="V194" s="79" t="s">
        <v>3577</v>
      </c>
      <c r="W194" s="78">
        <v>391</v>
      </c>
      <c r="X194" s="79" t="s">
        <v>3578</v>
      </c>
      <c r="Y194" s="78">
        <v>391</v>
      </c>
      <c r="Z194" s="79" t="s">
        <v>3579</v>
      </c>
      <c r="AA194" s="78">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3992</v>
      </c>
      <c r="J195" s="83" t="s">
        <v>3571</v>
      </c>
      <c r="K195" s="78">
        <v>622</v>
      </c>
      <c r="L195" s="86" t="s">
        <v>3572</v>
      </c>
      <c r="M195" s="78">
        <v>312</v>
      </c>
      <c r="N195" s="86" t="s">
        <v>3573</v>
      </c>
      <c r="O195" s="78">
        <v>176</v>
      </c>
      <c r="P195" s="79" t="s">
        <v>3574</v>
      </c>
      <c r="Q195" s="78">
        <v>102</v>
      </c>
      <c r="R195" s="79" t="s">
        <v>3575</v>
      </c>
      <c r="S195" s="78">
        <v>51</v>
      </c>
      <c r="T195" s="79" t="s">
        <v>3576</v>
      </c>
      <c r="U195" s="78">
        <v>26</v>
      </c>
      <c r="V195" s="79" t="s">
        <v>3577</v>
      </c>
      <c r="W195" s="78">
        <v>391</v>
      </c>
      <c r="X195" s="79" t="s">
        <v>3578</v>
      </c>
      <c r="Y195" s="78">
        <v>391</v>
      </c>
      <c r="Z195" s="79" t="s">
        <v>3579</v>
      </c>
      <c r="AA195" s="78">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3993</v>
      </c>
      <c r="J196" s="83" t="s">
        <v>3590</v>
      </c>
      <c r="K196" s="78">
        <v>2355</v>
      </c>
      <c r="L196" s="86" t="s">
        <v>3591</v>
      </c>
      <c r="M196" s="78">
        <v>1174</v>
      </c>
      <c r="N196" s="86" t="s">
        <v>3592</v>
      </c>
      <c r="O196" s="78">
        <v>359</v>
      </c>
      <c r="P196" s="79" t="s">
        <v>239</v>
      </c>
      <c r="Q196" s="78">
        <v>240</v>
      </c>
      <c r="R196" s="79" t="s">
        <v>3593</v>
      </c>
      <c r="S196" s="78">
        <v>153</v>
      </c>
      <c r="T196" s="79" t="s">
        <v>3594</v>
      </c>
      <c r="U196" s="78">
        <v>77</v>
      </c>
      <c r="V196" s="79" t="s">
        <v>3595</v>
      </c>
      <c r="W196" s="78">
        <v>26</v>
      </c>
      <c r="X196" s="79" t="s">
        <v>3596</v>
      </c>
      <c r="Y196" s="78">
        <v>359</v>
      </c>
      <c r="Z196" s="79" t="s">
        <v>3597</v>
      </c>
      <c r="AA196" s="78">
        <v>240</v>
      </c>
      <c r="AB196" s="79" t="s">
        <v>3598</v>
      </c>
      <c r="AC196" s="78">
        <v>240</v>
      </c>
      <c r="AD196" s="79" t="s">
        <v>3599</v>
      </c>
      <c r="AE196" s="78">
        <v>128</v>
      </c>
      <c r="AF196" s="79" t="s">
        <v>3600</v>
      </c>
      <c r="AG196" s="78">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3994</v>
      </c>
      <c r="J197" s="83" t="s">
        <v>235</v>
      </c>
      <c r="K197" s="78">
        <v>2355</v>
      </c>
      <c r="L197" s="86" t="s">
        <v>236</v>
      </c>
      <c r="M197" s="78">
        <v>1174</v>
      </c>
      <c r="N197" s="86" t="s">
        <v>1292</v>
      </c>
      <c r="O197" s="78">
        <v>780</v>
      </c>
      <c r="P197" s="79" t="s">
        <v>237</v>
      </c>
      <c r="Q197" s="78">
        <v>535</v>
      </c>
      <c r="R197" s="79" t="s">
        <v>1638</v>
      </c>
      <c r="S197" s="78">
        <v>391</v>
      </c>
      <c r="T197" s="79" t="s">
        <v>238</v>
      </c>
      <c r="U197" s="78">
        <v>264</v>
      </c>
      <c r="V197" s="79" t="s">
        <v>239</v>
      </c>
      <c r="W197" s="78">
        <v>145</v>
      </c>
      <c r="X197" s="79" t="s">
        <v>240</v>
      </c>
      <c r="Y197" s="78">
        <v>28</v>
      </c>
      <c r="Z197" s="79" t="s">
        <v>1313</v>
      </c>
      <c r="AA197" s="78">
        <v>780</v>
      </c>
      <c r="AB197" s="79" t="s">
        <v>3618</v>
      </c>
      <c r="AC197" s="78">
        <v>264</v>
      </c>
      <c r="AD197" s="79" t="s">
        <v>3619</v>
      </c>
      <c r="AE197" s="78">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3995</v>
      </c>
      <c r="J198" s="83" t="s">
        <v>3627</v>
      </c>
      <c r="K198" s="78">
        <v>780</v>
      </c>
      <c r="L198" s="86" t="s">
        <v>3628</v>
      </c>
      <c r="M198" s="78">
        <v>232</v>
      </c>
      <c r="N198" s="86" t="s">
        <v>3629</v>
      </c>
      <c r="O198" s="78">
        <v>51</v>
      </c>
      <c r="P198" s="79" t="s">
        <v>3630</v>
      </c>
      <c r="Q198" s="78">
        <v>232</v>
      </c>
      <c r="R198" s="79" t="s">
        <v>3631</v>
      </c>
      <c r="S198" s="78">
        <v>391</v>
      </c>
      <c r="T198" s="79" t="s">
        <v>3632</v>
      </c>
      <c r="U198" s="78">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3996</v>
      </c>
      <c r="J199" s="83" t="s">
        <v>3643</v>
      </c>
      <c r="K199" s="78">
        <v>2555</v>
      </c>
      <c r="L199" s="86" t="s">
        <v>3644</v>
      </c>
      <c r="M199" s="78">
        <v>2119</v>
      </c>
      <c r="N199" s="86" t="s">
        <v>3645</v>
      </c>
      <c r="O199" s="78">
        <v>1063</v>
      </c>
      <c r="P199" s="79" t="s">
        <v>3646</v>
      </c>
      <c r="Q199" s="78">
        <v>701</v>
      </c>
      <c r="R199" s="79" t="s">
        <v>3647</v>
      </c>
      <c r="S199" s="78">
        <v>312</v>
      </c>
      <c r="T199" s="79" t="s">
        <v>3648</v>
      </c>
      <c r="U199" s="78">
        <v>162</v>
      </c>
      <c r="V199" s="79" t="s">
        <v>3649</v>
      </c>
      <c r="W199" s="78">
        <v>85</v>
      </c>
      <c r="X199" s="79" t="s">
        <v>3650</v>
      </c>
      <c r="Y199" s="78">
        <v>51</v>
      </c>
      <c r="Z199" s="79" t="s">
        <v>3651</v>
      </c>
      <c r="AA199" s="78">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3997</v>
      </c>
      <c r="J200" s="83" t="s">
        <v>1427</v>
      </c>
      <c r="K200" s="78">
        <v>2415</v>
      </c>
      <c r="L200" s="86" t="s">
        <v>3697</v>
      </c>
      <c r="M200" s="78">
        <v>1348</v>
      </c>
      <c r="N200" s="86" t="s">
        <v>262</v>
      </c>
      <c r="O200" s="78">
        <v>735</v>
      </c>
      <c r="P200" s="79" t="s">
        <v>3698</v>
      </c>
      <c r="Q200" s="78">
        <v>621</v>
      </c>
      <c r="R200" s="79" t="s">
        <v>279</v>
      </c>
      <c r="S200" s="78">
        <v>497</v>
      </c>
      <c r="T200" s="79" t="s">
        <v>1493</v>
      </c>
      <c r="U200" s="78">
        <v>373</v>
      </c>
      <c r="V200" s="79" t="s">
        <v>280</v>
      </c>
      <c r="W200" s="78">
        <v>248</v>
      </c>
      <c r="X200" s="79" t="s">
        <v>3699</v>
      </c>
      <c r="Y200" s="78">
        <v>199</v>
      </c>
      <c r="Z200" s="79" t="s">
        <v>281</v>
      </c>
      <c r="AA200" s="78">
        <v>132</v>
      </c>
      <c r="AB200" s="79" t="s">
        <v>3700</v>
      </c>
      <c r="AC200" s="78">
        <v>106</v>
      </c>
      <c r="AD200" s="79" t="s">
        <v>3701</v>
      </c>
      <c r="AE200" s="78">
        <v>53</v>
      </c>
      <c r="AF200" s="79" t="s">
        <v>1428</v>
      </c>
      <c r="AG200" s="78">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4011</v>
      </c>
      <c r="J201" s="83" t="s">
        <v>3702</v>
      </c>
      <c r="K201" s="78">
        <v>1961</v>
      </c>
      <c r="L201" s="86" t="s">
        <v>261</v>
      </c>
      <c r="M201" s="78">
        <v>1016</v>
      </c>
      <c r="N201" s="86" t="s">
        <v>263</v>
      </c>
      <c r="O201" s="78">
        <v>622</v>
      </c>
      <c r="P201" s="79" t="s">
        <v>249</v>
      </c>
      <c r="Q201" s="78">
        <v>232</v>
      </c>
      <c r="R201" s="79" t="s">
        <v>252</v>
      </c>
      <c r="S201" s="78">
        <v>102</v>
      </c>
      <c r="T201" s="79" t="s">
        <v>253</v>
      </c>
      <c r="U201" s="78">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4012</v>
      </c>
      <c r="J202" s="83" t="s">
        <v>301</v>
      </c>
      <c r="K202" s="78">
        <v>2355</v>
      </c>
      <c r="L202" s="86" t="s">
        <v>302</v>
      </c>
      <c r="M202" s="78">
        <v>1174</v>
      </c>
      <c r="N202" s="86"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3998</v>
      </c>
      <c r="J203" s="83" t="s">
        <v>3703</v>
      </c>
      <c r="K203" s="78">
        <v>2555</v>
      </c>
      <c r="L203" s="86" t="s">
        <v>3704</v>
      </c>
      <c r="M203" s="78">
        <v>1331</v>
      </c>
      <c r="N203" s="86" t="s">
        <v>3705</v>
      </c>
      <c r="O203" s="78">
        <v>780</v>
      </c>
      <c r="P203" s="79" t="s">
        <v>3706</v>
      </c>
      <c r="Q203" s="78">
        <v>535</v>
      </c>
      <c r="R203" s="79" t="s">
        <v>3707</v>
      </c>
      <c r="S203" s="78">
        <v>391</v>
      </c>
      <c r="T203" s="79" t="s">
        <v>3708</v>
      </c>
      <c r="U203" s="78">
        <v>264</v>
      </c>
      <c r="V203" s="79" t="s">
        <v>3709</v>
      </c>
      <c r="W203" s="78">
        <v>232</v>
      </c>
      <c r="X203" s="79" t="s">
        <v>3710</v>
      </c>
      <c r="Y203" s="78">
        <v>208</v>
      </c>
      <c r="Z203" s="79" t="s">
        <v>3711</v>
      </c>
      <c r="AA203" s="78">
        <v>111</v>
      </c>
      <c r="AB203" s="79" t="s">
        <v>3712</v>
      </c>
      <c r="AC203" s="78">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4013</v>
      </c>
      <c r="J204" s="83" t="s">
        <v>3713</v>
      </c>
      <c r="K204" s="78">
        <v>2555</v>
      </c>
      <c r="L204" s="86" t="s">
        <v>3714</v>
      </c>
      <c r="M204" s="78">
        <v>1331</v>
      </c>
      <c r="N204" s="86" t="s">
        <v>3715</v>
      </c>
      <c r="O204" s="78">
        <v>535</v>
      </c>
      <c r="P204" s="79" t="s">
        <v>3716</v>
      </c>
      <c r="Q204" s="78">
        <v>145</v>
      </c>
      <c r="R204" s="79" t="s">
        <v>3717</v>
      </c>
      <c r="S204" s="78">
        <v>391</v>
      </c>
      <c r="T204" s="79" t="s">
        <v>3718</v>
      </c>
      <c r="U204" s="78">
        <v>780</v>
      </c>
      <c r="V204" s="79" t="s">
        <v>3719</v>
      </c>
      <c r="W204" s="78">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4014</v>
      </c>
      <c r="J205" s="83" t="s">
        <v>1427</v>
      </c>
      <c r="K205" s="78">
        <v>2555</v>
      </c>
      <c r="L205" s="86" t="s">
        <v>278</v>
      </c>
      <c r="M205" s="78">
        <v>1331</v>
      </c>
      <c r="N205" s="86" t="s">
        <v>262</v>
      </c>
      <c r="O205" s="78">
        <v>780</v>
      </c>
      <c r="P205" s="79" t="s">
        <v>279</v>
      </c>
      <c r="Q205" s="78">
        <v>535</v>
      </c>
      <c r="R205" s="79" t="s">
        <v>1493</v>
      </c>
      <c r="S205" s="78">
        <v>391</v>
      </c>
      <c r="T205" s="79" t="s">
        <v>280</v>
      </c>
      <c r="U205" s="78">
        <v>264</v>
      </c>
      <c r="V205" s="79" t="s">
        <v>281</v>
      </c>
      <c r="W205" s="78">
        <v>145</v>
      </c>
      <c r="X205" s="79" t="s">
        <v>1428</v>
      </c>
      <c r="Y205" s="78">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4015</v>
      </c>
      <c r="J206" s="83" t="s">
        <v>3720</v>
      </c>
      <c r="K206" s="78">
        <v>2363</v>
      </c>
      <c r="L206" s="86" t="s">
        <v>3721</v>
      </c>
      <c r="M206" s="78">
        <v>1182</v>
      </c>
      <c r="N206" s="86" t="s">
        <v>262</v>
      </c>
      <c r="O206" s="78">
        <v>780</v>
      </c>
      <c r="P206" s="79" t="s">
        <v>3722</v>
      </c>
      <c r="Q206" s="78">
        <v>599</v>
      </c>
      <c r="R206" s="79" t="s">
        <v>3723</v>
      </c>
      <c r="S206" s="78">
        <v>479</v>
      </c>
      <c r="T206" s="79" t="s">
        <v>3724</v>
      </c>
      <c r="U206" s="78">
        <v>359</v>
      </c>
      <c r="V206" s="79" t="s">
        <v>1458</v>
      </c>
      <c r="W206" s="78">
        <v>240</v>
      </c>
      <c r="X206" s="79" t="s">
        <v>251</v>
      </c>
      <c r="Y206" s="78">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3999</v>
      </c>
      <c r="J207" s="83" t="s">
        <v>3725</v>
      </c>
      <c r="K207" s="78">
        <v>2363</v>
      </c>
      <c r="L207" s="86" t="s">
        <v>3725</v>
      </c>
      <c r="M207" s="78">
        <v>1182</v>
      </c>
      <c r="N207" s="86" t="s">
        <v>3726</v>
      </c>
      <c r="O207" s="78">
        <v>599</v>
      </c>
      <c r="P207" s="79" t="s">
        <v>3727</v>
      </c>
      <c r="Q207" s="78">
        <v>240</v>
      </c>
      <c r="R207" s="79" t="s">
        <v>3728</v>
      </c>
      <c r="S207" s="78">
        <v>128</v>
      </c>
      <c r="T207" s="79" t="s">
        <v>3729</v>
      </c>
      <c r="U207" s="78">
        <v>26</v>
      </c>
      <c r="V207" s="79" t="s">
        <v>3730</v>
      </c>
      <c r="W207" s="78">
        <v>128</v>
      </c>
      <c r="X207" s="79" t="s">
        <v>3731</v>
      </c>
      <c r="Y207" s="78">
        <v>128</v>
      </c>
    </row>
    <row r="208" spans="1:33" ht="22.5" customHeight="1" thickBot="1">
      <c r="A208" s="48" t="s">
        <v>3801</v>
      </c>
      <c r="C208" s="40" t="s">
        <v>3812</v>
      </c>
      <c r="D208" s="41" t="s">
        <v>3813</v>
      </c>
      <c r="E208" s="41" t="s">
        <v>3814</v>
      </c>
      <c r="F208" s="41" t="str">
        <f t="shared" si="6"/>
        <v>https://www.ssbuy.tw/detail_giftcode/dist/giftcodes/血影雙生.html</v>
      </c>
      <c r="G208" s="41" t="s">
        <v>3807</v>
      </c>
      <c r="H208" s="41" t="str">
        <f t="shared" si="7"/>
        <v>https://www.ssbuy.tw/detail_giftcode/dist/gamedetail/血影雙生.html</v>
      </c>
      <c r="I208" s="42" t="s">
        <v>4000</v>
      </c>
      <c r="J208" s="83" t="s">
        <v>3843</v>
      </c>
      <c r="K208" s="78">
        <v>2555</v>
      </c>
      <c r="L208" s="86" t="s">
        <v>3844</v>
      </c>
      <c r="M208" s="78">
        <v>1331</v>
      </c>
      <c r="N208" s="86" t="s">
        <v>3845</v>
      </c>
      <c r="O208" s="78">
        <v>780</v>
      </c>
      <c r="P208" s="79" t="s">
        <v>3846</v>
      </c>
      <c r="Q208" s="78">
        <v>535</v>
      </c>
      <c r="R208" s="79" t="s">
        <v>3847</v>
      </c>
      <c r="S208" s="78">
        <v>264</v>
      </c>
      <c r="T208" s="79" t="s">
        <v>3848</v>
      </c>
      <c r="U208" s="78">
        <v>145</v>
      </c>
      <c r="V208" s="79" t="s">
        <v>3849</v>
      </c>
      <c r="W208" s="78">
        <v>145</v>
      </c>
    </row>
    <row r="209" spans="1:33" ht="22.5" customHeight="1" thickBot="1">
      <c r="A209" s="48" t="s">
        <v>3802</v>
      </c>
      <c r="C209" s="40" t="s">
        <v>3806</v>
      </c>
      <c r="D209" s="41" t="s">
        <v>3805</v>
      </c>
      <c r="E209" s="41" t="s">
        <v>3803</v>
      </c>
      <c r="F209" s="41" t="str">
        <f t="shared" si="6"/>
        <v>https://www.ssbuy.tw/detail_giftcode/dist/giftcodes/我的勇者外傳.html</v>
      </c>
      <c r="G209" s="41" t="s">
        <v>3804</v>
      </c>
      <c r="H209" s="41" t="str">
        <f t="shared" si="7"/>
        <v>https://www.ssbuy.tw/detail_giftcode/dist/gamedetail/我的勇者外傳.html</v>
      </c>
      <c r="I209" s="42" t="s">
        <v>4001</v>
      </c>
      <c r="J209" s="83" t="s">
        <v>3828</v>
      </c>
      <c r="K209" s="78">
        <v>2555</v>
      </c>
      <c r="L209" s="86" t="s">
        <v>3829</v>
      </c>
      <c r="M209" s="78">
        <v>1331</v>
      </c>
      <c r="N209" s="86" t="s">
        <v>3830</v>
      </c>
      <c r="O209" s="78">
        <v>535</v>
      </c>
      <c r="P209" s="79" t="s">
        <v>3831</v>
      </c>
      <c r="Q209" s="78">
        <v>288</v>
      </c>
      <c r="R209" s="79" t="s">
        <v>3832</v>
      </c>
      <c r="S209" s="78">
        <v>145</v>
      </c>
      <c r="T209" s="79" t="s">
        <v>3833</v>
      </c>
      <c r="U209" s="78">
        <v>60</v>
      </c>
      <c r="V209" s="79" t="s">
        <v>3834</v>
      </c>
      <c r="W209" s="78">
        <v>28</v>
      </c>
      <c r="X209" s="79" t="s">
        <v>3835</v>
      </c>
      <c r="Y209" s="78">
        <v>145</v>
      </c>
      <c r="Z209" s="79" t="s">
        <v>3836</v>
      </c>
      <c r="AA209" s="78">
        <v>85</v>
      </c>
    </row>
    <row r="210" spans="1:33" ht="22.5" customHeight="1" thickBot="1">
      <c r="A210" s="48" t="s">
        <v>4029</v>
      </c>
      <c r="C210" s="40" t="s">
        <v>3808</v>
      </c>
      <c r="D210" s="41" t="s">
        <v>3811</v>
      </c>
      <c r="E210" s="41" t="s">
        <v>3809</v>
      </c>
      <c r="F210" s="41" t="str">
        <f t="shared" si="6"/>
        <v>https://www.ssbuy.tw/detail_giftcode/dist/giftcodes/女神契約：異世界遠征隊.html</v>
      </c>
      <c r="G210" s="41" t="s">
        <v>3810</v>
      </c>
      <c r="H210" s="41" t="str">
        <f t="shared" si="7"/>
        <v>https://www.ssbuy.tw/detail_giftcode/dist/gamedetail/女神契約：異世界遠征隊.html</v>
      </c>
      <c r="I210" s="42" t="s">
        <v>4002</v>
      </c>
      <c r="J210" s="83" t="s">
        <v>3837</v>
      </c>
      <c r="K210" s="78">
        <v>2355</v>
      </c>
      <c r="L210" s="86" t="s">
        <v>3838</v>
      </c>
      <c r="M210" s="78">
        <v>1174</v>
      </c>
      <c r="N210" s="86" t="s">
        <v>3839</v>
      </c>
      <c r="O210" s="78">
        <v>551</v>
      </c>
      <c r="P210" s="79" t="s">
        <v>3840</v>
      </c>
      <c r="Q210" s="78">
        <v>256</v>
      </c>
      <c r="R210" s="79" t="s">
        <v>62</v>
      </c>
      <c r="S210" s="78">
        <v>102</v>
      </c>
      <c r="T210" s="79" t="s">
        <v>65</v>
      </c>
      <c r="U210" s="78">
        <v>26</v>
      </c>
      <c r="V210" s="79" t="s">
        <v>3841</v>
      </c>
      <c r="W210" s="78">
        <v>102</v>
      </c>
      <c r="X210" s="79" t="s">
        <v>3842</v>
      </c>
      <c r="Y210" s="78">
        <v>102</v>
      </c>
      <c r="Z210" s="79" t="s">
        <v>1561</v>
      </c>
      <c r="AA210" s="78">
        <v>780</v>
      </c>
    </row>
    <row r="211" spans="1:33" ht="22.5" customHeight="1" thickBot="1">
      <c r="A211" s="48" t="s">
        <v>4028</v>
      </c>
      <c r="C211" s="43" t="s">
        <v>3881</v>
      </c>
      <c r="D211" s="44" t="s">
        <v>3880</v>
      </c>
      <c r="E211" s="44" t="s">
        <v>3883</v>
      </c>
      <c r="F211" s="41" t="str">
        <f t="shared" si="6"/>
        <v>https://www.ssbuy.tw/detail_giftcode/dist/giftcodes/Pixel Starships 2.html</v>
      </c>
      <c r="G211" s="44" t="s">
        <v>3882</v>
      </c>
      <c r="H211" s="41" t="str">
        <f t="shared" si="7"/>
        <v>https://www.ssbuy.tw/detail_giftcode/dist/gamedetail/Pixel Starships 2.html</v>
      </c>
      <c r="I211" s="42" t="s">
        <v>3913</v>
      </c>
      <c r="J211" s="83" t="s">
        <v>3946</v>
      </c>
      <c r="K211" s="78">
        <v>2355</v>
      </c>
      <c r="L211" s="86" t="s">
        <v>3947</v>
      </c>
      <c r="M211" s="78">
        <v>1174</v>
      </c>
      <c r="N211" s="86" t="s">
        <v>3948</v>
      </c>
      <c r="O211" s="78">
        <v>551</v>
      </c>
      <c r="P211" s="79" t="s">
        <v>3949</v>
      </c>
      <c r="Q211" s="78">
        <v>256</v>
      </c>
      <c r="R211" s="79" t="s">
        <v>3950</v>
      </c>
      <c r="S211" s="78">
        <v>128</v>
      </c>
      <c r="T211" s="79" t="s">
        <v>3951</v>
      </c>
      <c r="U211" s="78">
        <v>51</v>
      </c>
      <c r="V211" s="79" t="s">
        <v>3952</v>
      </c>
      <c r="W211" s="78">
        <v>232</v>
      </c>
    </row>
    <row r="212" spans="1:33" ht="22.5" customHeight="1" thickBot="1">
      <c r="A212" s="48" t="s">
        <v>3873</v>
      </c>
      <c r="C212" s="43" t="s">
        <v>3511</v>
      </c>
      <c r="D212" s="44" t="s">
        <v>3884</v>
      </c>
      <c r="E212" s="44" t="s">
        <v>3884</v>
      </c>
      <c r="F212" s="41" t="str">
        <f t="shared" si="6"/>
        <v>https://www.ssbuy.tw/detail_giftcode/dist/giftcodes/升級村莊大作戰.html</v>
      </c>
      <c r="G212" s="44" t="s">
        <v>3885</v>
      </c>
      <c r="H212" s="41" t="str">
        <f t="shared" si="7"/>
        <v>https://www.ssbuy.tw/detail_giftcode/dist/gamedetail/升級村莊大作戰.html</v>
      </c>
      <c r="I212" s="42" t="s">
        <v>3922</v>
      </c>
      <c r="J212" s="83" t="s">
        <v>3972</v>
      </c>
      <c r="K212" s="78">
        <v>1725</v>
      </c>
      <c r="L212" s="86" t="s">
        <v>3973</v>
      </c>
      <c r="M212" s="78">
        <v>827</v>
      </c>
      <c r="N212" s="86" t="s">
        <v>3974</v>
      </c>
      <c r="O212" s="78">
        <v>471</v>
      </c>
      <c r="P212" s="79" t="s">
        <v>3975</v>
      </c>
      <c r="Q212" s="78">
        <v>216</v>
      </c>
      <c r="R212" s="79" t="s">
        <v>64</v>
      </c>
      <c r="S212" s="78">
        <v>111</v>
      </c>
      <c r="T212" s="79" t="s">
        <v>65</v>
      </c>
      <c r="U212" s="78">
        <v>60</v>
      </c>
      <c r="V212" s="79" t="s">
        <v>3952</v>
      </c>
      <c r="W212" s="78">
        <v>232</v>
      </c>
      <c r="X212" s="79" t="s">
        <v>3976</v>
      </c>
      <c r="Y212" s="78">
        <v>391</v>
      </c>
      <c r="Z212" s="78"/>
    </row>
    <row r="213" spans="1:33" ht="22.5" customHeight="1" thickBot="1">
      <c r="A213" s="48" t="s">
        <v>3874</v>
      </c>
      <c r="C213" s="43" t="s">
        <v>3889</v>
      </c>
      <c r="D213" s="44" t="s">
        <v>3887</v>
      </c>
      <c r="E213" s="44" t="s">
        <v>3888</v>
      </c>
      <c r="F213" s="41" t="str">
        <f t="shared" si="6"/>
        <v>https://www.ssbuy.tw/detail_giftcode/dist/giftcodes/新月同行.html</v>
      </c>
      <c r="G213" s="41" t="s">
        <v>3886</v>
      </c>
      <c r="H213" s="41" t="str">
        <f t="shared" si="7"/>
        <v>https://www.ssbuy.tw/detail_giftcode/dist/gamedetail/新月同行.html</v>
      </c>
      <c r="I213" s="42" t="s">
        <v>3923</v>
      </c>
      <c r="J213" s="84" t="s">
        <v>2640</v>
      </c>
      <c r="K213" s="68" t="s">
        <v>2640</v>
      </c>
      <c r="L213" s="68" t="s">
        <v>2640</v>
      </c>
      <c r="M213" s="68" t="s">
        <v>2640</v>
      </c>
    </row>
    <row r="214" spans="1:33" ht="22.5" customHeight="1" thickBot="1">
      <c r="A214" s="48" t="s">
        <v>3919</v>
      </c>
      <c r="C214" s="43" t="s">
        <v>3511</v>
      </c>
      <c r="D214" s="41" t="s">
        <v>3924</v>
      </c>
      <c r="E214" s="41" t="s">
        <v>3924</v>
      </c>
      <c r="F214" s="41" t="str">
        <f t="shared" si="6"/>
        <v>https://www.ssbuy.tw/detail_giftcode/dist/giftcodes/超商勇者.html</v>
      </c>
      <c r="G214" s="41" t="s">
        <v>3924</v>
      </c>
      <c r="H214" s="41" t="str">
        <f t="shared" si="7"/>
        <v>https://www.ssbuy.tw/detail_giftcode/dist/gamedetail/超商勇者.html</v>
      </c>
      <c r="I214" s="42" t="s">
        <v>3920</v>
      </c>
      <c r="J214" s="83" t="s">
        <v>3977</v>
      </c>
      <c r="K214" s="78">
        <v>162</v>
      </c>
      <c r="L214" s="86" t="s">
        <v>3978</v>
      </c>
      <c r="M214" s="78">
        <v>77</v>
      </c>
      <c r="N214" s="86" t="s">
        <v>3979</v>
      </c>
      <c r="O214" s="78">
        <v>77</v>
      </c>
      <c r="P214" s="79" t="s">
        <v>3980</v>
      </c>
      <c r="Q214" s="78">
        <v>77</v>
      </c>
      <c r="R214" s="79" t="s">
        <v>3981</v>
      </c>
      <c r="S214" s="78">
        <v>162</v>
      </c>
    </row>
    <row r="215" spans="1:33" ht="22.5" customHeight="1" thickBot="1">
      <c r="A215" s="48" t="s">
        <v>4003</v>
      </c>
      <c r="C215" s="43" t="s">
        <v>3925</v>
      </c>
      <c r="D215" s="44" t="s">
        <v>3897</v>
      </c>
      <c r="E215" s="41" t="s">
        <v>3896</v>
      </c>
      <c r="F215" s="41" t="str">
        <f t="shared" si="6"/>
        <v>https://www.ssbuy.tw/detail_giftcode/dist/giftcodes/怪獸8號 THE GAME.html</v>
      </c>
      <c r="G215" s="41" t="s">
        <v>3890</v>
      </c>
      <c r="H215" s="41" t="str">
        <f t="shared" si="7"/>
        <v>https://www.ssbuy.tw/detail_giftcode/dist/gamedetail/怪獸8號 THE GAME.html</v>
      </c>
      <c r="I215" s="42" t="s">
        <v>3918</v>
      </c>
      <c r="J215" s="85" t="s">
        <v>4017</v>
      </c>
      <c r="K215" s="81">
        <v>1567</v>
      </c>
      <c r="L215" s="87" t="s">
        <v>4018</v>
      </c>
      <c r="M215" s="81">
        <v>780</v>
      </c>
      <c r="N215" s="87" t="s">
        <v>4019</v>
      </c>
      <c r="O215" s="81">
        <v>551</v>
      </c>
      <c r="P215" s="82" t="s">
        <v>4020</v>
      </c>
      <c r="Q215" s="81">
        <v>256</v>
      </c>
      <c r="R215" s="82" t="s">
        <v>4021</v>
      </c>
      <c r="S215" s="81">
        <v>162</v>
      </c>
      <c r="T215" s="82" t="s">
        <v>4022</v>
      </c>
      <c r="U215" s="81">
        <v>77</v>
      </c>
      <c r="V215" s="82" t="s">
        <v>4023</v>
      </c>
      <c r="W215" s="81">
        <v>26</v>
      </c>
      <c r="X215" s="82" t="s">
        <v>4024</v>
      </c>
      <c r="Y215" s="81">
        <v>102</v>
      </c>
      <c r="Z215" s="82" t="s">
        <v>4025</v>
      </c>
      <c r="AA215" s="81">
        <v>391</v>
      </c>
      <c r="AB215" s="82" t="s">
        <v>4026</v>
      </c>
      <c r="AC215" s="81">
        <v>256</v>
      </c>
      <c r="AD215" s="82" t="s">
        <v>4027</v>
      </c>
      <c r="AE215" s="81">
        <v>256</v>
      </c>
    </row>
    <row r="216" spans="1:33" ht="22.5" customHeight="1" thickBot="1">
      <c r="A216" s="48" t="s">
        <v>3875</v>
      </c>
      <c r="C216" s="43" t="s">
        <v>3898</v>
      </c>
      <c r="D216" s="44" t="s">
        <v>3899</v>
      </c>
      <c r="E216" s="44" t="s">
        <v>3900</v>
      </c>
      <c r="F216" s="41" t="str">
        <f t="shared" si="6"/>
        <v>https://www.ssbuy.tw/detail_giftcode/dist/giftcodes/貓旅館物語.html</v>
      </c>
      <c r="G216" s="41" t="s">
        <v>3891</v>
      </c>
      <c r="H216" s="41" t="str">
        <f t="shared" si="7"/>
        <v>https://www.ssbuy.tw/detail_giftcode/dist/gamedetail/貓旅館物語.html</v>
      </c>
      <c r="I216" s="42" t="s">
        <v>3917</v>
      </c>
      <c r="J216" s="85" t="s">
        <v>4030</v>
      </c>
      <c r="K216" s="81">
        <v>2355</v>
      </c>
      <c r="L216" s="87" t="s">
        <v>4031</v>
      </c>
      <c r="M216" s="81">
        <v>1174</v>
      </c>
      <c r="N216" s="87" t="s">
        <v>4032</v>
      </c>
      <c r="O216" s="81">
        <v>780</v>
      </c>
      <c r="P216" s="82" t="s">
        <v>4033</v>
      </c>
      <c r="Q216" s="81">
        <v>391</v>
      </c>
      <c r="R216" s="82" t="s">
        <v>4034</v>
      </c>
      <c r="S216" s="81">
        <v>128</v>
      </c>
      <c r="T216" s="82" t="s">
        <v>4035</v>
      </c>
      <c r="U216" s="81">
        <v>26</v>
      </c>
      <c r="V216" s="82" t="s">
        <v>4036</v>
      </c>
      <c r="W216" s="81">
        <v>128</v>
      </c>
    </row>
    <row r="217" spans="1:33" ht="22.5" customHeight="1" thickBot="1">
      <c r="A217" s="48" t="s">
        <v>3876</v>
      </c>
      <c r="C217" s="43" t="s">
        <v>3901</v>
      </c>
      <c r="D217" s="41" t="s">
        <v>3902</v>
      </c>
      <c r="E217" s="44" t="s">
        <v>3903</v>
      </c>
      <c r="F217" s="41" t="str">
        <f t="shared" si="6"/>
        <v>https://www.ssbuy.tw/detail_giftcode/dist/giftcodes/龍石戰爭.html</v>
      </c>
      <c r="G217" s="41" t="s">
        <v>3892</v>
      </c>
      <c r="H217" s="41" t="str">
        <f t="shared" si="7"/>
        <v>https://www.ssbuy.tw/detail_giftcode/dist/gamedetail/龍石戰爭.html</v>
      </c>
      <c r="I217" s="42" t="s">
        <v>3921</v>
      </c>
      <c r="J217" s="85" t="s">
        <v>4037</v>
      </c>
      <c r="K217" s="81">
        <v>2555</v>
      </c>
      <c r="L217" s="87" t="s">
        <v>13</v>
      </c>
      <c r="M217" s="81">
        <v>1292</v>
      </c>
      <c r="N217" s="87" t="s">
        <v>14</v>
      </c>
      <c r="O217" s="81">
        <v>511</v>
      </c>
      <c r="P217" s="82" t="s">
        <v>120</v>
      </c>
      <c r="Q217" s="81">
        <v>272</v>
      </c>
      <c r="R217" s="82" t="s">
        <v>16</v>
      </c>
      <c r="S217" s="81">
        <v>128</v>
      </c>
      <c r="T217" s="82" t="s">
        <v>285</v>
      </c>
      <c r="U217" s="81">
        <v>51</v>
      </c>
      <c r="V217" s="82" t="s">
        <v>4038</v>
      </c>
      <c r="W217" s="81">
        <v>77</v>
      </c>
      <c r="X217" s="82" t="s">
        <v>4039</v>
      </c>
      <c r="Y217" s="81">
        <v>128</v>
      </c>
    </row>
    <row r="218" spans="1:33" ht="22.5" customHeight="1" thickBot="1">
      <c r="A218" s="48" t="s">
        <v>3877</v>
      </c>
      <c r="C218" s="43" t="s">
        <v>3907</v>
      </c>
      <c r="D218" s="44" t="s">
        <v>3908</v>
      </c>
      <c r="E218" s="41" t="s">
        <v>3893</v>
      </c>
      <c r="F218" s="41" t="str">
        <f t="shared" si="6"/>
        <v>https://www.ssbuy.tw/detail_giftcode/dist/giftcodes/The King Of Fighters AFK.html</v>
      </c>
      <c r="G218" s="44" t="s">
        <v>3904</v>
      </c>
      <c r="H218" s="41" t="str">
        <f t="shared" si="7"/>
        <v>https://www.ssbuy.tw/detail_giftcode/dist/gamedetail/The King Of Fighters AFK.html</v>
      </c>
      <c r="I218" s="42" t="s">
        <v>3916</v>
      </c>
      <c r="J218" s="83" t="s">
        <v>301</v>
      </c>
      <c r="K218" s="78">
        <v>2355</v>
      </c>
      <c r="L218" s="86" t="s">
        <v>3953</v>
      </c>
      <c r="M218" s="78">
        <v>937</v>
      </c>
      <c r="N218" s="86" t="s">
        <v>3954</v>
      </c>
      <c r="O218" s="78">
        <v>827</v>
      </c>
      <c r="P218" s="79" t="s">
        <v>3955</v>
      </c>
      <c r="Q218" s="78">
        <v>764</v>
      </c>
      <c r="R218" s="79" t="s">
        <v>3956</v>
      </c>
      <c r="S218" s="78">
        <v>583</v>
      </c>
      <c r="T218" s="79" t="s">
        <v>279</v>
      </c>
      <c r="U218" s="78">
        <v>535</v>
      </c>
      <c r="V218" s="79" t="s">
        <v>1493</v>
      </c>
      <c r="W218" s="78">
        <v>391</v>
      </c>
      <c r="X218" s="79" t="s">
        <v>3957</v>
      </c>
      <c r="Y218" s="78">
        <v>375</v>
      </c>
      <c r="Z218" s="79" t="s">
        <v>249</v>
      </c>
      <c r="AA218" s="78">
        <v>232</v>
      </c>
      <c r="AB218" s="79" t="s">
        <v>3958</v>
      </c>
      <c r="AC218" s="78">
        <v>162</v>
      </c>
    </row>
    <row r="219" spans="1:33" ht="22.5" customHeight="1" thickBot="1">
      <c r="A219" s="48" t="s">
        <v>3878</v>
      </c>
      <c r="C219" s="43" t="s">
        <v>3909</v>
      </c>
      <c r="D219" s="44" t="s">
        <v>3910</v>
      </c>
      <c r="E219" s="41" t="s">
        <v>3894</v>
      </c>
      <c r="F219" s="41" t="str">
        <f t="shared" si="6"/>
        <v>https://www.ssbuy.tw/detail_giftcode/dist/giftcodes/邪門鬼道.html</v>
      </c>
      <c r="G219" s="44" t="s">
        <v>3905</v>
      </c>
      <c r="H219" s="41" t="str">
        <f t="shared" si="7"/>
        <v>https://www.ssbuy.tw/detail_giftcode/dist/gamedetail/邪門鬼道.html</v>
      </c>
      <c r="I219" s="42" t="s">
        <v>3915</v>
      </c>
      <c r="J219" s="83" t="s">
        <v>3961</v>
      </c>
      <c r="K219" s="78">
        <v>2555</v>
      </c>
      <c r="L219" s="86" t="s">
        <v>3962</v>
      </c>
      <c r="M219" s="78">
        <v>1331</v>
      </c>
      <c r="N219" s="86" t="s">
        <v>3963</v>
      </c>
      <c r="O219" s="78">
        <v>780</v>
      </c>
      <c r="P219" s="79" t="s">
        <v>3964</v>
      </c>
      <c r="Q219" s="78">
        <v>733</v>
      </c>
      <c r="R219" s="79" t="s">
        <v>3965</v>
      </c>
      <c r="S219" s="78">
        <v>685</v>
      </c>
      <c r="T219" s="79" t="s">
        <v>3966</v>
      </c>
      <c r="U219" s="78">
        <v>583</v>
      </c>
      <c r="V219" s="79" t="s">
        <v>3967</v>
      </c>
      <c r="W219" s="78">
        <v>535</v>
      </c>
      <c r="X219" s="79" t="s">
        <v>3968</v>
      </c>
      <c r="Y219" s="78">
        <v>471</v>
      </c>
      <c r="Z219" s="79" t="s">
        <v>3969</v>
      </c>
      <c r="AA219" s="78">
        <v>423</v>
      </c>
      <c r="AB219" s="79" t="s">
        <v>3970</v>
      </c>
      <c r="AC219" s="78">
        <v>391</v>
      </c>
      <c r="AD219" s="79" t="s">
        <v>3971</v>
      </c>
      <c r="AE219" s="78">
        <v>264</v>
      </c>
      <c r="AF219" s="79" t="s">
        <v>134</v>
      </c>
      <c r="AG219" s="78">
        <v>145</v>
      </c>
    </row>
    <row r="220" spans="1:33" ht="22.5" customHeight="1" thickBot="1">
      <c r="A220" s="48" t="s">
        <v>3879</v>
      </c>
      <c r="C220" s="43" t="s">
        <v>3911</v>
      </c>
      <c r="D220" s="44" t="s">
        <v>3912</v>
      </c>
      <c r="E220" s="41" t="s">
        <v>3895</v>
      </c>
      <c r="F220" s="41" t="str">
        <f t="shared" si="6"/>
        <v>https://www.ssbuy.tw/detail_giftcode/dist/giftcodes/Wind Breaker不良英雄譚.html</v>
      </c>
      <c r="G220" s="44" t="s">
        <v>3906</v>
      </c>
      <c r="H220" s="41" t="str">
        <f t="shared" si="7"/>
        <v>https://www.ssbuy.tw/detail_giftcode/dist/gamedetail/Wind Breaker不良英雄譚.html</v>
      </c>
      <c r="I220" s="42" t="s">
        <v>3914</v>
      </c>
      <c r="J220" s="83" t="s">
        <v>189</v>
      </c>
      <c r="K220" s="78">
        <v>1638</v>
      </c>
      <c r="L220" s="86" t="s">
        <v>1268</v>
      </c>
      <c r="M220" s="78">
        <v>811</v>
      </c>
      <c r="N220" s="86" t="s">
        <v>3959</v>
      </c>
      <c r="O220" s="78">
        <v>479</v>
      </c>
      <c r="P220" s="79" t="s">
        <v>64</v>
      </c>
      <c r="Q220" s="78">
        <v>248</v>
      </c>
      <c r="R220" s="79" t="s">
        <v>139</v>
      </c>
      <c r="S220" s="78">
        <v>164</v>
      </c>
      <c r="T220" s="79" t="s">
        <v>1252</v>
      </c>
      <c r="U220" s="78">
        <v>28</v>
      </c>
      <c r="V220" s="79" t="s">
        <v>3960</v>
      </c>
      <c r="W220" s="78">
        <v>170</v>
      </c>
    </row>
    <row r="221" spans="1:33" ht="22.5" customHeight="1" thickBot="1">
      <c r="A221" s="3" t="s">
        <v>4070</v>
      </c>
      <c r="C221" s="5" t="s">
        <v>4054</v>
      </c>
      <c r="D221" s="4" t="s">
        <v>4056</v>
      </c>
      <c r="E221" s="4" t="s">
        <v>4057</v>
      </c>
      <c r="F221" s="41" t="str">
        <f t="shared" si="6"/>
        <v>https://www.ssbuy.tw/detail_giftcode/dist/giftcodes/野蠻生存錄.html</v>
      </c>
      <c r="G221" s="4" t="s">
        <v>4055</v>
      </c>
      <c r="H221" s="41" t="str">
        <f t="shared" si="7"/>
        <v>https://www.ssbuy.tw/detail_giftcode/dist/gamedetail/野蠻生存錄.html</v>
      </c>
      <c r="I221" s="42" t="s">
        <v>4074</v>
      </c>
      <c r="J221" s="85" t="s">
        <v>4062</v>
      </c>
      <c r="K221" s="81">
        <v>2555</v>
      </c>
      <c r="L221" s="87" t="s">
        <v>4063</v>
      </c>
      <c r="M221" s="81">
        <v>1331</v>
      </c>
      <c r="N221" s="87" t="s">
        <v>4064</v>
      </c>
      <c r="O221" s="81">
        <v>535</v>
      </c>
      <c r="P221" s="82" t="s">
        <v>4065</v>
      </c>
      <c r="Q221" s="81">
        <v>264</v>
      </c>
      <c r="R221" s="82" t="s">
        <v>4066</v>
      </c>
      <c r="S221" s="81">
        <v>145</v>
      </c>
    </row>
    <row r="222" spans="1:33" ht="22.5" customHeight="1" thickBot="1">
      <c r="A222" s="3" t="s">
        <v>4071</v>
      </c>
      <c r="C222" s="5" t="s">
        <v>4059</v>
      </c>
      <c r="D222" s="4" t="s">
        <v>4060</v>
      </c>
      <c r="E222" s="4" t="s">
        <v>4058</v>
      </c>
      <c r="F222" s="41" t="str">
        <f t="shared" si="6"/>
        <v>https://www.ssbuy.tw/detail_giftcode/dist/giftcodes/萬獸崛起.html</v>
      </c>
      <c r="G222" s="4" t="s">
        <v>4061</v>
      </c>
      <c r="H222" s="41" t="str">
        <f t="shared" si="7"/>
        <v>https://www.ssbuy.tw/detail_giftcode/dist/gamedetail/萬獸崛起.html</v>
      </c>
      <c r="I222" s="42" t="s">
        <v>4075</v>
      </c>
      <c r="J222" s="85" t="s">
        <v>61</v>
      </c>
      <c r="K222" s="81">
        <v>2555</v>
      </c>
      <c r="L222" s="87" t="s">
        <v>62</v>
      </c>
      <c r="M222" s="81">
        <v>1331</v>
      </c>
      <c r="N222" s="87" t="s">
        <v>63</v>
      </c>
      <c r="O222" s="81">
        <v>780</v>
      </c>
      <c r="P222" s="82" t="s">
        <v>1276</v>
      </c>
      <c r="Q222" s="81">
        <v>391</v>
      </c>
      <c r="R222" s="82" t="s">
        <v>16</v>
      </c>
      <c r="S222" s="81">
        <v>145</v>
      </c>
      <c r="T222" s="82" t="s">
        <v>7</v>
      </c>
      <c r="U222" s="81">
        <v>28</v>
      </c>
    </row>
    <row r="223" spans="1:33" ht="22.5" customHeight="1" thickBot="1">
      <c r="A223" s="3" t="s">
        <v>4072</v>
      </c>
      <c r="C223" s="5" t="s">
        <v>4067</v>
      </c>
      <c r="D223" s="4" t="s">
        <v>4068</v>
      </c>
      <c r="E223" s="4" t="s">
        <v>4069</v>
      </c>
      <c r="F223" s="41" t="str">
        <f t="shared" si="6"/>
        <v>https://www.ssbuy.tw/detail_giftcode/dist/giftcodes/劍靈神域.html</v>
      </c>
      <c r="G223" s="4" t="s">
        <v>4073</v>
      </c>
      <c r="H223" s="41" t="str">
        <f t="shared" si="7"/>
        <v>https://www.ssbuy.tw/detail_giftcode/dist/gamedetail/劍靈神域.html</v>
      </c>
      <c r="I223" s="42" t="s">
        <v>4076</v>
      </c>
      <c r="J223" s="85" t="s">
        <v>4084</v>
      </c>
      <c r="K223" s="81">
        <v>2555</v>
      </c>
      <c r="L223" s="87" t="s">
        <v>4085</v>
      </c>
      <c r="M223" s="81">
        <v>1300</v>
      </c>
      <c r="N223" s="87" t="s">
        <v>4086</v>
      </c>
      <c r="O223" s="81">
        <v>788</v>
      </c>
      <c r="P223" s="82" t="s">
        <v>235</v>
      </c>
      <c r="Q223" s="81">
        <v>2555</v>
      </c>
      <c r="R223" s="82" t="s">
        <v>236</v>
      </c>
      <c r="S223" s="81">
        <v>1300</v>
      </c>
      <c r="T223" s="82" t="s">
        <v>1292</v>
      </c>
      <c r="U223" s="81">
        <v>788</v>
      </c>
      <c r="V223" s="82" t="s">
        <v>237</v>
      </c>
      <c r="W223" s="81">
        <v>535</v>
      </c>
      <c r="X223" s="82" t="s">
        <v>238</v>
      </c>
      <c r="Y223" s="81">
        <v>264</v>
      </c>
      <c r="Z223" s="82" t="s">
        <v>239</v>
      </c>
      <c r="AA223" s="81">
        <v>145</v>
      </c>
      <c r="AB223" s="82" t="s">
        <v>240</v>
      </c>
      <c r="AC223" s="81">
        <v>28</v>
      </c>
      <c r="AD223" s="82" t="s">
        <v>176</v>
      </c>
      <c r="AE223" s="81">
        <v>85</v>
      </c>
      <c r="AF223" s="82" t="s">
        <v>176</v>
      </c>
      <c r="AG223" s="81">
        <v>85</v>
      </c>
    </row>
    <row r="224" spans="1:33" ht="22.5" customHeight="1" thickBot="1">
      <c r="A224" s="3" t="s">
        <v>4087</v>
      </c>
      <c r="C224" s="5" t="s">
        <v>4090</v>
      </c>
      <c r="D224" s="4" t="s">
        <v>4092</v>
      </c>
      <c r="E224" s="4" t="s">
        <v>4093</v>
      </c>
      <c r="F224" s="41" t="str">
        <f t="shared" si="6"/>
        <v>https://www.ssbuy.tw/detail_giftcode/dist/giftcodes/國王駕到！堡堡大作戰.html</v>
      </c>
      <c r="G224" s="41" t="s">
        <v>4091</v>
      </c>
      <c r="H224" s="41" t="str">
        <f t="shared" si="7"/>
        <v>https://www.ssbuy.tw/detail_giftcode/dist/gamedetail/國王駕到！堡堡大作戰.html</v>
      </c>
      <c r="I224" s="42" t="s">
        <v>4099</v>
      </c>
      <c r="J224" s="85" t="s">
        <v>12</v>
      </c>
      <c r="K224" s="81">
        <v>2555</v>
      </c>
      <c r="L224" s="87" t="s">
        <v>13</v>
      </c>
      <c r="M224" s="81">
        <v>1331</v>
      </c>
      <c r="N224" s="87" t="s">
        <v>14</v>
      </c>
      <c r="O224" s="81">
        <v>551</v>
      </c>
      <c r="P224" s="82" t="s">
        <v>120</v>
      </c>
      <c r="Q224" s="81">
        <v>264</v>
      </c>
      <c r="R224" s="82" t="s">
        <v>16</v>
      </c>
      <c r="S224" s="81">
        <v>145</v>
      </c>
      <c r="T224" s="82" t="s">
        <v>7</v>
      </c>
      <c r="U224" s="81">
        <v>28</v>
      </c>
    </row>
    <row r="225" spans="1:33" ht="22.5" customHeight="1" thickBot="1">
      <c r="A225" s="70" t="s">
        <v>4128</v>
      </c>
      <c r="C225" s="5" t="s">
        <v>4108</v>
      </c>
      <c r="D225" s="4" t="s">
        <v>4109</v>
      </c>
      <c r="E225" s="4" t="s">
        <v>4112</v>
      </c>
      <c r="F225" s="41" t="str">
        <f t="shared" si="6"/>
        <v>https://www.ssbuy.tw/detail_giftcode/dist/giftcodes/阿瑞斯：命運的選擇者.html</v>
      </c>
      <c r="G225" s="4" t="s">
        <v>4110</v>
      </c>
      <c r="H225" s="41" t="str">
        <f t="shared" si="7"/>
        <v>https://www.ssbuy.tw/detail_giftcode/dist/gamedetail/阿瑞斯：命運的選擇者.html</v>
      </c>
      <c r="I225" s="42" t="s">
        <v>4114</v>
      </c>
      <c r="J225" s="84" t="s">
        <v>2640</v>
      </c>
      <c r="K225" s="68" t="s">
        <v>2640</v>
      </c>
      <c r="L225" s="68" t="s">
        <v>2640</v>
      </c>
      <c r="M225" s="68" t="s">
        <v>2640</v>
      </c>
      <c r="N225" s="68" t="s">
        <v>2640</v>
      </c>
      <c r="O225" s="68" t="s">
        <v>2640</v>
      </c>
    </row>
    <row r="226" spans="1:33" ht="22.5" customHeight="1" thickBot="1">
      <c r="A226" s="69" t="s">
        <v>4143</v>
      </c>
      <c r="C226" s="4" t="s">
        <v>4111</v>
      </c>
      <c r="D226" s="4" t="s">
        <v>4111</v>
      </c>
      <c r="E226" s="4" t="s">
        <v>4113</v>
      </c>
      <c r="F226" s="41" t="str">
        <f t="shared" si="6"/>
        <v>https://www.ssbuy.tw/detail_giftcode/dist/giftcodes/Draft showdown.html</v>
      </c>
      <c r="G226" s="4" t="s">
        <v>4111</v>
      </c>
      <c r="H226" s="41" t="str">
        <f t="shared" si="7"/>
        <v>https://www.ssbuy.tw/detail_giftcode/dist/gamedetail/Draft showdown.html</v>
      </c>
      <c r="I226" s="42" t="s">
        <v>4115</v>
      </c>
      <c r="J226" s="85" t="s">
        <v>4129</v>
      </c>
      <c r="K226" s="81">
        <v>171</v>
      </c>
      <c r="L226" s="87" t="s">
        <v>4130</v>
      </c>
      <c r="M226" s="81">
        <v>612</v>
      </c>
      <c r="N226" s="87" t="s">
        <v>4131</v>
      </c>
      <c r="O226" s="81">
        <v>2286</v>
      </c>
      <c r="P226" s="82" t="s">
        <v>4132</v>
      </c>
      <c r="Q226" s="81">
        <v>1139</v>
      </c>
      <c r="R226" s="82" t="s">
        <v>4133</v>
      </c>
      <c r="S226" s="81">
        <v>535</v>
      </c>
      <c r="T226" s="82" t="s">
        <v>4134</v>
      </c>
      <c r="U226" s="81">
        <v>124</v>
      </c>
    </row>
    <row r="227" spans="1:33" ht="22.5" customHeight="1" thickBot="1">
      <c r="A227" s="40" t="s">
        <v>4117</v>
      </c>
      <c r="C227" s="5" t="s">
        <v>4119</v>
      </c>
      <c r="D227" s="4" t="s">
        <v>4118</v>
      </c>
      <c r="E227" s="4" t="s">
        <v>4120</v>
      </c>
      <c r="F227" s="41" t="str">
        <f t="shared" si="6"/>
        <v>https://www.ssbuy.tw/detail_giftcode/dist/giftcodes/魔鏡2：瘋狂的蛇姬.html</v>
      </c>
      <c r="G227" s="4" t="s">
        <v>4116</v>
      </c>
      <c r="H227" s="41" t="str">
        <f t="shared" si="7"/>
        <v>https://www.ssbuy.tw/detail_giftcode/dist/gamedetail/魔鏡2：瘋狂的蛇姬.html</v>
      </c>
      <c r="I227" s="42" t="s">
        <v>4125</v>
      </c>
      <c r="J227" s="85" t="s">
        <v>12</v>
      </c>
      <c r="K227" s="81">
        <v>2479</v>
      </c>
      <c r="L227" s="87" t="s">
        <v>13</v>
      </c>
      <c r="M227" s="81">
        <v>1292</v>
      </c>
      <c r="N227" s="87" t="s">
        <v>24</v>
      </c>
      <c r="O227" s="81">
        <v>757</v>
      </c>
      <c r="P227" s="82" t="s">
        <v>14</v>
      </c>
      <c r="Q227" s="81">
        <v>519</v>
      </c>
      <c r="R227" s="82" t="s">
        <v>120</v>
      </c>
      <c r="S227" s="81">
        <v>256</v>
      </c>
      <c r="T227" s="82" t="s">
        <v>16</v>
      </c>
      <c r="U227" s="81">
        <v>140</v>
      </c>
      <c r="V227" s="82" t="s">
        <v>7</v>
      </c>
      <c r="W227" s="81">
        <v>27</v>
      </c>
      <c r="X227" s="82" t="s">
        <v>4135</v>
      </c>
      <c r="Y227" s="81">
        <v>256</v>
      </c>
      <c r="Z227" s="82" t="s">
        <v>4136</v>
      </c>
      <c r="AA227" s="81">
        <v>757</v>
      </c>
      <c r="AB227" s="82" t="s">
        <v>4137</v>
      </c>
      <c r="AC227" s="81">
        <v>380</v>
      </c>
      <c r="AD227" s="82" t="s">
        <v>4138</v>
      </c>
      <c r="AE227" s="81">
        <v>519</v>
      </c>
    </row>
    <row r="228" spans="1:33" ht="22.5" customHeight="1" thickBot="1">
      <c r="A228" s="40" t="s">
        <v>4126</v>
      </c>
      <c r="C228" s="5" t="s">
        <v>4124</v>
      </c>
      <c r="D228" s="4" t="s">
        <v>4123</v>
      </c>
      <c r="E228" s="4" t="s">
        <v>4122</v>
      </c>
      <c r="F228" s="41" t="str">
        <f t="shared" si="6"/>
        <v>https://www.ssbuy.tw/detail_giftcode/dist/giftcodes/量子機動隊.html</v>
      </c>
      <c r="G228" s="4" t="s">
        <v>4121</v>
      </c>
      <c r="H228" s="41" t="str">
        <f t="shared" si="7"/>
        <v>https://www.ssbuy.tw/detail_giftcode/dist/gamedetail/量子機動隊.html</v>
      </c>
      <c r="I228" s="42" t="s">
        <v>4127</v>
      </c>
      <c r="J228" s="85" t="s">
        <v>1660</v>
      </c>
      <c r="K228" s="81">
        <v>2487</v>
      </c>
      <c r="L228" s="87" t="s">
        <v>1661</v>
      </c>
      <c r="M228" s="81">
        <v>1261</v>
      </c>
      <c r="N228" s="87" t="s">
        <v>4139</v>
      </c>
      <c r="O228" s="81">
        <v>1009</v>
      </c>
      <c r="P228" s="82" t="s">
        <v>4140</v>
      </c>
      <c r="Q228" s="81">
        <v>887</v>
      </c>
      <c r="R228" s="82" t="s">
        <v>4141</v>
      </c>
      <c r="S228" s="81">
        <v>631</v>
      </c>
      <c r="T228" s="82" t="s">
        <v>1663</v>
      </c>
      <c r="U228" s="81">
        <v>512</v>
      </c>
      <c r="V228" s="82" t="s">
        <v>1666</v>
      </c>
      <c r="W228" s="81">
        <v>256</v>
      </c>
      <c r="X228" s="82" t="s">
        <v>1667</v>
      </c>
      <c r="Y228" s="81">
        <v>136</v>
      </c>
      <c r="Z228" s="82" t="s">
        <v>4142</v>
      </c>
      <c r="AA228" s="81">
        <v>57</v>
      </c>
      <c r="AB228" s="82" t="s">
        <v>1668</v>
      </c>
      <c r="AC228" s="81">
        <v>27</v>
      </c>
    </row>
    <row r="229" spans="1:33" ht="22.5" customHeight="1" thickBot="1">
      <c r="A229" s="3" t="s">
        <v>4252</v>
      </c>
      <c r="C229" s="5" t="s">
        <v>4181</v>
      </c>
      <c r="D229" s="4" t="s">
        <v>4182</v>
      </c>
      <c r="E229" s="41" t="s">
        <v>4183</v>
      </c>
      <c r="F229" s="41" t="str">
        <f t="shared" si="6"/>
        <v>https://www.ssbuy.tw/detail_giftcode/dist/giftcodes/呷飽未？殭殭醬.html</v>
      </c>
      <c r="G229" s="4" t="s">
        <v>4180</v>
      </c>
      <c r="H229" s="41" t="str">
        <f t="shared" si="7"/>
        <v>https://www.ssbuy.tw/detail_giftcode/dist/gamedetail/呷飽未？殭殭醬.html</v>
      </c>
      <c r="I229" t="s">
        <v>4253</v>
      </c>
      <c r="J229" s="85" t="s">
        <v>3720</v>
      </c>
      <c r="K229" s="81">
        <v>2293</v>
      </c>
      <c r="L229" s="87" t="s">
        <v>4204</v>
      </c>
      <c r="M229" s="81">
        <v>1529</v>
      </c>
      <c r="N229" s="87" t="s">
        <v>4205</v>
      </c>
      <c r="O229" s="81">
        <v>764</v>
      </c>
      <c r="P229" s="82" t="s">
        <v>262</v>
      </c>
      <c r="Q229" s="81">
        <v>757</v>
      </c>
      <c r="R229" s="82" t="s">
        <v>4199</v>
      </c>
      <c r="S229" s="81">
        <v>388</v>
      </c>
      <c r="T229" s="82" t="s">
        <v>4200</v>
      </c>
      <c r="U229" s="81">
        <v>372</v>
      </c>
      <c r="V229" s="82" t="s">
        <v>4201</v>
      </c>
      <c r="W229" s="81">
        <v>271</v>
      </c>
      <c r="X229" s="82" t="s">
        <v>265</v>
      </c>
      <c r="Y229" s="81">
        <v>248</v>
      </c>
      <c r="Z229" s="82" t="s">
        <v>4202</v>
      </c>
      <c r="AA229" s="81">
        <v>202</v>
      </c>
      <c r="AB229" s="82" t="s">
        <v>4203</v>
      </c>
      <c r="AC229" s="81">
        <v>132</v>
      </c>
    </row>
    <row r="230" spans="1:33" ht="22.5" customHeight="1" thickBot="1">
      <c r="A230" s="71" t="s">
        <v>4248</v>
      </c>
      <c r="C230" s="40" t="s">
        <v>4184</v>
      </c>
      <c r="D230" s="4" t="s">
        <v>4186</v>
      </c>
      <c r="E230" s="41" t="s">
        <v>4185</v>
      </c>
      <c r="F230" s="41" t="str">
        <f t="shared" si="6"/>
        <v>https://www.ssbuy.tw/detail_giftcode/dist/giftcodes/XXL猛漢町.html</v>
      </c>
      <c r="G230" s="4" t="s">
        <v>4250</v>
      </c>
      <c r="H230" s="41" t="str">
        <f t="shared" si="7"/>
        <v>https://www.ssbuy.tw/detail_giftcode/dist/gamedetail/XXL猛漢町.html</v>
      </c>
      <c r="I230" t="s">
        <v>4254</v>
      </c>
      <c r="J230" s="1" t="s">
        <v>4236</v>
      </c>
      <c r="K230" s="2">
        <v>4145</v>
      </c>
      <c r="L230" s="1" t="s">
        <v>4237</v>
      </c>
      <c r="M230" s="2">
        <v>2849</v>
      </c>
      <c r="N230" s="1" t="s">
        <v>4238</v>
      </c>
      <c r="O230" s="2">
        <v>1835</v>
      </c>
      <c r="P230" s="1" t="s">
        <v>4239</v>
      </c>
      <c r="Q230" s="2">
        <v>1208</v>
      </c>
      <c r="R230" s="1" t="s">
        <v>4240</v>
      </c>
      <c r="S230" s="2">
        <v>757</v>
      </c>
      <c r="T230" s="1" t="s">
        <v>4241</v>
      </c>
      <c r="U230" s="2">
        <v>465</v>
      </c>
      <c r="V230" s="1" t="s">
        <v>4242</v>
      </c>
      <c r="W230" s="2">
        <v>256</v>
      </c>
      <c r="X230" s="1" t="s">
        <v>4243</v>
      </c>
      <c r="Y230" s="2">
        <v>136</v>
      </c>
      <c r="Z230" s="1" t="s">
        <v>4244</v>
      </c>
      <c r="AA230" s="2">
        <v>54</v>
      </c>
      <c r="AB230" s="1" t="s">
        <v>4245</v>
      </c>
      <c r="AC230" s="2">
        <v>465</v>
      </c>
      <c r="AD230" s="1" t="s">
        <v>4246</v>
      </c>
      <c r="AE230" s="2">
        <v>165</v>
      </c>
      <c r="AF230" s="1" t="s">
        <v>4247</v>
      </c>
      <c r="AG230" s="2">
        <v>329</v>
      </c>
    </row>
    <row r="231" spans="1:33" ht="22.5" customHeight="1" thickBot="1">
      <c r="A231" s="71" t="s">
        <v>4190</v>
      </c>
      <c r="C231" s="5" t="s">
        <v>4195</v>
      </c>
      <c r="D231" s="4" t="s">
        <v>4188</v>
      </c>
      <c r="E231" s="4" t="s">
        <v>4189</v>
      </c>
      <c r="F231" s="41" t="str">
        <f t="shared" si="6"/>
        <v>https://www.ssbuy.tw/detail_giftcode/dist/giftcodes/Dead Impact：Survival Online.html</v>
      </c>
      <c r="G231" s="4" t="s">
        <v>4187</v>
      </c>
      <c r="H231" s="41" t="str">
        <f t="shared" si="7"/>
        <v>https://www.ssbuy.tw/detail_giftcode/dist/gamedetail/Dead Impact：Survival Online.html</v>
      </c>
      <c r="I231" t="s">
        <v>4255</v>
      </c>
      <c r="J231" s="85" t="s">
        <v>4163</v>
      </c>
      <c r="K231" s="81">
        <v>2286</v>
      </c>
      <c r="L231" s="87" t="s">
        <v>4164</v>
      </c>
      <c r="M231" s="81">
        <v>1521</v>
      </c>
      <c r="N231" s="87" t="s">
        <v>4165</v>
      </c>
      <c r="O231" s="81">
        <v>612</v>
      </c>
      <c r="P231" s="82" t="s">
        <v>4166</v>
      </c>
      <c r="Q231" s="81">
        <v>380</v>
      </c>
      <c r="R231" s="82" t="s">
        <v>1461</v>
      </c>
      <c r="S231" s="81">
        <v>248</v>
      </c>
      <c r="T231" s="82" t="s">
        <v>4167</v>
      </c>
      <c r="U231" s="81">
        <v>50</v>
      </c>
      <c r="V231" s="82" t="s">
        <v>4168</v>
      </c>
      <c r="W231" s="81">
        <v>612</v>
      </c>
      <c r="X231" s="82" t="s">
        <v>4169</v>
      </c>
      <c r="Y231" s="81">
        <v>302</v>
      </c>
      <c r="Z231" s="82" t="s">
        <v>4170</v>
      </c>
      <c r="AA231" s="81">
        <v>535</v>
      </c>
    </row>
    <row r="232" spans="1:33" ht="22.5" customHeight="1" thickBot="1">
      <c r="A232" s="3" t="s">
        <v>4249</v>
      </c>
      <c r="C232" s="5" t="s">
        <v>4194</v>
      </c>
      <c r="D232" s="4" t="s">
        <v>4192</v>
      </c>
      <c r="E232" s="4" t="s">
        <v>4193</v>
      </c>
      <c r="F232" s="41" t="str">
        <f t="shared" si="6"/>
        <v>https://www.ssbuy.tw/detail_giftcode/dist/giftcodes/無限子彈.html</v>
      </c>
      <c r="G232" s="4" t="s">
        <v>4191</v>
      </c>
      <c r="H232" s="41" t="str">
        <f t="shared" si="7"/>
        <v>https://www.ssbuy.tw/detail_giftcode/dist/gamedetail/無限子彈.html</v>
      </c>
      <c r="I232" t="s">
        <v>4256</v>
      </c>
      <c r="J232" s="85" t="s">
        <v>4171</v>
      </c>
      <c r="K232" s="81">
        <v>1521</v>
      </c>
      <c r="L232" s="87" t="s">
        <v>4172</v>
      </c>
      <c r="M232" s="81">
        <v>986</v>
      </c>
      <c r="N232" s="87" t="s">
        <v>1320</v>
      </c>
      <c r="O232" s="81">
        <v>380</v>
      </c>
      <c r="P232" s="82" t="s">
        <v>4173</v>
      </c>
      <c r="Q232" s="81">
        <v>248</v>
      </c>
      <c r="R232" s="82" t="s">
        <v>4174</v>
      </c>
      <c r="S232" s="81">
        <v>99</v>
      </c>
      <c r="T232" s="82" t="s">
        <v>3628</v>
      </c>
      <c r="U232" s="81">
        <v>25</v>
      </c>
      <c r="V232" s="82" t="s">
        <v>4175</v>
      </c>
      <c r="W232" s="81">
        <v>780</v>
      </c>
      <c r="X232" s="82" t="s">
        <v>4176</v>
      </c>
      <c r="Y232" s="81">
        <v>157</v>
      </c>
      <c r="Z232" s="82" t="s">
        <v>4177</v>
      </c>
      <c r="AA232" s="81">
        <v>248</v>
      </c>
      <c r="AB232" s="82" t="s">
        <v>4178</v>
      </c>
      <c r="AC232" s="81">
        <v>279</v>
      </c>
    </row>
    <row r="233" spans="1:33" ht="22.5" customHeight="1" thickBot="1">
      <c r="A233" s="71" t="s">
        <v>4206</v>
      </c>
      <c r="C233" s="5" t="s">
        <v>4198</v>
      </c>
      <c r="D233" s="4" t="s">
        <v>4197</v>
      </c>
      <c r="E233" s="4" t="s">
        <v>4196</v>
      </c>
      <c r="F233" s="41" t="str">
        <f t="shared" si="6"/>
        <v>https://www.ssbuy.tw/detail_giftcode/dist/giftcodes/Dunkadillo.html</v>
      </c>
      <c r="G233" s="4" t="s">
        <v>4251</v>
      </c>
      <c r="H233" s="41" t="str">
        <f t="shared" si="7"/>
        <v>https://www.ssbuy.tw/detail_giftcode/dist/gamedetail/Dunkadillo.html</v>
      </c>
      <c r="I233" t="s">
        <v>4257</v>
      </c>
      <c r="J233" s="85" t="s">
        <v>4179</v>
      </c>
      <c r="K233" s="81">
        <v>171</v>
      </c>
    </row>
    <row r="234" spans="1:33" ht="22.5" customHeight="1" thickBot="1">
      <c r="A234" s="71" t="s">
        <v>4258</v>
      </c>
      <c r="C234" s="5" t="s">
        <v>4267</v>
      </c>
      <c r="D234" s="41" t="s">
        <v>4270</v>
      </c>
      <c r="E234" s="41" t="s">
        <v>4268</v>
      </c>
      <c r="F234" s="41" t="str">
        <f t="shared" si="6"/>
        <v>https://www.ssbuy.tw/detail_giftcode/dist/giftcodes/遺跡的地平線.html</v>
      </c>
      <c r="G234" s="41" t="s">
        <v>4269</v>
      </c>
      <c r="H234" s="41" t="str">
        <f t="shared" si="7"/>
        <v>https://www.ssbuy.tw/detail_giftcode/dist/gamedetail/遺跡的地平線.html</v>
      </c>
      <c r="I234" s="42" t="s">
        <v>4291</v>
      </c>
      <c r="J234" s="1" t="s">
        <v>4331</v>
      </c>
      <c r="K234" s="2">
        <v>2479</v>
      </c>
      <c r="L234" s="1" t="s">
        <v>4332</v>
      </c>
      <c r="M234" s="2">
        <v>1292</v>
      </c>
      <c r="N234" s="1" t="s">
        <v>4333</v>
      </c>
      <c r="O234" s="2">
        <v>757</v>
      </c>
      <c r="P234" s="1" t="s">
        <v>4334</v>
      </c>
      <c r="Q234" s="2">
        <v>665</v>
      </c>
      <c r="R234" s="1" t="s">
        <v>4335</v>
      </c>
      <c r="S234" s="2">
        <v>519</v>
      </c>
      <c r="T234" s="1" t="s">
        <v>4336</v>
      </c>
      <c r="U234" s="2">
        <v>380</v>
      </c>
      <c r="V234" s="1" t="s">
        <v>4337</v>
      </c>
      <c r="W234" s="2">
        <v>256</v>
      </c>
      <c r="X234" s="1" t="s">
        <v>4338</v>
      </c>
      <c r="Y234" s="2">
        <v>209</v>
      </c>
      <c r="Z234" s="1" t="s">
        <v>4339</v>
      </c>
      <c r="AA234" s="2">
        <v>140</v>
      </c>
      <c r="AB234" s="1" t="s">
        <v>4340</v>
      </c>
      <c r="AC234" s="2">
        <v>83</v>
      </c>
    </row>
    <row r="235" spans="1:33" ht="22.5" customHeight="1" thickBot="1">
      <c r="A235" s="71" t="s">
        <v>4259</v>
      </c>
      <c r="C235" s="40" t="s">
        <v>4271</v>
      </c>
      <c r="D235" s="41" t="s">
        <v>4276</v>
      </c>
      <c r="E235" s="41" t="s">
        <v>4278</v>
      </c>
      <c r="F235" s="41" t="str">
        <f t="shared" si="6"/>
        <v>https://www.ssbuy.tw/detail_giftcode/dist/giftcodes/三國將將好.html</v>
      </c>
      <c r="G235" s="41" t="s">
        <v>4277</v>
      </c>
      <c r="H235" s="41" t="str">
        <f t="shared" si="7"/>
        <v>https://www.ssbuy.tw/detail_giftcode/dist/gamedetail/三國將將好.html</v>
      </c>
      <c r="I235" s="42" t="s">
        <v>4292</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1" t="s">
        <v>4260</v>
      </c>
      <c r="C236" s="40" t="s">
        <v>4272</v>
      </c>
      <c r="D236" s="41" t="s">
        <v>4279</v>
      </c>
      <c r="E236" s="41" t="s">
        <v>4280</v>
      </c>
      <c r="F236" s="41" t="str">
        <f t="shared" si="6"/>
        <v>https://www.ssbuy.tw/detail_giftcode/dist/giftcodes/七騎士 Re：BIRTH.html</v>
      </c>
      <c r="G236" s="41" t="s">
        <v>4281</v>
      </c>
      <c r="H236" s="41" t="str">
        <f t="shared" si="7"/>
        <v>https://www.ssbuy.tw/detail_giftcode/dist/gamedetail/七騎士 Re：BIRTH.html</v>
      </c>
      <c r="I236" s="42" t="s">
        <v>4293</v>
      </c>
      <c r="J236" s="1" t="s">
        <v>1427</v>
      </c>
      <c r="K236" s="2">
        <v>2479</v>
      </c>
      <c r="L236" s="1" t="s">
        <v>259</v>
      </c>
      <c r="M236" s="2">
        <v>1750</v>
      </c>
      <c r="N236" s="1" t="s">
        <v>278</v>
      </c>
      <c r="O236" s="2">
        <v>1292</v>
      </c>
      <c r="P236" s="1" t="s">
        <v>3954</v>
      </c>
      <c r="Q236" s="2">
        <v>803</v>
      </c>
      <c r="R236" s="1" t="s">
        <v>262</v>
      </c>
      <c r="S236" s="2">
        <v>757</v>
      </c>
      <c r="T236" s="1" t="s">
        <v>279</v>
      </c>
      <c r="U236" s="2">
        <v>519</v>
      </c>
      <c r="V236" s="1" t="s">
        <v>280</v>
      </c>
      <c r="W236" s="2">
        <v>256</v>
      </c>
      <c r="X236" s="1" t="s">
        <v>4341</v>
      </c>
      <c r="Y236" s="2">
        <v>178</v>
      </c>
      <c r="Z236" s="1" t="s">
        <v>3700</v>
      </c>
      <c r="AA236" s="2">
        <v>107</v>
      </c>
      <c r="AB236" s="1" t="s">
        <v>3701</v>
      </c>
      <c r="AC236" s="2">
        <v>58</v>
      </c>
      <c r="AD236" s="1" t="s">
        <v>1428</v>
      </c>
      <c r="AE236" s="2">
        <v>27</v>
      </c>
    </row>
    <row r="237" spans="1:33" ht="22.5" customHeight="1" thickBot="1">
      <c r="A237" s="71" t="s">
        <v>4261</v>
      </c>
      <c r="C237" s="40" t="s">
        <v>4273</v>
      </c>
      <c r="D237" s="41" t="s">
        <v>4282</v>
      </c>
      <c r="E237" s="41" t="s">
        <v>4283</v>
      </c>
      <c r="F237" s="41" t="str">
        <f t="shared" si="6"/>
        <v>https://www.ssbuy.tw/detail_giftcode/dist/giftcodes/異界三國：死神契約.html</v>
      </c>
      <c r="G237" s="41" t="s">
        <v>4284</v>
      </c>
      <c r="H237" s="41" t="str">
        <f t="shared" si="7"/>
        <v>https://www.ssbuy.tw/detail_giftcode/dist/gamedetail/異界三國：死神契約.html</v>
      </c>
      <c r="I237" s="42" t="s">
        <v>4296</v>
      </c>
      <c r="J237" s="1" t="s">
        <v>4342</v>
      </c>
      <c r="K237" s="2">
        <v>2479</v>
      </c>
      <c r="L237" s="1" t="s">
        <v>4343</v>
      </c>
      <c r="M237" s="2">
        <v>1796</v>
      </c>
      <c r="N237" s="1" t="s">
        <v>4344</v>
      </c>
      <c r="O237" s="2">
        <v>1292</v>
      </c>
      <c r="P237" s="1" t="s">
        <v>4345</v>
      </c>
      <c r="Q237" s="2">
        <v>757</v>
      </c>
      <c r="R237" s="1" t="s">
        <v>4346</v>
      </c>
      <c r="S237" s="2">
        <v>380</v>
      </c>
      <c r="T237" s="1" t="s">
        <v>4347</v>
      </c>
      <c r="U237" s="2">
        <v>256</v>
      </c>
      <c r="V237" s="1" t="s">
        <v>4348</v>
      </c>
      <c r="W237" s="2">
        <v>140</v>
      </c>
      <c r="X237" s="1" t="s">
        <v>4349</v>
      </c>
      <c r="Y237" s="2">
        <v>83</v>
      </c>
      <c r="Z237" s="1" t="s">
        <v>4350</v>
      </c>
      <c r="AA237" s="2">
        <v>58</v>
      </c>
      <c r="AB237" s="1" t="s">
        <v>4351</v>
      </c>
      <c r="AC237" s="2">
        <v>27</v>
      </c>
    </row>
    <row r="238" spans="1:33" ht="22.5" customHeight="1" thickBot="1">
      <c r="A238" s="71" t="s">
        <v>4262</v>
      </c>
      <c r="C238" s="40" t="s">
        <v>4274</v>
      </c>
      <c r="D238" s="41" t="s">
        <v>4290</v>
      </c>
      <c r="E238" s="41" t="s">
        <v>4288</v>
      </c>
      <c r="F238" s="41" t="str">
        <f t="shared" si="6"/>
        <v>https://www.ssbuy.tw/detail_giftcode/dist/giftcodes/魔法師之徒.html</v>
      </c>
      <c r="G238" s="41" t="s">
        <v>4289</v>
      </c>
      <c r="H238" s="41" t="str">
        <f t="shared" si="7"/>
        <v>https://www.ssbuy.tw/detail_giftcode/dist/gamedetail/魔法師之徒.html</v>
      </c>
      <c r="I238" s="42" t="s">
        <v>4294</v>
      </c>
      <c r="J238" s="1" t="s">
        <v>4352</v>
      </c>
      <c r="K238" s="2">
        <v>2479</v>
      </c>
      <c r="L238" s="1" t="s">
        <v>4353</v>
      </c>
      <c r="M238" s="2">
        <v>1292</v>
      </c>
      <c r="N238" s="1" t="s">
        <v>4354</v>
      </c>
      <c r="O238" s="2">
        <v>757</v>
      </c>
      <c r="P238" s="1" t="s">
        <v>4355</v>
      </c>
      <c r="Q238" s="2">
        <v>519</v>
      </c>
      <c r="R238" s="1" t="s">
        <v>4356</v>
      </c>
      <c r="S238" s="2">
        <v>256</v>
      </c>
      <c r="T238" s="1" t="s">
        <v>4357</v>
      </c>
      <c r="U238" s="2">
        <v>140</v>
      </c>
      <c r="V238" s="1" t="s">
        <v>4358</v>
      </c>
      <c r="W238" s="2">
        <v>27</v>
      </c>
    </row>
    <row r="239" spans="1:33" ht="22.5" customHeight="1" thickBot="1">
      <c r="A239" s="71" t="s">
        <v>4263</v>
      </c>
      <c r="C239" s="40" t="s">
        <v>4275</v>
      </c>
      <c r="D239" s="41" t="s">
        <v>4286</v>
      </c>
      <c r="E239" s="41" t="s">
        <v>4287</v>
      </c>
      <c r="F239" s="41" t="str">
        <f t="shared" si="6"/>
        <v>https://www.ssbuy.tw/detail_giftcode/dist/giftcodes/三國魂將傳.html</v>
      </c>
      <c r="G239" s="41" t="s">
        <v>4285</v>
      </c>
      <c r="H239" s="41" t="str">
        <f t="shared" si="7"/>
        <v>https://www.ssbuy.tw/detail_giftcode/dist/gamedetail/三國魂將傳.html</v>
      </c>
      <c r="I239" s="42" t="s">
        <v>4295</v>
      </c>
      <c r="J239" s="1" t="s">
        <v>235</v>
      </c>
      <c r="K239" s="2">
        <v>2286</v>
      </c>
      <c r="L239" s="1" t="s">
        <v>204</v>
      </c>
      <c r="M239" s="2">
        <v>1139</v>
      </c>
      <c r="N239" s="1" t="s">
        <v>1292</v>
      </c>
      <c r="O239" s="2">
        <v>757</v>
      </c>
      <c r="P239" s="1" t="s">
        <v>4463</v>
      </c>
      <c r="Q239" s="2">
        <v>519</v>
      </c>
      <c r="R239" s="1" t="s">
        <v>205</v>
      </c>
      <c r="S239" s="2">
        <v>256</v>
      </c>
      <c r="T239" s="1" t="s">
        <v>239</v>
      </c>
      <c r="U239" s="2">
        <v>140</v>
      </c>
      <c r="V239" s="1" t="s">
        <v>240</v>
      </c>
      <c r="W239" s="2">
        <v>27</v>
      </c>
      <c r="X239" s="1" t="s">
        <v>4464</v>
      </c>
      <c r="Y239" s="2">
        <v>380</v>
      </c>
      <c r="Z239" s="1" t="s">
        <v>4465</v>
      </c>
      <c r="AA239" s="2">
        <v>256</v>
      </c>
    </row>
    <row r="240" spans="1:33" ht="22.5" customHeight="1" thickBot="1">
      <c r="A240" s="88" t="s">
        <v>4426</v>
      </c>
      <c r="C240" s="40" t="s">
        <v>4402</v>
      </c>
      <c r="D240" s="41" t="s">
        <v>4403</v>
      </c>
      <c r="E240" s="41" t="s">
        <v>4401</v>
      </c>
      <c r="F240" s="41" t="str">
        <f t="shared" si="6"/>
        <v>https://www.ssbuy.tw/detail_giftcode/dist/giftcodes/龍息：神寂.html</v>
      </c>
      <c r="G240" s="41" t="s">
        <v>4404</v>
      </c>
      <c r="H240" s="41" t="str">
        <f t="shared" si="7"/>
        <v>https://www.ssbuy.tw/detail_giftcode/dist/gamedetail/龍息：神寂.html</v>
      </c>
      <c r="I240" s="42" t="s">
        <v>4405</v>
      </c>
      <c r="J240" s="1" t="s">
        <v>4413</v>
      </c>
      <c r="K240" s="2">
        <v>2479</v>
      </c>
      <c r="L240" s="1" t="s">
        <v>4414</v>
      </c>
      <c r="M240" s="2">
        <v>1292</v>
      </c>
      <c r="N240" s="1" t="s">
        <v>4415</v>
      </c>
      <c r="O240" s="2">
        <v>757</v>
      </c>
      <c r="P240" s="1" t="s">
        <v>4416</v>
      </c>
      <c r="Q240" s="2">
        <v>380</v>
      </c>
      <c r="R240" s="1" t="s">
        <v>4417</v>
      </c>
      <c r="S240" s="2">
        <v>140</v>
      </c>
      <c r="T240" s="1" t="s">
        <v>4418</v>
      </c>
      <c r="U240" s="2">
        <v>50</v>
      </c>
    </row>
    <row r="241" spans="1:31" ht="22.5" customHeight="1" thickBot="1">
      <c r="A241" s="71" t="s">
        <v>4427</v>
      </c>
      <c r="C241" s="40" t="s">
        <v>4434</v>
      </c>
      <c r="D241" s="40" t="s">
        <v>4432</v>
      </c>
      <c r="E241" s="41" t="s">
        <v>4433</v>
      </c>
      <c r="F241" s="41" t="str">
        <f t="shared" si="6"/>
        <v>https://www.ssbuy.tw/detail_giftcode/dist/giftcodes/玩具對決.html</v>
      </c>
      <c r="G241" s="41" t="s">
        <v>4431</v>
      </c>
      <c r="H241" s="41" t="str">
        <f t="shared" si="7"/>
        <v>https://www.ssbuy.tw/detail_giftcode/dist/gamedetail/玩具對決.html</v>
      </c>
      <c r="I241" t="s">
        <v>4444</v>
      </c>
      <c r="J241" s="1" t="s">
        <v>4448</v>
      </c>
      <c r="K241" s="2">
        <v>2286</v>
      </c>
      <c r="L241" s="1" t="s">
        <v>4449</v>
      </c>
      <c r="M241" s="2">
        <v>1139</v>
      </c>
      <c r="N241" s="1" t="s">
        <v>4173</v>
      </c>
      <c r="O241" s="2">
        <v>535</v>
      </c>
      <c r="P241" s="1" t="s">
        <v>4450</v>
      </c>
      <c r="Q241" s="2">
        <v>248</v>
      </c>
      <c r="R241" s="1" t="s">
        <v>27</v>
      </c>
      <c r="S241" s="2">
        <v>124</v>
      </c>
      <c r="T241" s="1" t="s">
        <v>3558</v>
      </c>
      <c r="U241" s="2">
        <v>25</v>
      </c>
      <c r="V241" s="1" t="s">
        <v>4451</v>
      </c>
      <c r="W241" s="2">
        <v>248</v>
      </c>
      <c r="X241" s="1" t="s">
        <v>1560</v>
      </c>
      <c r="Y241" s="2">
        <v>171</v>
      </c>
      <c r="Z241" s="1" t="s">
        <v>4452</v>
      </c>
      <c r="AA241" s="2">
        <v>124</v>
      </c>
    </row>
    <row r="242" spans="1:31" ht="22.5" customHeight="1" thickBot="1">
      <c r="A242" s="3" t="s">
        <v>4428</v>
      </c>
      <c r="C242" s="41" t="s">
        <v>4436</v>
      </c>
      <c r="D242" s="41" t="s">
        <v>4436</v>
      </c>
      <c r="E242" s="41" t="s">
        <v>4436</v>
      </c>
      <c r="F242" s="41" t="str">
        <f t="shared" si="6"/>
        <v>https://www.ssbuy.tw/detail_giftcode/dist/giftcodes/幸福都市：市長模擬器.html</v>
      </c>
      <c r="G242" s="41" t="s">
        <v>4435</v>
      </c>
      <c r="H242" s="41" t="str">
        <f t="shared" si="7"/>
        <v>https://www.ssbuy.tw/detail_giftcode/dist/gamedetail/幸福都市：市長模擬器.html</v>
      </c>
      <c r="I242" t="s">
        <v>4445</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4429</v>
      </c>
      <c r="C243" s="40" t="s">
        <v>4443</v>
      </c>
      <c r="D243" s="41" t="s">
        <v>4441</v>
      </c>
      <c r="E243" s="41" t="s">
        <v>4438</v>
      </c>
      <c r="F243" s="41" t="str">
        <f t="shared" si="6"/>
        <v>https://www.ssbuy.tw/detail_giftcode/dist/giftcodes/黑道傳奇.html</v>
      </c>
      <c r="G243" s="41" t="s">
        <v>4437</v>
      </c>
      <c r="H243" s="41" t="str">
        <f t="shared" si="7"/>
        <v>https://www.ssbuy.tw/detail_giftcode/dist/gamedetail/黑道傳奇.html</v>
      </c>
      <c r="I243" t="s">
        <v>4446</v>
      </c>
      <c r="J243" s="1" t="s">
        <v>4453</v>
      </c>
      <c r="K243" s="2">
        <v>2479</v>
      </c>
      <c r="L243" s="1" t="s">
        <v>4454</v>
      </c>
      <c r="M243" s="2">
        <v>1292</v>
      </c>
      <c r="N243" s="1" t="s">
        <v>4455</v>
      </c>
      <c r="O243" s="2">
        <v>757</v>
      </c>
      <c r="P243" s="1" t="s">
        <v>4456</v>
      </c>
      <c r="Q243" s="2">
        <v>634</v>
      </c>
      <c r="R243" s="1" t="s">
        <v>127</v>
      </c>
      <c r="S243" s="2">
        <v>380</v>
      </c>
      <c r="T243" s="1" t="s">
        <v>128</v>
      </c>
      <c r="U243" s="2">
        <v>256</v>
      </c>
      <c r="V243" s="1" t="s">
        <v>4457</v>
      </c>
      <c r="W243" s="2">
        <v>140</v>
      </c>
      <c r="X243" s="1" t="s">
        <v>4458</v>
      </c>
      <c r="Y243" s="2">
        <v>83</v>
      </c>
      <c r="Z243" s="1" t="s">
        <v>4459</v>
      </c>
      <c r="AA243" s="2">
        <v>57</v>
      </c>
    </row>
    <row r="244" spans="1:31" ht="22.5" customHeight="1" thickBot="1">
      <c r="A244" s="71" t="s">
        <v>4430</v>
      </c>
      <c r="C244" s="40" t="s">
        <v>3626</v>
      </c>
      <c r="D244" s="41" t="s">
        <v>4442</v>
      </c>
      <c r="E244" s="41" t="s">
        <v>4439</v>
      </c>
      <c r="F244" s="41" t="str">
        <f t="shared" si="6"/>
        <v>https://www.ssbuy.tw/detail_giftcode/dist/giftcodes/The kingdom：medieval tales.html</v>
      </c>
      <c r="G244" s="41" t="s">
        <v>4440</v>
      </c>
      <c r="H244" s="41" t="str">
        <f t="shared" si="7"/>
        <v>https://www.ssbuy.tw/detail_giftcode/dist/gamedetail/The kingdom：medieval tales.html</v>
      </c>
      <c r="I244" t="s">
        <v>4447</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4460</v>
      </c>
      <c r="Y244" s="2">
        <v>225</v>
      </c>
      <c r="Z244" s="1" t="s">
        <v>4461</v>
      </c>
      <c r="AA244" s="2">
        <v>302</v>
      </c>
      <c r="AB244" s="1" t="s">
        <v>4462</v>
      </c>
      <c r="AC244" s="2">
        <v>612</v>
      </c>
    </row>
    <row r="245" spans="1:31" ht="22.5" customHeight="1" thickBot="1">
      <c r="A245" s="3" t="s">
        <v>4484</v>
      </c>
      <c r="C245" s="5" t="s">
        <v>4495</v>
      </c>
      <c r="D245" s="4" t="s">
        <v>4485</v>
      </c>
      <c r="E245" s="41" t="s">
        <v>4477</v>
      </c>
      <c r="F245" s="41" t="str">
        <f t="shared" si="6"/>
        <v>https://www.ssbuy.tw/detail_giftcode/dist/giftcodes/七龍珠激震小隊.html</v>
      </c>
      <c r="G245" s="41" t="s">
        <v>4476</v>
      </c>
      <c r="H245" s="41" t="str">
        <f t="shared" si="7"/>
        <v>https://www.ssbuy.tw/detail_giftcode/dist/gamedetail/七龍珠激震小隊.html</v>
      </c>
      <c r="I245" s="42" t="s">
        <v>4491</v>
      </c>
      <c r="J245" s="1" t="s">
        <v>4497</v>
      </c>
      <c r="K245" s="2">
        <v>2056</v>
      </c>
      <c r="L245" s="1" t="s">
        <v>4498</v>
      </c>
      <c r="M245" s="2">
        <v>1009</v>
      </c>
      <c r="N245" s="1" t="s">
        <v>4499</v>
      </c>
      <c r="O245" s="2">
        <v>519</v>
      </c>
      <c r="P245" s="1" t="s">
        <v>4500</v>
      </c>
      <c r="Q245" s="2">
        <v>178</v>
      </c>
      <c r="R245" s="1" t="s">
        <v>4501</v>
      </c>
      <c r="S245" s="2">
        <v>58</v>
      </c>
      <c r="T245" s="1" t="s">
        <v>4502</v>
      </c>
      <c r="U245" s="2">
        <v>1139</v>
      </c>
      <c r="V245" s="1" t="s">
        <v>4503</v>
      </c>
      <c r="W245" s="2">
        <v>256</v>
      </c>
    </row>
    <row r="246" spans="1:31" ht="22.5" customHeight="1" thickBot="1">
      <c r="A246" s="71" t="s">
        <v>4473</v>
      </c>
      <c r="C246" s="40" t="s">
        <v>4496</v>
      </c>
      <c r="D246" s="41" t="s">
        <v>4490</v>
      </c>
      <c r="E246" s="4" t="s">
        <v>4478</v>
      </c>
      <c r="F246" s="41" t="str">
        <f t="shared" si="6"/>
        <v>https://www.ssbuy.tw/detail_giftcode/dist/giftcodes/Grave Strikers.html</v>
      </c>
      <c r="G246" s="41" t="s">
        <v>4479</v>
      </c>
      <c r="H246" s="41" t="str">
        <f t="shared" si="7"/>
        <v>https://www.ssbuy.tw/detail_giftcode/dist/gamedetail/Grave Strikers.html</v>
      </c>
      <c r="I246" s="42" t="s">
        <v>4492</v>
      </c>
      <c r="J246" s="1" t="s">
        <v>4519</v>
      </c>
      <c r="K246" s="2">
        <v>1139</v>
      </c>
      <c r="L246" s="1" t="s">
        <v>4520</v>
      </c>
      <c r="M246" s="2">
        <v>225</v>
      </c>
      <c r="N246" s="1" t="s">
        <v>4521</v>
      </c>
      <c r="O246" s="2">
        <v>99</v>
      </c>
      <c r="P246" s="1" t="s">
        <v>4522</v>
      </c>
      <c r="Q246" s="2">
        <v>25</v>
      </c>
    </row>
    <row r="247" spans="1:31" ht="22.5" customHeight="1" thickBot="1">
      <c r="A247" s="71" t="s">
        <v>4474</v>
      </c>
      <c r="C247" s="40" t="s">
        <v>4489</v>
      </c>
      <c r="D247" s="41" t="s">
        <v>4488</v>
      </c>
      <c r="E247" s="41" t="s">
        <v>4480</v>
      </c>
      <c r="F247" s="41" t="str">
        <f t="shared" si="6"/>
        <v>https://www.ssbuy.tw/detail_giftcode/dist/giftcodes/Stellar Sanctuary.html</v>
      </c>
      <c r="G247" s="41" t="s">
        <v>4481</v>
      </c>
      <c r="H247" s="41" t="str">
        <f t="shared" si="7"/>
        <v>https://www.ssbuy.tw/detail_giftcode/dist/gamedetail/Stellar Sanctuary.html</v>
      </c>
      <c r="I247" s="42" t="s">
        <v>4493</v>
      </c>
      <c r="J247" s="1" t="s">
        <v>4518</v>
      </c>
      <c r="K247" s="2">
        <v>2623</v>
      </c>
      <c r="L247" s="1" t="s">
        <v>4523</v>
      </c>
      <c r="M247" s="2">
        <v>2623</v>
      </c>
      <c r="N247" s="1" t="s">
        <v>4524</v>
      </c>
      <c r="O247" s="2">
        <v>1330</v>
      </c>
      <c r="P247" s="1" t="s">
        <v>4525</v>
      </c>
      <c r="Q247" s="2">
        <v>543</v>
      </c>
      <c r="R247" s="1" t="s">
        <v>4526</v>
      </c>
      <c r="S247" s="2">
        <v>271</v>
      </c>
      <c r="T247" s="1" t="s">
        <v>4527</v>
      </c>
      <c r="U247" s="2">
        <v>149</v>
      </c>
      <c r="V247" s="1" t="s">
        <v>4528</v>
      </c>
      <c r="W247" s="2">
        <v>29</v>
      </c>
    </row>
    <row r="248" spans="1:31" ht="22.5" customHeight="1" thickBot="1">
      <c r="A248" s="71" t="s">
        <v>4475</v>
      </c>
      <c r="C248" s="40" t="s">
        <v>4486</v>
      </c>
      <c r="D248" s="4" t="s">
        <v>4487</v>
      </c>
      <c r="E248" s="41" t="s">
        <v>4482</v>
      </c>
      <c r="F248" s="41" t="str">
        <f t="shared" si="6"/>
        <v>https://www.ssbuy.tw/detail_giftcode/dist/giftcodes/古惑仔：風雲再起.html</v>
      </c>
      <c r="G248" s="41" t="s">
        <v>4483</v>
      </c>
      <c r="H248" s="41" t="str">
        <f t="shared" si="7"/>
        <v>https://www.ssbuy.tw/detail_giftcode/dist/gamedetail/古惑仔：風雲再起.html</v>
      </c>
      <c r="I248" s="42" t="s">
        <v>4494</v>
      </c>
      <c r="J248" s="1" t="s">
        <v>4504</v>
      </c>
      <c r="K248" s="2">
        <v>2449</v>
      </c>
      <c r="L248" s="1" t="s">
        <v>4505</v>
      </c>
      <c r="M248" s="2">
        <v>1911</v>
      </c>
      <c r="N248" s="1" t="s">
        <v>4506</v>
      </c>
      <c r="O248" s="2">
        <v>1529</v>
      </c>
      <c r="P248" s="1" t="s">
        <v>4507</v>
      </c>
      <c r="Q248" s="2">
        <v>1254</v>
      </c>
      <c r="R248" s="1" t="s">
        <v>4508</v>
      </c>
      <c r="S248" s="2">
        <v>757</v>
      </c>
      <c r="T248" s="1" t="s">
        <v>4509</v>
      </c>
      <c r="U248" s="2">
        <v>380</v>
      </c>
      <c r="V248" s="1" t="s">
        <v>4510</v>
      </c>
      <c r="W248" s="2">
        <v>264</v>
      </c>
      <c r="X248" s="1" t="s">
        <v>4511</v>
      </c>
      <c r="Y248" s="2">
        <v>124</v>
      </c>
      <c r="Z248" s="1" t="s">
        <v>4512</v>
      </c>
      <c r="AA248" s="2">
        <v>25</v>
      </c>
    </row>
    <row r="249" spans="1:31" ht="22.5" customHeight="1" thickBot="1">
      <c r="A249" s="71" t="s">
        <v>4558</v>
      </c>
      <c r="C249" s="40" t="s">
        <v>4562</v>
      </c>
      <c r="D249" s="41" t="s">
        <v>4561</v>
      </c>
      <c r="E249" s="41" t="s">
        <v>4563</v>
      </c>
      <c r="F249" s="41" t="str">
        <f t="shared" ref="F249:F253" si="8">IF(A249="","", "https://www.ssbuy.tw/detail_giftcode/dist/giftcodes/" &amp; IF(ISNUMBER(LEFT(A249,1)*1), "game-", "") &amp; A249 &amp; ".html")</f>
        <v>https://www.ssbuy.tw/detail_giftcode/dist/giftcodes/女神秘令.html</v>
      </c>
      <c r="G249" s="4" t="s">
        <v>4564</v>
      </c>
      <c r="H249" s="41" t="str">
        <f t="shared" ref="H249:H253" si="9">IF(A249="","", "https://www.ssbuy.tw/detail_giftcode/dist/gamedetail/" &amp; IF(ISNUMBER(LEFT(A249,1)*1), "game-", "") &amp; A249 &amp; ".html")</f>
        <v>https://www.ssbuy.tw/detail_giftcode/dist/gamedetail/女神秘令.html</v>
      </c>
      <c r="I249" s="42" t="s">
        <v>4577</v>
      </c>
      <c r="J249" s="1" t="s">
        <v>301</v>
      </c>
      <c r="K249" s="71">
        <v>2286</v>
      </c>
      <c r="L249" s="1" t="s">
        <v>302</v>
      </c>
      <c r="M249" s="71">
        <v>1139</v>
      </c>
      <c r="N249" s="1" t="s">
        <v>262</v>
      </c>
      <c r="O249" s="71">
        <v>757</v>
      </c>
      <c r="P249" s="1" t="s">
        <v>279</v>
      </c>
      <c r="Q249" s="71">
        <v>519</v>
      </c>
      <c r="R249" s="1" t="s">
        <v>1493</v>
      </c>
      <c r="S249" s="71">
        <v>380</v>
      </c>
      <c r="T249" s="1" t="s">
        <v>280</v>
      </c>
      <c r="U249" s="71">
        <v>256</v>
      </c>
      <c r="V249" s="1" t="s">
        <v>281</v>
      </c>
      <c r="W249" s="71">
        <v>140</v>
      </c>
      <c r="X249" s="1" t="s">
        <v>1428</v>
      </c>
      <c r="Y249" s="71">
        <v>27</v>
      </c>
    </row>
    <row r="250" spans="1:31" ht="22.5" customHeight="1" thickBot="1">
      <c r="A250" s="71" t="s">
        <v>4559</v>
      </c>
      <c r="C250" s="5" t="s">
        <v>4567</v>
      </c>
      <c r="D250" s="4" t="s">
        <v>4568</v>
      </c>
      <c r="E250" s="4" t="s">
        <v>4566</v>
      </c>
      <c r="F250" s="41" t="str">
        <f t="shared" si="8"/>
        <v>https://www.ssbuy.tw/detail_giftcode/dist/giftcodes/Torerowa.html</v>
      </c>
      <c r="G250" s="41" t="s">
        <v>4565</v>
      </c>
      <c r="H250" s="41" t="str">
        <f t="shared" si="9"/>
        <v>https://www.ssbuy.tw/detail_giftcode/dist/gamedetail/Torerowa.html</v>
      </c>
      <c r="I250" s="42" t="s">
        <v>4578</v>
      </c>
      <c r="J250" s="1" t="s">
        <v>4588</v>
      </c>
      <c r="K250" s="71">
        <v>2293</v>
      </c>
      <c r="L250" s="1" t="s">
        <v>4589</v>
      </c>
      <c r="M250" s="71">
        <v>1529</v>
      </c>
      <c r="N250" s="1" t="s">
        <v>4590</v>
      </c>
      <c r="O250" s="71">
        <v>764</v>
      </c>
      <c r="P250" s="1" t="s">
        <v>4591</v>
      </c>
      <c r="Q250" s="71">
        <v>465</v>
      </c>
      <c r="R250" s="1" t="s">
        <v>4592</v>
      </c>
      <c r="S250" s="71">
        <v>165</v>
      </c>
      <c r="T250" s="1" t="s">
        <v>4593</v>
      </c>
      <c r="U250" s="71">
        <v>124</v>
      </c>
      <c r="V250" s="1" t="s">
        <v>4594</v>
      </c>
      <c r="W250" s="71">
        <v>33</v>
      </c>
    </row>
    <row r="251" spans="1:31" ht="22.5" customHeight="1" thickBot="1">
      <c r="A251" s="71" t="s">
        <v>4560</v>
      </c>
      <c r="C251" s="5" t="s">
        <v>4570</v>
      </c>
      <c r="D251" s="4" t="s">
        <v>4572</v>
      </c>
      <c r="E251" s="4" t="s">
        <v>4571</v>
      </c>
      <c r="F251" s="41" t="str">
        <f t="shared" si="8"/>
        <v>https://www.ssbuy.tw/detail_giftcode/dist/giftcodes/Ricochet Squad.html</v>
      </c>
      <c r="G251" s="4" t="s">
        <v>4569</v>
      </c>
      <c r="H251" s="41" t="str">
        <f t="shared" si="9"/>
        <v>https://www.ssbuy.tw/detail_giftcode/dist/gamedetail/Ricochet Squad.html</v>
      </c>
      <c r="I251" s="42" t="s">
        <v>4579</v>
      </c>
      <c r="J251" s="1" t="s">
        <v>4595</v>
      </c>
      <c r="K251" s="71">
        <v>2286</v>
      </c>
      <c r="L251" s="1" t="s">
        <v>4596</v>
      </c>
      <c r="M251" s="71">
        <v>1139</v>
      </c>
      <c r="N251" s="1" t="s">
        <v>4597</v>
      </c>
      <c r="O251" s="71">
        <v>535</v>
      </c>
      <c r="P251" s="1" t="s">
        <v>4598</v>
      </c>
      <c r="Q251" s="71">
        <v>248</v>
      </c>
      <c r="R251" s="1" t="s">
        <v>4599</v>
      </c>
      <c r="S251" s="71">
        <v>124</v>
      </c>
      <c r="T251" s="1" t="s">
        <v>4600</v>
      </c>
      <c r="U251" s="71">
        <v>25</v>
      </c>
    </row>
    <row r="252" spans="1:31" ht="22.5" customHeight="1" thickBot="1">
      <c r="A252" s="3" t="s">
        <v>4573</v>
      </c>
      <c r="C252" s="5" t="s">
        <v>4576</v>
      </c>
      <c r="D252" s="4" t="s">
        <v>4576</v>
      </c>
      <c r="E252" s="41" t="s">
        <v>4574</v>
      </c>
      <c r="F252" s="41" t="str">
        <f t="shared" si="8"/>
        <v>https://www.ssbuy.tw/detail_giftcode/dist/giftcodes/魔法村物語.html</v>
      </c>
      <c r="G252" s="41" t="s">
        <v>4575</v>
      </c>
      <c r="H252" s="41" t="str">
        <f t="shared" si="9"/>
        <v>https://www.ssbuy.tw/detail_giftcode/dist/gamedetail/魔法村物語.html</v>
      </c>
      <c r="I252" s="42" t="s">
        <v>4580</v>
      </c>
      <c r="J252" s="1" t="s">
        <v>12</v>
      </c>
      <c r="K252" s="71">
        <v>2286</v>
      </c>
      <c r="L252" s="1" t="s">
        <v>13</v>
      </c>
      <c r="M252" s="71">
        <v>1139</v>
      </c>
      <c r="N252" s="1" t="s">
        <v>24</v>
      </c>
      <c r="O252" s="71">
        <v>757</v>
      </c>
      <c r="P252" s="1" t="s">
        <v>14</v>
      </c>
      <c r="Q252" s="71">
        <v>519</v>
      </c>
      <c r="R252" s="1" t="s">
        <v>120</v>
      </c>
      <c r="S252" s="71">
        <v>248</v>
      </c>
      <c r="T252" s="1" t="s">
        <v>16</v>
      </c>
      <c r="U252" s="71">
        <v>124</v>
      </c>
      <c r="V252" s="1" t="s">
        <v>7</v>
      </c>
      <c r="W252" s="71">
        <v>25</v>
      </c>
      <c r="X252" s="1" t="s">
        <v>4607</v>
      </c>
      <c r="Y252" s="71">
        <v>535</v>
      </c>
      <c r="Z252" s="1" t="s">
        <v>4608</v>
      </c>
      <c r="AA252" s="71">
        <v>248</v>
      </c>
      <c r="AB252" s="1" t="s">
        <v>4609</v>
      </c>
      <c r="AC252" s="71">
        <v>124</v>
      </c>
    </row>
    <row r="253" spans="1:31" ht="22.5" customHeight="1" thickBot="1">
      <c r="A253" s="71" t="s">
        <v>4641</v>
      </c>
      <c r="C253" s="5" t="s">
        <v>4645</v>
      </c>
      <c r="D253" s="4" t="s">
        <v>4645</v>
      </c>
      <c r="E253" s="4" t="s">
        <v>4644</v>
      </c>
      <c r="F253" s="41" t="str">
        <f t="shared" si="8"/>
        <v>https://www.ssbuy.tw/detail_giftcode/dist/giftcodes/奇蹟MU：騎士袋你飛.html</v>
      </c>
      <c r="G253" s="4" t="s">
        <v>4643</v>
      </c>
      <c r="H253" s="41" t="str">
        <f t="shared" si="9"/>
        <v>https://www.ssbuy.tw/detail_giftcode/dist/gamedetail/奇蹟MU：騎士袋你飛.html</v>
      </c>
      <c r="I253" s="42" t="s">
        <v>4669</v>
      </c>
      <c r="J253" s="1" t="s">
        <v>145</v>
      </c>
      <c r="K253" s="71">
        <v>1605</v>
      </c>
      <c r="L253" s="1" t="s">
        <v>146</v>
      </c>
      <c r="M253" s="71">
        <v>810</v>
      </c>
      <c r="N253" s="1" t="s">
        <v>147</v>
      </c>
      <c r="O253" s="71">
        <v>496</v>
      </c>
      <c r="P253" s="1" t="s">
        <v>4671</v>
      </c>
      <c r="Q253" s="71">
        <v>198</v>
      </c>
      <c r="R253" s="1" t="s">
        <v>149</v>
      </c>
      <c r="S253" s="71">
        <v>103</v>
      </c>
      <c r="T253" s="1" t="s">
        <v>3981</v>
      </c>
      <c r="U253" s="71">
        <v>21</v>
      </c>
      <c r="V253" s="1" t="s">
        <v>4672</v>
      </c>
      <c r="W253" s="71">
        <v>163</v>
      </c>
      <c r="X253" s="1" t="s">
        <v>4673</v>
      </c>
      <c r="Y253" s="71">
        <v>58</v>
      </c>
      <c r="Z253" s="1" t="s">
        <v>4674</v>
      </c>
      <c r="AA253" s="71">
        <v>58</v>
      </c>
      <c r="AB253" s="1" t="s">
        <v>4675</v>
      </c>
      <c r="AC253" s="71">
        <v>58</v>
      </c>
      <c r="AD253" s="1" t="s">
        <v>4676</v>
      </c>
      <c r="AE253" s="71">
        <v>107</v>
      </c>
    </row>
    <row r="254" spans="1:31" ht="22.5" customHeight="1" thickBot="1">
      <c r="A254" s="71" t="s">
        <v>4642</v>
      </c>
      <c r="C254" s="5" t="s">
        <v>4648</v>
      </c>
      <c r="D254" s="4" t="s">
        <v>4648</v>
      </c>
      <c r="E254" s="4" t="s">
        <v>4647</v>
      </c>
      <c r="F254" s="41" t="str">
        <f t="shared" si="6"/>
        <v>https://www.ssbuy.tw/detail_giftcode/dist/giftcodes/AUR3：影月幻域.html</v>
      </c>
      <c r="G254" s="4" t="s">
        <v>4646</v>
      </c>
      <c r="H254" s="41" t="str">
        <f t="shared" si="7"/>
        <v>https://www.ssbuy.tw/detail_giftcode/dist/gamedetail/AUR3：影月幻域.html</v>
      </c>
      <c r="I254" s="42" t="s">
        <v>4670</v>
      </c>
      <c r="J254" s="1" t="s">
        <v>4677</v>
      </c>
      <c r="K254" s="71">
        <v>1139</v>
      </c>
      <c r="L254" s="1" t="s">
        <v>4678</v>
      </c>
      <c r="M254" s="71">
        <v>612</v>
      </c>
      <c r="N254" s="1" t="s">
        <v>4679</v>
      </c>
      <c r="O254" s="71">
        <v>380</v>
      </c>
      <c r="P254" s="1" t="s">
        <v>4680</v>
      </c>
      <c r="Q254" s="71">
        <v>194</v>
      </c>
      <c r="R254" s="1" t="s">
        <v>4681</v>
      </c>
      <c r="S254" s="71">
        <v>74</v>
      </c>
      <c r="T254" s="1" t="s">
        <v>4682</v>
      </c>
      <c r="U254" s="71">
        <v>17</v>
      </c>
      <c r="V254" s="1" t="s">
        <v>4683</v>
      </c>
      <c r="W254" s="71">
        <v>194</v>
      </c>
      <c r="X254" s="1" t="s">
        <v>4684</v>
      </c>
      <c r="Y254" s="71">
        <v>74</v>
      </c>
    </row>
    <row r="255" spans="1:31" ht="22.5" customHeight="1" thickBot="1">
      <c r="A255" s="3" t="s">
        <v>4705</v>
      </c>
      <c r="C255" s="5" t="s">
        <v>4694</v>
      </c>
      <c r="D255" s="4" t="s">
        <v>4695</v>
      </c>
      <c r="E255" s="4" t="s">
        <v>4692</v>
      </c>
      <c r="F255" s="41" t="str">
        <f t="shared" si="6"/>
        <v>https://www.ssbuy.tw/detail_giftcode/dist/giftcodes/純潔的魔法少女.html</v>
      </c>
      <c r="G255" s="4" t="s">
        <v>4693</v>
      </c>
      <c r="H255" s="41" t="str">
        <f t="shared" si="7"/>
        <v>https://www.ssbuy.tw/detail_giftcode/dist/gamedetail/純潔的魔法少女.html</v>
      </c>
      <c r="I255" s="42" t="s">
        <v>4709</v>
      </c>
      <c r="J255" s="1" t="s">
        <v>4724</v>
      </c>
      <c r="K255" s="71">
        <v>2555</v>
      </c>
      <c r="L255" s="1" t="s">
        <v>4725</v>
      </c>
      <c r="M255" s="71">
        <v>1331</v>
      </c>
      <c r="N255" s="1" t="s">
        <v>4726</v>
      </c>
      <c r="O255" s="71">
        <v>780</v>
      </c>
      <c r="P255" s="1" t="s">
        <v>4727</v>
      </c>
      <c r="Q255" s="71">
        <v>264</v>
      </c>
      <c r="R255" s="1" t="s">
        <v>4728</v>
      </c>
      <c r="S255" s="71">
        <v>145</v>
      </c>
      <c r="T255" s="1" t="s">
        <v>4729</v>
      </c>
      <c r="U255" s="71">
        <v>28</v>
      </c>
      <c r="V255" s="1" t="s">
        <v>4730</v>
      </c>
      <c r="W255" s="71">
        <v>216</v>
      </c>
    </row>
    <row r="256" spans="1:31" ht="22.5" customHeight="1" thickBot="1">
      <c r="A256" s="71" t="s">
        <v>4689</v>
      </c>
      <c r="C256" s="5" t="s">
        <v>4696</v>
      </c>
      <c r="D256" s="4" t="s">
        <v>4701</v>
      </c>
      <c r="E256" s="4" t="s">
        <v>4700</v>
      </c>
      <c r="F256" s="41" t="str">
        <f t="shared" si="6"/>
        <v>https://www.ssbuy.tw/detail_giftcode/dist/giftcodes/Next Agers.html</v>
      </c>
      <c r="G256" s="4" t="s">
        <v>4699</v>
      </c>
      <c r="H256" s="41" t="str">
        <f t="shared" si="7"/>
        <v>https://www.ssbuy.tw/detail_giftcode/dist/gamedetail/Next Agers.html</v>
      </c>
      <c r="I256" s="42" t="s">
        <v>4710</v>
      </c>
      <c r="J256" s="1" t="s">
        <v>4</v>
      </c>
      <c r="K256" s="71">
        <v>2702</v>
      </c>
      <c r="L256" s="1" t="s">
        <v>5</v>
      </c>
      <c r="M256" s="71">
        <v>1370</v>
      </c>
      <c r="N256" s="1" t="s">
        <v>17</v>
      </c>
      <c r="O256" s="71">
        <v>559</v>
      </c>
      <c r="P256" s="1" t="s">
        <v>163</v>
      </c>
      <c r="Q256" s="71">
        <v>280</v>
      </c>
      <c r="R256" s="1" t="s">
        <v>6</v>
      </c>
      <c r="S256" s="71">
        <v>153</v>
      </c>
      <c r="T256" s="1" t="s">
        <v>164</v>
      </c>
      <c r="U256" s="71">
        <v>30</v>
      </c>
      <c r="V256" s="1" t="s">
        <v>4731</v>
      </c>
      <c r="W256" s="71">
        <v>6095</v>
      </c>
    </row>
    <row r="257" spans="1:31" ht="22.5" customHeight="1" thickBot="1">
      <c r="A257" s="71" t="s">
        <v>4690</v>
      </c>
      <c r="C257" s="5" t="s">
        <v>4697</v>
      </c>
      <c r="D257" s="4" t="s">
        <v>4702</v>
      </c>
      <c r="E257" s="4" t="s">
        <v>4703</v>
      </c>
      <c r="F257" s="41" t="str">
        <f t="shared" si="6"/>
        <v>https://www.ssbuy.tw/detail_giftcode/dist/giftcodes/屍不可擋.html</v>
      </c>
      <c r="G257" s="4" t="s">
        <v>4704</v>
      </c>
      <c r="H257" s="41" t="str">
        <f t="shared" si="7"/>
        <v>https://www.ssbuy.tw/detail_giftcode/dist/gamedetail/屍不可擋.html</v>
      </c>
      <c r="I257" s="42" t="s">
        <v>4711</v>
      </c>
      <c r="J257" s="1" t="s">
        <v>4732</v>
      </c>
      <c r="K257" s="71">
        <v>2355</v>
      </c>
      <c r="L257" s="1" t="s">
        <v>4733</v>
      </c>
      <c r="M257" s="71">
        <v>1016</v>
      </c>
      <c r="N257" s="1" t="s">
        <v>4734</v>
      </c>
      <c r="O257" s="71">
        <v>551</v>
      </c>
      <c r="P257" s="1" t="s">
        <v>4735</v>
      </c>
      <c r="Q257" s="71">
        <v>256</v>
      </c>
      <c r="R257" s="1" t="s">
        <v>28</v>
      </c>
      <c r="S257" s="71">
        <v>128</v>
      </c>
      <c r="T257" s="1" t="s">
        <v>4736</v>
      </c>
      <c r="U257" s="71">
        <v>26</v>
      </c>
      <c r="V257" s="1" t="s">
        <v>1674</v>
      </c>
      <c r="W257" s="71">
        <v>1961</v>
      </c>
      <c r="X257" s="1" t="s">
        <v>4737</v>
      </c>
      <c r="Y257" s="71">
        <v>1410</v>
      </c>
      <c r="Z257" s="1" t="s">
        <v>47</v>
      </c>
      <c r="AA257" s="71">
        <v>1016</v>
      </c>
      <c r="AB257" s="1" t="s">
        <v>152</v>
      </c>
      <c r="AC257" s="71">
        <v>551</v>
      </c>
    </row>
    <row r="258" spans="1:31" ht="22.5" customHeight="1" thickBot="1">
      <c r="A258" s="71" t="s">
        <v>4691</v>
      </c>
      <c r="C258" s="5" t="s">
        <v>4698</v>
      </c>
      <c r="D258" s="41" t="s">
        <v>4706</v>
      </c>
      <c r="E258" s="4" t="s">
        <v>4707</v>
      </c>
      <c r="F258" s="41" t="str">
        <f t="shared" si="6"/>
        <v>https://www.ssbuy.tw/detail_giftcode/dist/giftcodes/RF ONLINE NEXT.html</v>
      </c>
      <c r="G258" s="4" t="s">
        <v>4708</v>
      </c>
      <c r="H258" s="41" t="str">
        <f t="shared" si="7"/>
        <v>https://www.ssbuy.tw/detail_giftcode/dist/gamedetail/RF ONLINE NEXT.html</v>
      </c>
      <c r="I258" s="42" t="s">
        <v>4712</v>
      </c>
      <c r="J258" s="1" t="s">
        <v>4762</v>
      </c>
      <c r="K258" s="71">
        <v>1725</v>
      </c>
      <c r="L258" s="1" t="s">
        <v>1268</v>
      </c>
      <c r="M258" s="71">
        <v>937</v>
      </c>
      <c r="N258" s="1" t="s">
        <v>4763</v>
      </c>
      <c r="O258" s="71">
        <v>375</v>
      </c>
      <c r="P258" s="1" t="s">
        <v>4764</v>
      </c>
      <c r="Q258" s="71">
        <v>184</v>
      </c>
      <c r="R258" s="1" t="s">
        <v>1302</v>
      </c>
      <c r="S258" s="71">
        <v>85</v>
      </c>
      <c r="T258" s="1" t="s">
        <v>4765</v>
      </c>
      <c r="U258" s="71">
        <v>28</v>
      </c>
      <c r="V258" s="1" t="s">
        <v>4766</v>
      </c>
      <c r="W258" s="71">
        <v>583</v>
      </c>
      <c r="X258" s="1" t="s">
        <v>4767</v>
      </c>
      <c r="Y258" s="71">
        <v>145</v>
      </c>
      <c r="Z258" s="1" t="s">
        <v>4768</v>
      </c>
      <c r="AA258" s="71">
        <v>162</v>
      </c>
      <c r="AB258" s="1" t="s">
        <v>4769</v>
      </c>
      <c r="AC258" s="71">
        <v>1725</v>
      </c>
      <c r="AD258" s="1" t="s">
        <v>4770</v>
      </c>
      <c r="AE258" s="71">
        <v>1725</v>
      </c>
    </row>
    <row r="259" spans="1:31" ht="22.5" customHeight="1" thickBot="1">
      <c r="A259" s="70" t="s">
        <v>4749</v>
      </c>
      <c r="C259" s="5" t="s">
        <v>4748</v>
      </c>
      <c r="D259" s="41" t="s">
        <v>4747</v>
      </c>
      <c r="E259" s="41" t="s">
        <v>4746</v>
      </c>
      <c r="F259" s="41" t="str">
        <f t="shared" ref="F259:F269" si="10">IF(A259="","", "https://www.ssbuy.tw/detail_giftcode/dist/giftcodes/" &amp; IF(ISNUMBER(LEFT(A259,1)*1), "game-", "") &amp; A259 &amp; ".html")</f>
        <v>https://www.ssbuy.tw/detail_giftcode/dist/giftcodes/少女掌門人.html</v>
      </c>
      <c r="G259" s="4" t="s">
        <v>4750</v>
      </c>
      <c r="H259" s="41" t="str">
        <f t="shared" ref="H259:H287" si="11">IF(A259="","", "https://www.ssbuy.tw/detail_giftcode/dist/gamedetail/" &amp; IF(ISNUMBER(LEFT(A259,1)*1), "game-", "") &amp; A259 &amp; ".html")</f>
        <v>https://www.ssbuy.tw/detail_giftcode/dist/gamedetail/少女掌門人.html</v>
      </c>
      <c r="I259" s="42" t="s">
        <v>4751</v>
      </c>
      <c r="J259" s="1" t="s">
        <v>4738</v>
      </c>
      <c r="K259" s="71">
        <v>2048</v>
      </c>
      <c r="L259" s="1" t="s">
        <v>4739</v>
      </c>
      <c r="M259" s="71">
        <v>1181</v>
      </c>
      <c r="N259" s="1" t="s">
        <v>4740</v>
      </c>
      <c r="O259" s="71">
        <v>843</v>
      </c>
      <c r="P259" s="1" t="s">
        <v>4741</v>
      </c>
      <c r="Q259" s="71">
        <v>423</v>
      </c>
      <c r="R259" s="1" t="s">
        <v>4742</v>
      </c>
      <c r="S259" s="71">
        <v>216</v>
      </c>
      <c r="T259" s="1" t="s">
        <v>4743</v>
      </c>
      <c r="U259" s="71">
        <v>55</v>
      </c>
      <c r="V259" s="1" t="s">
        <v>3577</v>
      </c>
      <c r="W259" s="71">
        <v>630</v>
      </c>
      <c r="X259" s="1" t="s">
        <v>4744</v>
      </c>
      <c r="Y259" s="71">
        <v>439</v>
      </c>
      <c r="Z259" s="1" t="s">
        <v>4745</v>
      </c>
      <c r="AA259" s="71">
        <v>630</v>
      </c>
    </row>
    <row r="260" spans="1:31" ht="22.5" customHeight="1" thickBot="1">
      <c r="A260" s="70" t="s">
        <v>4794</v>
      </c>
      <c r="C260" s="40" t="s">
        <v>4788</v>
      </c>
      <c r="D260" s="5" t="s">
        <v>4793</v>
      </c>
      <c r="E260" s="4" t="s">
        <v>4792</v>
      </c>
      <c r="F260" s="41" t="str">
        <f t="shared" si="10"/>
        <v>https://www.ssbuy.tw/detail_giftcode/dist/giftcodes/翼之櫻：放置決鬥者.html</v>
      </c>
      <c r="G260" s="4" t="s">
        <v>4790</v>
      </c>
      <c r="H260" s="41" t="str">
        <f t="shared" si="11"/>
        <v>https://www.ssbuy.tw/detail_giftcode/dist/gamedetail/翼之櫻：放置決鬥者.html</v>
      </c>
      <c r="I260" s="42" t="s">
        <v>4795</v>
      </c>
      <c r="J260" s="1" t="s">
        <v>4771</v>
      </c>
      <c r="K260" s="71">
        <v>2355</v>
      </c>
      <c r="L260" s="1" t="s">
        <v>4772</v>
      </c>
      <c r="M260" s="71">
        <v>1173</v>
      </c>
      <c r="N260" s="1" t="s">
        <v>4773</v>
      </c>
      <c r="O260" s="71">
        <v>780</v>
      </c>
      <c r="P260" s="1" t="s">
        <v>4774</v>
      </c>
      <c r="Q260" s="71">
        <v>391</v>
      </c>
      <c r="R260" s="1" t="s">
        <v>4775</v>
      </c>
      <c r="S260" s="71">
        <v>128</v>
      </c>
      <c r="T260" s="1" t="s">
        <v>4776</v>
      </c>
      <c r="U260" s="71">
        <v>26</v>
      </c>
      <c r="V260" s="1" t="s">
        <v>107</v>
      </c>
      <c r="W260" s="71">
        <v>128</v>
      </c>
      <c r="X260" s="1" t="s">
        <v>4777</v>
      </c>
      <c r="Y260" s="71">
        <v>77</v>
      </c>
      <c r="Z260" s="1" t="s">
        <v>4778</v>
      </c>
      <c r="AA260" s="71">
        <v>176</v>
      </c>
      <c r="AB260" s="1" t="s">
        <v>4779</v>
      </c>
      <c r="AC260" s="71">
        <v>551</v>
      </c>
    </row>
    <row r="261" spans="1:31" ht="22.5" customHeight="1" thickBot="1">
      <c r="A261" s="71" t="s">
        <v>4760</v>
      </c>
      <c r="C261" s="5" t="s">
        <v>4797</v>
      </c>
      <c r="D261" s="4" t="s">
        <v>4798</v>
      </c>
      <c r="E261" s="4" t="s">
        <v>4799</v>
      </c>
      <c r="F261" s="41" t="str">
        <f t="shared" si="10"/>
        <v>https://www.ssbuy.tw/detail_giftcode/dist/giftcodes/Oniro ARPG.html</v>
      </c>
      <c r="G261" s="4" t="s">
        <v>4796</v>
      </c>
      <c r="H261" s="41" t="str">
        <f t="shared" si="11"/>
        <v>https://www.ssbuy.tw/detail_giftcode/dist/gamedetail/Oniro ARPG.html</v>
      </c>
      <c r="I261" s="42" t="s">
        <v>4800</v>
      </c>
      <c r="J261" s="1" t="s">
        <v>4780</v>
      </c>
      <c r="K261" s="71">
        <v>1961</v>
      </c>
      <c r="L261" s="1" t="s">
        <v>4781</v>
      </c>
      <c r="M261" s="71">
        <v>1016</v>
      </c>
      <c r="N261" s="1" t="s">
        <v>4782</v>
      </c>
      <c r="O261" s="71">
        <v>551</v>
      </c>
      <c r="P261" s="1" t="s">
        <v>4783</v>
      </c>
      <c r="Q261" s="71">
        <v>232</v>
      </c>
      <c r="R261" s="1" t="s">
        <v>4784</v>
      </c>
      <c r="S261" s="71">
        <v>102</v>
      </c>
      <c r="T261" s="1" t="s">
        <v>1377</v>
      </c>
      <c r="U261" s="71">
        <v>26</v>
      </c>
      <c r="V261" s="1" t="s">
        <v>4785</v>
      </c>
      <c r="W261" s="71">
        <v>622</v>
      </c>
      <c r="X261" s="1" t="s">
        <v>4786</v>
      </c>
      <c r="Y261" s="71">
        <v>1173</v>
      </c>
    </row>
    <row r="262" spans="1:31" ht="22.5" customHeight="1" thickBot="1">
      <c r="A262" s="71" t="s">
        <v>4761</v>
      </c>
      <c r="C262" s="40" t="s">
        <v>4789</v>
      </c>
      <c r="D262" s="4" t="s">
        <v>4802</v>
      </c>
      <c r="E262" s="4" t="s">
        <v>4801</v>
      </c>
      <c r="F262" s="41" t="str">
        <f t="shared" si="10"/>
        <v>https://www.ssbuy.tw/detail_giftcode/dist/giftcodes/Legend of YMIR.html</v>
      </c>
      <c r="G262" s="4" t="s">
        <v>4791</v>
      </c>
      <c r="H262" s="41" t="str">
        <f t="shared" si="11"/>
        <v>https://www.ssbuy.tw/detail_giftcode/dist/gamedetail/Legend of YMIR.html</v>
      </c>
      <c r="I262" s="42" t="s">
        <v>4803</v>
      </c>
      <c r="J262" s="1" t="s">
        <v>1268</v>
      </c>
      <c r="K262" s="71">
        <v>2355</v>
      </c>
      <c r="L262" s="1" t="s">
        <v>17</v>
      </c>
      <c r="M262" s="71">
        <v>1173</v>
      </c>
      <c r="N262" s="1" t="s">
        <v>64</v>
      </c>
      <c r="O262" s="71">
        <v>780</v>
      </c>
      <c r="P262" s="1" t="s">
        <v>1277</v>
      </c>
      <c r="Q262" s="71">
        <v>256</v>
      </c>
      <c r="R262" s="1" t="s">
        <v>4787</v>
      </c>
      <c r="S262" s="71">
        <v>128</v>
      </c>
      <c r="T262" s="1" t="s">
        <v>285</v>
      </c>
      <c r="U262" s="71">
        <v>77</v>
      </c>
    </row>
    <row r="263" spans="1:31" ht="22.5" customHeight="1" thickBot="1">
      <c r="A263" s="71"/>
      <c r="F263" s="41" t="str">
        <f t="shared" si="10"/>
        <v/>
      </c>
      <c r="H263" s="41" t="str">
        <f t="shared" si="11"/>
        <v/>
      </c>
    </row>
    <row r="264" spans="1:31" ht="22.5" customHeight="1">
      <c r="F264" s="41" t="str">
        <f t="shared" si="10"/>
        <v/>
      </c>
      <c r="H264" s="41" t="str">
        <f t="shared" si="11"/>
        <v/>
      </c>
    </row>
    <row r="265" spans="1:31" ht="22.5" customHeight="1">
      <c r="F265" s="41" t="str">
        <f t="shared" si="10"/>
        <v/>
      </c>
      <c r="H265" s="41" t="str">
        <f t="shared" si="11"/>
        <v/>
      </c>
    </row>
    <row r="266" spans="1:31" ht="22.5" customHeight="1">
      <c r="F266" s="41" t="str">
        <f t="shared" si="10"/>
        <v/>
      </c>
      <c r="H266" s="41" t="str">
        <f t="shared" si="11"/>
        <v/>
      </c>
    </row>
    <row r="267" spans="1:31" ht="22.5" customHeight="1">
      <c r="F267" s="41" t="str">
        <f t="shared" si="10"/>
        <v/>
      </c>
      <c r="H267" s="41" t="str">
        <f t="shared" si="11"/>
        <v/>
      </c>
    </row>
    <row r="268" spans="1:31" ht="22.5" customHeight="1">
      <c r="F268" s="41" t="str">
        <f t="shared" si="10"/>
        <v/>
      </c>
      <c r="H268" s="41" t="str">
        <f t="shared" si="11"/>
        <v/>
      </c>
    </row>
    <row r="269" spans="1:31" ht="22.5" customHeight="1">
      <c r="F269" s="41" t="str">
        <f t="shared" si="10"/>
        <v/>
      </c>
      <c r="H269" s="41" t="str">
        <f t="shared" si="11"/>
        <v/>
      </c>
    </row>
    <row r="270" spans="1:31" ht="22.5" customHeight="1">
      <c r="F270" s="40" t="str">
        <f t="shared" ref="F270:F316" si="12">IF(A270="", "", "gift-codes.html?game=" &amp; A270)</f>
        <v/>
      </c>
      <c r="H270" s="41" t="str">
        <f t="shared" si="11"/>
        <v/>
      </c>
    </row>
    <row r="271" spans="1:31" ht="22.5" customHeight="1">
      <c r="F271" s="40" t="str">
        <f t="shared" si="12"/>
        <v/>
      </c>
      <c r="H271" s="41" t="str">
        <f t="shared" si="11"/>
        <v/>
      </c>
    </row>
    <row r="272" spans="1:31"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si="11"/>
        <v/>
      </c>
    </row>
    <row r="287" spans="6:8" ht="22.5" customHeight="1">
      <c r="F287" s="40" t="str">
        <f t="shared" si="12"/>
        <v/>
      </c>
      <c r="H287" s="41" t="str">
        <f t="shared" si="11"/>
        <v/>
      </c>
    </row>
    <row r="288" spans="6:8" ht="22.5" customHeight="1">
      <c r="F288" s="40" t="str">
        <f t="shared" si="12"/>
        <v/>
      </c>
      <c r="H288" s="41" t="str">
        <f t="shared" ref="H288:H316" si="13">IF(A288="", "", "https://www.ssbuy.tw/game-detail.html?game="&amp;A288)</f>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si="12"/>
        <v/>
      </c>
      <c r="H315" s="41" t="str">
        <f t="shared" si="13"/>
        <v/>
      </c>
    </row>
    <row r="316" spans="6:8" ht="22.5" customHeight="1">
      <c r="F316" s="40" t="str">
        <f t="shared" si="12"/>
        <v/>
      </c>
      <c r="H316" s="41" t="str">
        <f t="shared" si="13"/>
        <v/>
      </c>
    </row>
    <row r="317" spans="6:8" ht="22.5" customHeight="1">
      <c r="F317" s="40" t="str">
        <f t="shared" ref="F317:F380" si="14">IF(A317="", "", "gift-codes.html?game=" &amp; A317)</f>
        <v/>
      </c>
      <c r="H317" s="41" t="str">
        <f t="shared" ref="H317:H380" si="15">IF(A317="", "", "https://www.ssbuy.tw/game-detail.html?game="&amp;A317)</f>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si="14"/>
        <v/>
      </c>
      <c r="H379" s="41" t="str">
        <f t="shared" si="15"/>
        <v/>
      </c>
    </row>
    <row r="380" spans="6:8" ht="22.5" customHeight="1">
      <c r="F380" s="40" t="str">
        <f t="shared" si="14"/>
        <v/>
      </c>
      <c r="H380" s="41" t="str">
        <f t="shared" si="15"/>
        <v/>
      </c>
    </row>
    <row r="381" spans="6:8" ht="22.5" customHeight="1">
      <c r="F381" s="40" t="str">
        <f t="shared" ref="F381:F444" si="16">IF(A381="", "", "gift-codes.html?game=" &amp; A381)</f>
        <v/>
      </c>
      <c r="H381" s="41" t="str">
        <f t="shared" ref="H381:H444" si="17">IF(A381="", "", "https://www.ssbuy.tw/game-detail.html?game="&amp;A381)</f>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ht="22.5" customHeight="1">
      <c r="F435" s="40" t="str">
        <f t="shared" si="16"/>
        <v/>
      </c>
      <c r="H435" s="41" t="str">
        <f t="shared" si="17"/>
        <v/>
      </c>
    </row>
    <row r="436" spans="6:8" ht="22.5" customHeight="1">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si="16"/>
        <v/>
      </c>
      <c r="H443" s="41" t="str">
        <f t="shared" si="17"/>
        <v/>
      </c>
    </row>
    <row r="444" spans="6:8">
      <c r="F444" s="40" t="str">
        <f t="shared" si="16"/>
        <v/>
      </c>
      <c r="H444" s="41" t="str">
        <f t="shared" si="17"/>
        <v/>
      </c>
    </row>
    <row r="445" spans="6:8">
      <c r="F445" s="40" t="str">
        <f t="shared" ref="F445:F508" si="18">IF(A445="", "", "gift-codes.html?game=" &amp; A445)</f>
        <v/>
      </c>
      <c r="H445" s="41" t="str">
        <f t="shared" ref="H445:H508" si="19">IF(A445="", "", "https://www.ssbuy.tw/game-detail.html?game="&amp;A445)</f>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si="18"/>
        <v/>
      </c>
      <c r="H507" s="41" t="str">
        <f t="shared" si="19"/>
        <v/>
      </c>
    </row>
    <row r="508" spans="6:8">
      <c r="F508" s="40" t="str">
        <f t="shared" si="18"/>
        <v/>
      </c>
      <c r="H508" s="41" t="str">
        <f t="shared" si="19"/>
        <v/>
      </c>
    </row>
    <row r="509" spans="6:8">
      <c r="F509" s="40" t="str">
        <f t="shared" ref="F509:F572" si="20">IF(A509="", "", "gift-codes.html?game=" &amp; A509)</f>
        <v/>
      </c>
      <c r="H509" s="41" t="str">
        <f t="shared" ref="H509:H572" si="21">IF(A509="", "", "https://www.ssbuy.tw/game-detail.html?game="&amp;A509)</f>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 t="shared" si="20"/>
        <v/>
      </c>
      <c r="H571" s="41" t="str">
        <f t="shared" si="21"/>
        <v/>
      </c>
    </row>
    <row r="572" spans="6:8">
      <c r="F572" s="40" t="str">
        <f t="shared" si="20"/>
        <v/>
      </c>
      <c r="H572" s="41" t="str">
        <f t="shared" si="21"/>
        <v/>
      </c>
    </row>
    <row r="573" spans="6:8">
      <c r="F573" s="40" t="str">
        <f>IF(A573="", "", "gift-codes.html?game=" &amp; A573)</f>
        <v/>
      </c>
      <c r="H573" s="41" t="str">
        <f t="shared" ref="H573:H631" si="22">IF(A573="", "", "https://www.ssbuy.tw/game-detail.html?game="&amp;A573)</f>
        <v/>
      </c>
    </row>
    <row r="574" spans="6:8">
      <c r="F574" s="40" t="str">
        <f>IF(A574="", "", "gift-codes.html?game=" &amp; A574)</f>
        <v/>
      </c>
      <c r="H574" s="41" t="str">
        <f t="shared" si="22"/>
        <v/>
      </c>
    </row>
    <row r="575" spans="6:8">
      <c r="F575" s="40" t="str">
        <f>IF(A575="", "", "gift-codes.html?game=" &amp; A575)</f>
        <v/>
      </c>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row r="630" spans="8:8">
      <c r="H630" s="41" t="str">
        <f t="shared" si="22"/>
        <v/>
      </c>
    </row>
    <row r="631" spans="8:8">
      <c r="H631"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s>
  <pageMargins left="0.7" right="0.7" top="0.75" bottom="0.75" header="0.3" footer="0.3"/>
  <pageSetup paperSize="9" orientation="portrait" r:id="rId19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F248" activePane="bottomRight" state="frozen"/>
      <selection pane="topRight" activeCell="B1" sqref="B1"/>
      <selection pane="bottomLeft" activeCell="A2" sqref="A2"/>
      <selection pane="bottomRight" activeCell="K261" sqref="K261:L261"/>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4614</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4615</v>
      </c>
      <c r="T119" s="27" t="s">
        <v>2366</v>
      </c>
      <c r="U119" s="28" t="s">
        <v>4616</v>
      </c>
      <c r="V119" s="27" t="s">
        <v>2367</v>
      </c>
      <c r="W119" s="28" t="s">
        <v>4617</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4618</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4419</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4420</v>
      </c>
      <c r="O156" s="18" t="s">
        <v>4421</v>
      </c>
      <c r="Q156" s="18" t="s">
        <v>4422</v>
      </c>
      <c r="S156" s="18" t="s">
        <v>4423</v>
      </c>
      <c r="U156" s="18" t="s">
        <v>4424</v>
      </c>
      <c r="W156" s="18" t="s">
        <v>4425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0" t="s">
        <v>4610</v>
      </c>
      <c r="C173" s="13" t="str">
        <f t="shared" si="6"/>
        <v>giftcodesbanner/奇蹟MU：暴走之翼-禮包碼.jpg</v>
      </c>
      <c r="D173" s="13" t="str">
        <f t="shared" si="5"/>
        <v>https://www.ssbuy.tw/detail_giftcode/dist/giftcodes/奇蹟MU：暴走之翼.html</v>
      </c>
      <c r="E173" s="38" t="s">
        <v>4611</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1"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1"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1"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1"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2" t="s">
        <v>4004</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0"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0" t="s">
        <v>1597</v>
      </c>
      <c r="C182" s="13" t="str">
        <f t="shared" si="6"/>
        <v>giftcodesbanner/超蝦大作戰-禮包碼.jpg</v>
      </c>
      <c r="D182" s="13" t="str">
        <f t="shared" si="5"/>
        <v>https://www.ssbuy.tw/detail_giftcode/dist/giftcodes/超蝦大作戰.html</v>
      </c>
      <c r="E182" s="92" t="s">
        <v>4612</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0"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2" t="s">
        <v>4613</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1" t="s">
        <v>2633</v>
      </c>
      <c r="C186" s="13" t="str">
        <f t="shared" si="6"/>
        <v>giftcodesbanner/未鑑定勇者團-禮包碼.jpg</v>
      </c>
      <c r="D186" s="13" t="str">
        <f t="shared" si="5"/>
        <v>https://www.ssbuy.tw/detail_giftcode/dist/giftcodes/未鑑定勇者團.html</v>
      </c>
      <c r="E186" s="92" t="s">
        <v>4007</v>
      </c>
      <c r="F186" s="34" t="s">
        <v>3470</v>
      </c>
      <c r="G186" s="13" t="s">
        <v>3471</v>
      </c>
      <c r="H186" s="13" t="s">
        <v>2634</v>
      </c>
      <c r="I186" s="13" t="s">
        <v>3472</v>
      </c>
      <c r="K186" s="17" t="s">
        <v>2635</v>
      </c>
      <c r="L186" s="13" t="s">
        <v>3473</v>
      </c>
      <c r="M186" s="18" t="s">
        <v>3474</v>
      </c>
      <c r="N186" s="13" t="s">
        <v>3475</v>
      </c>
    </row>
    <row r="187" spans="1:31" ht="22.5" customHeight="1">
      <c r="A187" s="91" t="s">
        <v>2636</v>
      </c>
      <c r="C187" s="13" t="str">
        <f t="shared" si="6"/>
        <v>giftcodesbanner/戰靈異聞社-禮包碼.jpg</v>
      </c>
      <c r="D187" s="13" t="str">
        <f t="shared" si="5"/>
        <v>https://www.ssbuy.tw/detail_giftcode/dist/giftcodes/戰靈異聞社.html</v>
      </c>
      <c r="E187" s="92" t="s">
        <v>4008</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2"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4619</v>
      </c>
      <c r="M190" s="18" t="s">
        <v>4620</v>
      </c>
      <c r="O190" s="18" t="s">
        <v>4621</v>
      </c>
      <c r="Q190" s="18" t="s">
        <v>4622</v>
      </c>
      <c r="S190" s="18" t="s">
        <v>4623</v>
      </c>
      <c r="U190" s="18" t="s">
        <v>4624</v>
      </c>
      <c r="W190" s="18" t="s">
        <v>4625</v>
      </c>
      <c r="Y190" s="18" t="s">
        <v>4626</v>
      </c>
      <c r="AA190" s="18" t="s">
        <v>4627</v>
      </c>
      <c r="AC190" s="18" t="s">
        <v>4628</v>
      </c>
      <c r="AE190" s="18" t="s">
        <v>4629</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3799</v>
      </c>
      <c r="G206" s="13" t="s">
        <v>3800</v>
      </c>
      <c r="H206" s="13" t="s">
        <v>2625</v>
      </c>
      <c r="I206" s="13" t="s">
        <v>3756</v>
      </c>
      <c r="K206" s="17" t="s">
        <v>3797</v>
      </c>
      <c r="L206" s="13" t="s">
        <v>3798</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3824</v>
      </c>
      <c r="G208" s="13" t="s">
        <v>3825</v>
      </c>
      <c r="H208" s="18" t="s">
        <v>3826</v>
      </c>
      <c r="I208" s="13" t="s">
        <v>2625</v>
      </c>
      <c r="J208" s="14" t="s">
        <v>3827</v>
      </c>
      <c r="K208" s="17" t="s">
        <v>3850</v>
      </c>
      <c r="L208" s="13" t="s">
        <v>3858</v>
      </c>
      <c r="M208" s="17" t="s">
        <v>3851</v>
      </c>
      <c r="N208" s="13" t="s">
        <v>3859</v>
      </c>
      <c r="O208" s="18" t="s">
        <v>3852</v>
      </c>
      <c r="P208" s="13" t="s">
        <v>3860</v>
      </c>
      <c r="Q208" s="18" t="s">
        <v>3853</v>
      </c>
      <c r="R208" s="13" t="s">
        <v>3861</v>
      </c>
      <c r="S208" s="18" t="s">
        <v>3854</v>
      </c>
      <c r="T208" s="13" t="s">
        <v>3862</v>
      </c>
      <c r="U208" s="18" t="s">
        <v>3855</v>
      </c>
      <c r="V208" s="13" t="s">
        <v>3863</v>
      </c>
      <c r="W208" s="18" t="s">
        <v>3856</v>
      </c>
      <c r="X208" s="13" t="s">
        <v>3864</v>
      </c>
      <c r="Y208" s="18" t="s">
        <v>3857</v>
      </c>
      <c r="Z208" s="13" t="s">
        <v>3865</v>
      </c>
      <c r="AA208" s="18" t="s">
        <v>3611</v>
      </c>
      <c r="AB208" s="13" t="s">
        <v>3866</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3815</v>
      </c>
      <c r="L209" s="25" t="s">
        <v>3817</v>
      </c>
      <c r="M209" s="18" t="s">
        <v>3816</v>
      </c>
      <c r="N209" s="13" t="s">
        <v>3818</v>
      </c>
      <c r="O209" s="18" t="s">
        <v>3867</v>
      </c>
      <c r="P209" s="13" t="s">
        <v>3868</v>
      </c>
      <c r="Q209" s="18" t="s">
        <v>3869</v>
      </c>
      <c r="R209" s="13" t="s">
        <v>3870</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3819</v>
      </c>
      <c r="G210" s="13" t="s">
        <v>3820</v>
      </c>
      <c r="H210" s="18" t="s">
        <v>3821</v>
      </c>
      <c r="I210" s="13" t="s">
        <v>3822</v>
      </c>
      <c r="J210" s="13" t="s">
        <v>3823</v>
      </c>
      <c r="K210" s="17" t="s">
        <v>3871</v>
      </c>
      <c r="L210" s="13" t="s">
        <v>3872</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3928</v>
      </c>
      <c r="G216" s="13" t="s">
        <v>2625</v>
      </c>
      <c r="H216" s="13" t="s">
        <v>3929</v>
      </c>
      <c r="K216" s="17" t="s">
        <v>3926</v>
      </c>
      <c r="L216" s="13" t="s">
        <v>3927</v>
      </c>
      <c r="M216" s="18" t="s">
        <v>4150</v>
      </c>
      <c r="O216" s="18" t="s">
        <v>4151</v>
      </c>
      <c r="Q216" s="18" t="s">
        <v>4152</v>
      </c>
      <c r="S216" s="18" t="s">
        <v>4153</v>
      </c>
      <c r="U216" s="18" t="s">
        <v>4154</v>
      </c>
      <c r="W216" s="89" t="s">
        <v>4155</v>
      </c>
      <c r="Y216" s="89" t="s">
        <v>4156</v>
      </c>
      <c r="AA216" s="89" t="s">
        <v>4157</v>
      </c>
      <c r="AC216" s="89" t="s">
        <v>4157</v>
      </c>
      <c r="AE216" s="89" t="s">
        <v>4158</v>
      </c>
      <c r="AG216" s="89" t="s">
        <v>4159</v>
      </c>
      <c r="AI216" s="89" t="s">
        <v>4160</v>
      </c>
      <c r="AK216" s="89" t="s">
        <v>4161</v>
      </c>
      <c r="AM216" s="89" t="s">
        <v>4162</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3933</v>
      </c>
      <c r="G217" s="13" t="s">
        <v>4040</v>
      </c>
      <c r="H217" s="13" t="s">
        <v>4041</v>
      </c>
      <c r="I217" s="13" t="s">
        <v>2625</v>
      </c>
      <c r="K217" s="17" t="s">
        <v>3934</v>
      </c>
      <c r="L217" s="13" t="s">
        <v>3940</v>
      </c>
      <c r="M217" s="18" t="s">
        <v>3935</v>
      </c>
      <c r="N217" s="13" t="s">
        <v>3940</v>
      </c>
      <c r="O217" s="18" t="s">
        <v>3936</v>
      </c>
      <c r="P217" s="13" t="s">
        <v>3940</v>
      </c>
      <c r="Q217" s="18" t="s">
        <v>1933</v>
      </c>
      <c r="R217" s="13" t="s">
        <v>3940</v>
      </c>
      <c r="S217" s="18" t="s">
        <v>3937</v>
      </c>
      <c r="T217" s="13" t="s">
        <v>3940</v>
      </c>
      <c r="U217" s="18" t="s">
        <v>3938</v>
      </c>
      <c r="V217" s="13" t="s">
        <v>3940</v>
      </c>
      <c r="W217" s="18" t="s">
        <v>3939</v>
      </c>
      <c r="X217" s="13" t="s">
        <v>3940</v>
      </c>
      <c r="Y217" s="18" t="s">
        <v>3941</v>
      </c>
      <c r="Z217" s="13" t="s">
        <v>3940</v>
      </c>
      <c r="AA217" s="18" t="s">
        <v>3942</v>
      </c>
      <c r="AB217" s="13" t="s">
        <v>3940</v>
      </c>
      <c r="AC217" s="18" t="s">
        <v>3943</v>
      </c>
      <c r="AD217" s="13" t="s">
        <v>3940</v>
      </c>
      <c r="AE217" s="18" t="s">
        <v>3944</v>
      </c>
      <c r="AF217" s="13" t="s">
        <v>3940</v>
      </c>
      <c r="AG217" s="18" t="s">
        <v>3945</v>
      </c>
      <c r="AH217" s="13" t="s">
        <v>3940</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4100</v>
      </c>
      <c r="L218" s="13" t="s">
        <v>4107</v>
      </c>
      <c r="M218" s="18" t="s">
        <v>4101</v>
      </c>
      <c r="N218" s="13" t="s">
        <v>4107</v>
      </c>
      <c r="O218" s="18" t="s">
        <v>4102</v>
      </c>
      <c r="P218" s="13" t="s">
        <v>4107</v>
      </c>
      <c r="Q218" s="18" t="s">
        <v>4103</v>
      </c>
      <c r="R218" s="13" t="s">
        <v>4107</v>
      </c>
      <c r="S218" s="18" t="s">
        <v>4104</v>
      </c>
      <c r="T218" s="13" t="s">
        <v>4107</v>
      </c>
      <c r="U218" s="18" t="s">
        <v>4105</v>
      </c>
      <c r="V218" s="13" t="s">
        <v>4107</v>
      </c>
      <c r="W218" s="18" t="s">
        <v>4106</v>
      </c>
      <c r="X218" s="13" t="s">
        <v>4107</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3930</v>
      </c>
      <c r="L219" s="13" t="s">
        <v>3931</v>
      </c>
      <c r="M219" s="18" t="s">
        <v>3932</v>
      </c>
      <c r="N219" s="13" t="s">
        <v>3931</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4301</v>
      </c>
      <c r="G220" s="13" t="s">
        <v>4302</v>
      </c>
      <c r="K220" s="17" t="s">
        <v>4303</v>
      </c>
      <c r="L220" s="13" t="s">
        <v>4321</v>
      </c>
      <c r="M220" s="18" t="s">
        <v>4304</v>
      </c>
      <c r="N220" s="89" t="s">
        <v>4322</v>
      </c>
      <c r="O220" s="18" t="s">
        <v>4305</v>
      </c>
      <c r="P220" s="89" t="s">
        <v>4323</v>
      </c>
      <c r="Q220" s="18" t="s">
        <v>4306</v>
      </c>
      <c r="R220" s="89" t="s">
        <v>4323</v>
      </c>
      <c r="S220" s="18" t="s">
        <v>4307</v>
      </c>
      <c r="T220" s="89" t="s">
        <v>4323</v>
      </c>
      <c r="U220" s="18" t="s">
        <v>4308</v>
      </c>
      <c r="V220" s="89" t="s">
        <v>4324</v>
      </c>
      <c r="W220" s="18" t="s">
        <v>4309</v>
      </c>
      <c r="X220" s="89" t="s">
        <v>4324</v>
      </c>
      <c r="Y220" s="18" t="s">
        <v>4310</v>
      </c>
      <c r="Z220" s="89" t="s">
        <v>4324</v>
      </c>
      <c r="AA220" s="18" t="s">
        <v>4311</v>
      </c>
      <c r="AB220" s="89" t="s">
        <v>4324</v>
      </c>
      <c r="AC220" s="18" t="s">
        <v>4312</v>
      </c>
      <c r="AD220" s="89" t="s">
        <v>4325</v>
      </c>
      <c r="AE220" s="18" t="s">
        <v>4313</v>
      </c>
      <c r="AF220" s="89" t="s">
        <v>4326</v>
      </c>
      <c r="AG220" s="18" t="s">
        <v>4314</v>
      </c>
      <c r="AH220" s="89" t="s">
        <v>4326</v>
      </c>
      <c r="AI220" s="18" t="s">
        <v>4315</v>
      </c>
      <c r="AJ220" s="89" t="s">
        <v>4326</v>
      </c>
      <c r="AK220" s="18" t="s">
        <v>4316</v>
      </c>
      <c r="AL220" s="93" t="s">
        <v>4327</v>
      </c>
      <c r="AM220" s="18" t="s">
        <v>4317</v>
      </c>
      <c r="AN220" s="89" t="s">
        <v>4328</v>
      </c>
      <c r="AO220" s="18" t="s">
        <v>4318</v>
      </c>
      <c r="AP220" s="89" t="s">
        <v>4329</v>
      </c>
      <c r="AQ220" s="18" t="s">
        <v>4319</v>
      </c>
      <c r="AR220" s="89" t="s">
        <v>4329</v>
      </c>
      <c r="AS220" s="18" t="s">
        <v>4320</v>
      </c>
      <c r="AT220" s="89" t="s">
        <v>4330</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4052</v>
      </c>
      <c r="G222" s="13" t="s">
        <v>4053</v>
      </c>
      <c r="H222" s="13" t="s">
        <v>2625</v>
      </c>
      <c r="I222" s="13" t="s">
        <v>3756</v>
      </c>
      <c r="K222" s="17" t="s">
        <v>4042</v>
      </c>
      <c r="L222" s="13" t="s">
        <v>4044</v>
      </c>
      <c r="M222" s="18" t="s">
        <v>4043</v>
      </c>
      <c r="N222" s="13" t="s">
        <v>4045</v>
      </c>
      <c r="O222" s="18" t="s">
        <v>4046</v>
      </c>
      <c r="P222" s="13" t="s">
        <v>4047</v>
      </c>
      <c r="Q222" s="18" t="s">
        <v>4048</v>
      </c>
      <c r="R222" s="13" t="s">
        <v>4049</v>
      </c>
      <c r="S222" s="18" t="s">
        <v>4050</v>
      </c>
      <c r="T222" s="13" t="s">
        <v>4051</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4083</v>
      </c>
      <c r="G223" s="13" t="s">
        <v>2625</v>
      </c>
      <c r="H223" s="13" t="s">
        <v>3756</v>
      </c>
      <c r="K223" s="17" t="s">
        <v>4077</v>
      </c>
      <c r="L223" s="13" t="s">
        <v>4081</v>
      </c>
      <c r="M223" s="18" t="s">
        <v>4078</v>
      </c>
      <c r="N223" s="13" t="s">
        <v>4082</v>
      </c>
      <c r="O223" s="18" t="s">
        <v>4079</v>
      </c>
      <c r="P223" s="13" t="s">
        <v>4082</v>
      </c>
      <c r="Q223" s="18" t="s">
        <v>4080</v>
      </c>
      <c r="R223" s="13" t="s">
        <v>4082</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4094</v>
      </c>
      <c r="G224" s="13" t="s">
        <v>4095</v>
      </c>
      <c r="H224" s="13" t="s">
        <v>4096</v>
      </c>
      <c r="I224" s="13" t="s">
        <v>2625</v>
      </c>
      <c r="J224" s="13" t="s">
        <v>3756</v>
      </c>
      <c r="K224" s="17" t="s">
        <v>4088</v>
      </c>
      <c r="L224" s="13" t="s">
        <v>4097</v>
      </c>
      <c r="M224" s="18" t="s">
        <v>4089</v>
      </c>
      <c r="N224" s="13" t="s">
        <v>4098</v>
      </c>
      <c r="O224" s="18" t="s">
        <v>4145</v>
      </c>
      <c r="P224" s="13" t="s">
        <v>4149</v>
      </c>
      <c r="Q224" s="18" t="s">
        <v>4144</v>
      </c>
      <c r="R224" s="13" t="s">
        <v>4149</v>
      </c>
      <c r="S224" s="18" t="s">
        <v>4146</v>
      </c>
      <c r="T224" s="13" t="s">
        <v>4149</v>
      </c>
      <c r="U224" s="18" t="s">
        <v>4147</v>
      </c>
      <c r="V224" s="13" t="s">
        <v>4149</v>
      </c>
      <c r="W224" s="18" t="s">
        <v>4148</v>
      </c>
      <c r="X224" s="13" t="s">
        <v>4149</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4" t="s">
        <v>4392</v>
      </c>
      <c r="G225" s="89" t="s">
        <v>4393</v>
      </c>
      <c r="H225" s="89" t="s">
        <v>4394</v>
      </c>
      <c r="I225" s="89" t="s">
        <v>4395</v>
      </c>
      <c r="J225" s="89" t="s">
        <v>4396</v>
      </c>
      <c r="K225" s="89" t="s">
        <v>4378</v>
      </c>
      <c r="L225" s="13" t="s">
        <v>2640</v>
      </c>
      <c r="M225" s="89" t="s">
        <v>4379</v>
      </c>
      <c r="O225" s="89" t="s">
        <v>4380</v>
      </c>
      <c r="Q225" s="89" t="s">
        <v>4381</v>
      </c>
      <c r="S225" s="89" t="s">
        <v>4382</v>
      </c>
      <c r="U225" s="89" t="s">
        <v>4383</v>
      </c>
      <c r="W225" s="89" t="s">
        <v>4384</v>
      </c>
      <c r="Y225" s="89" t="s">
        <v>4385</v>
      </c>
      <c r="AA225" s="89" t="s">
        <v>4386</v>
      </c>
      <c r="AC225" s="89" t="s">
        <v>4387</v>
      </c>
      <c r="AE225" s="89" t="s">
        <v>4388</v>
      </c>
      <c r="AG225" s="89" t="s">
        <v>4389</v>
      </c>
      <c r="AI225" s="89" t="s">
        <v>4390</v>
      </c>
      <c r="AK225" s="89" t="s">
        <v>4391</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4264</v>
      </c>
      <c r="M227" s="18" t="s">
        <v>4265</v>
      </c>
      <c r="O227" s="18" t="s">
        <v>4266</v>
      </c>
      <c r="Q227" s="89" t="s">
        <v>4397</v>
      </c>
      <c r="R227" s="13" t="s">
        <v>4400</v>
      </c>
      <c r="S227" s="89" t="s">
        <v>4398</v>
      </c>
      <c r="T227" s="13" t="s">
        <v>4400</v>
      </c>
      <c r="U227" s="89" t="s">
        <v>4399</v>
      </c>
      <c r="V227" s="13" t="s">
        <v>4400</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4536</v>
      </c>
      <c r="G228" s="13" t="s">
        <v>4537</v>
      </c>
      <c r="H228" s="13" t="s">
        <v>2625</v>
      </c>
      <c r="I228" s="13" t="s">
        <v>3756</v>
      </c>
      <c r="K228" s="89" t="s">
        <v>1782</v>
      </c>
      <c r="M228" s="89" t="s">
        <v>1714</v>
      </c>
      <c r="O228" s="89" t="s">
        <v>1715</v>
      </c>
      <c r="Q228" s="89" t="s">
        <v>1820</v>
      </c>
      <c r="S228" s="89" t="s">
        <v>4533</v>
      </c>
      <c r="U228" s="89" t="s">
        <v>4534</v>
      </c>
      <c r="W228" s="89" t="s">
        <v>4535</v>
      </c>
      <c r="Y228" s="89" t="s">
        <v>2542</v>
      </c>
      <c r="AA228" s="18" t="s">
        <v>4756</v>
      </c>
      <c r="AC228" s="18" t="s">
        <v>4757</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4299</v>
      </c>
      <c r="G229" s="13" t="s">
        <v>4300</v>
      </c>
      <c r="H229" s="13" t="s">
        <v>2625</v>
      </c>
      <c r="I229" s="13" t="s">
        <v>3756</v>
      </c>
      <c r="K229" s="17" t="s">
        <v>4297</v>
      </c>
      <c r="L229" s="89" t="s">
        <v>4298</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4215</v>
      </c>
      <c r="G230" s="13" t="s">
        <v>4216</v>
      </c>
      <c r="H230" s="13" t="s">
        <v>2625</v>
      </c>
      <c r="I230" s="13" t="s">
        <v>4217</v>
      </c>
      <c r="K230" s="17" t="s">
        <v>4209</v>
      </c>
      <c r="L230" s="13" t="s">
        <v>4207</v>
      </c>
      <c r="M230" s="18" t="s">
        <v>4210</v>
      </c>
      <c r="N230" s="13" t="s">
        <v>4208</v>
      </c>
      <c r="O230" s="18" t="s">
        <v>4211</v>
      </c>
      <c r="P230" s="13" t="s">
        <v>4213</v>
      </c>
      <c r="Q230" s="18" t="s">
        <v>4212</v>
      </c>
      <c r="R230" s="13" t="s">
        <v>4214</v>
      </c>
      <c r="S230" s="18" t="s">
        <v>4218</v>
      </c>
      <c r="T230" s="13" t="s">
        <v>4219</v>
      </c>
      <c r="U230" s="18" t="s">
        <v>4220</v>
      </c>
      <c r="V230" s="13" t="s">
        <v>4221</v>
      </c>
      <c r="W230" s="18" t="s">
        <v>4222</v>
      </c>
      <c r="X230" s="13" t="s">
        <v>4223</v>
      </c>
      <c r="Y230" s="18" t="s">
        <v>4224</v>
      </c>
      <c r="Z230" s="13" t="s">
        <v>4235</v>
      </c>
      <c r="AA230" s="18" t="s">
        <v>4225</v>
      </c>
      <c r="AB230" s="13" t="s">
        <v>4234</v>
      </c>
      <c r="AC230" s="18" t="s">
        <v>4226</v>
      </c>
      <c r="AD230" s="13" t="s">
        <v>4233</v>
      </c>
      <c r="AE230" s="18" t="s">
        <v>4227</v>
      </c>
      <c r="AF230" s="13" t="s">
        <v>4232</v>
      </c>
      <c r="AG230" s="18" t="s">
        <v>4228</v>
      </c>
      <c r="AH230" s="13" t="s">
        <v>4231</v>
      </c>
      <c r="AI230" s="18" t="s">
        <v>4229</v>
      </c>
      <c r="AJ230" s="13" t="s">
        <v>4230</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4094</v>
      </c>
      <c r="G234" s="13" t="s">
        <v>4376</v>
      </c>
      <c r="H234" s="13" t="s">
        <v>2625</v>
      </c>
      <c r="I234" s="13" t="s">
        <v>4377</v>
      </c>
      <c r="K234" s="89" t="s">
        <v>4372</v>
      </c>
      <c r="L234" s="89" t="s">
        <v>4374</v>
      </c>
      <c r="M234" s="89" t="s">
        <v>4373</v>
      </c>
      <c r="N234" s="89" t="s">
        <v>4375</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4094</v>
      </c>
      <c r="G235" s="13" t="s">
        <v>4370</v>
      </c>
      <c r="H235" s="13" t="s">
        <v>2625</v>
      </c>
      <c r="I235" s="13" t="s">
        <v>4371</v>
      </c>
      <c r="K235" s="17" t="s">
        <v>4359</v>
      </c>
      <c r="M235" s="89" t="s">
        <v>4360</v>
      </c>
      <c r="O235" s="89" t="s">
        <v>4361</v>
      </c>
      <c r="Q235" s="89" t="s">
        <v>4362</v>
      </c>
      <c r="S235" s="89" t="s">
        <v>4363</v>
      </c>
      <c r="U235" s="89" t="s">
        <v>4361</v>
      </c>
      <c r="W235" s="89" t="s">
        <v>4364</v>
      </c>
      <c r="Y235" s="95" t="s">
        <v>2299</v>
      </c>
      <c r="Z235" s="95"/>
      <c r="AA235" s="95" t="s">
        <v>4365</v>
      </c>
      <c r="AC235" s="89" t="s">
        <v>2298</v>
      </c>
      <c r="AE235" s="89" t="s">
        <v>1819</v>
      </c>
      <c r="AG235" s="89" t="s">
        <v>1782</v>
      </c>
      <c r="AI235" s="89" t="s">
        <v>1714</v>
      </c>
      <c r="AK235" s="89" t="s">
        <v>1715</v>
      </c>
      <c r="AM235" s="89" t="s">
        <v>1820</v>
      </c>
      <c r="AO235" s="89" t="s">
        <v>4366</v>
      </c>
      <c r="AQ235" s="89" t="s">
        <v>4367</v>
      </c>
      <c r="AS235" s="89" t="s">
        <v>4368</v>
      </c>
      <c r="AU235" s="89" t="s">
        <v>4369</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4" t="s">
        <v>4466</v>
      </c>
      <c r="G236" s="13" t="s">
        <v>4467</v>
      </c>
      <c r="K236" s="89" t="s">
        <v>4468</v>
      </c>
      <c r="M236" s="89" t="s">
        <v>4469</v>
      </c>
      <c r="O236" s="89" t="s">
        <v>4470</v>
      </c>
      <c r="Q236" s="89" t="s">
        <v>4471</v>
      </c>
      <c r="S236" s="89" t="s">
        <v>4472</v>
      </c>
      <c r="U236" s="18" t="s">
        <v>4752</v>
      </c>
      <c r="V236" s="13" t="s">
        <v>4754</v>
      </c>
      <c r="W236" s="18" t="s">
        <v>4753</v>
      </c>
      <c r="X236" s="13" t="s">
        <v>4755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4094</v>
      </c>
      <c r="G237" s="13" t="s">
        <v>4370</v>
      </c>
      <c r="H237" s="13" t="s">
        <v>2625</v>
      </c>
      <c r="I237" s="13" t="s">
        <v>4371</v>
      </c>
      <c r="K237" s="17" t="s">
        <v>3331</v>
      </c>
      <c r="M237" s="18" t="s">
        <v>4541</v>
      </c>
      <c r="O237" s="18" t="s">
        <v>4542</v>
      </c>
      <c r="Q237" s="18" t="s">
        <v>4543</v>
      </c>
      <c r="S237" s="13" t="s">
        <v>4544</v>
      </c>
      <c r="U237" s="18" t="s">
        <v>4545</v>
      </c>
      <c r="W237" s="18" t="s">
        <v>4546</v>
      </c>
      <c r="Y237" s="18" t="s">
        <v>4547</v>
      </c>
      <c r="AA237" s="18" t="s">
        <v>4548</v>
      </c>
      <c r="AC237" s="18" t="s">
        <v>4549</v>
      </c>
      <c r="AE237" s="18" t="s">
        <v>4550</v>
      </c>
      <c r="AG237" s="18" t="s">
        <v>4551</v>
      </c>
      <c r="AI237" s="18" t="s">
        <v>4552</v>
      </c>
      <c r="AK237" s="18" t="s">
        <v>4553</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4094</v>
      </c>
      <c r="G238" s="13" t="s">
        <v>4370</v>
      </c>
      <c r="H238" s="13" t="s">
        <v>2625</v>
      </c>
      <c r="I238" s="13" t="s">
        <v>4371</v>
      </c>
      <c r="K238" s="97" t="s">
        <v>4554</v>
      </c>
      <c r="M238" s="18" t="s">
        <v>4685</v>
      </c>
      <c r="O238" s="18" t="s">
        <v>4686</v>
      </c>
      <c r="Q238" s="18" t="s">
        <v>4687</v>
      </c>
      <c r="S238" s="18" t="s">
        <v>4688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4556</v>
      </c>
      <c r="G239" s="13" t="s">
        <v>4557</v>
      </c>
      <c r="H239" s="13" t="s">
        <v>2625</v>
      </c>
      <c r="I239" s="13" t="s">
        <v>4371</v>
      </c>
      <c r="K239" s="89" t="s">
        <v>4555</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4411</v>
      </c>
      <c r="G240" s="13" t="s">
        <v>4412</v>
      </c>
      <c r="H240" s="13" t="s">
        <v>2625</v>
      </c>
      <c r="I240" s="13" t="s">
        <v>4371</v>
      </c>
      <c r="K240" s="17" t="s">
        <v>4406</v>
      </c>
      <c r="L240" s="13" t="s">
        <v>4408</v>
      </c>
      <c r="M240" s="18" t="s">
        <v>4407</v>
      </c>
      <c r="N240" s="13" t="s">
        <v>4408</v>
      </c>
      <c r="O240" s="18" t="s">
        <v>4409</v>
      </c>
      <c r="P240" s="13" t="s">
        <v>4410</v>
      </c>
    </row>
    <row r="241" spans="1:2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4539</v>
      </c>
      <c r="L241" s="13" t="s">
        <v>4529</v>
      </c>
    </row>
    <row r="242" spans="1:2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6" t="s">
        <v>4540</v>
      </c>
      <c r="G245" s="13" t="s">
        <v>4538</v>
      </c>
      <c r="K245" s="17" t="s">
        <v>4539</v>
      </c>
      <c r="L245" s="13" t="s">
        <v>4529</v>
      </c>
    </row>
    <row r="246" spans="1:2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4539</v>
      </c>
      <c r="G246" s="13" t="s">
        <v>4529</v>
      </c>
      <c r="K246" s="17" t="s">
        <v>4539</v>
      </c>
      <c r="L246" s="13" t="s">
        <v>4529</v>
      </c>
    </row>
    <row r="247" spans="1:2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4530</v>
      </c>
      <c r="G247" s="13" t="s">
        <v>4531</v>
      </c>
      <c r="H247" s="13" t="s">
        <v>2625</v>
      </c>
      <c r="I247" s="13" t="s">
        <v>4371</v>
      </c>
      <c r="K247" s="17" t="s">
        <v>4539</v>
      </c>
      <c r="L247" s="13" t="s">
        <v>4529</v>
      </c>
    </row>
    <row r="248" spans="1:2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4532</v>
      </c>
      <c r="G248" s="13" t="s">
        <v>4412</v>
      </c>
      <c r="H248" s="13" t="s">
        <v>2625</v>
      </c>
      <c r="I248" s="13" t="s">
        <v>4371</v>
      </c>
      <c r="K248" s="17" t="s">
        <v>1932</v>
      </c>
      <c r="L248" s="13" t="s">
        <v>4516</v>
      </c>
      <c r="M248" s="18" t="s">
        <v>4513</v>
      </c>
      <c r="N248" s="13" t="s">
        <v>4517</v>
      </c>
      <c r="O248" s="18" t="s">
        <v>4514</v>
      </c>
      <c r="P248" s="13" t="s">
        <v>4515</v>
      </c>
    </row>
    <row r="249" spans="1:26"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89" t="s">
        <v>4632</v>
      </c>
      <c r="G249" s="13" t="s">
        <v>4633</v>
      </c>
      <c r="K249" s="89" t="s">
        <v>4630</v>
      </c>
      <c r="L249" s="89" t="s">
        <v>4631</v>
      </c>
    </row>
    <row r="250" spans="1:26"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4634</v>
      </c>
      <c r="G250" s="13" t="s">
        <v>4635</v>
      </c>
      <c r="H250" s="13" t="s">
        <v>4636</v>
      </c>
      <c r="K250" s="17" t="s">
        <v>4539</v>
      </c>
      <c r="L250" s="13" t="s">
        <v>4529</v>
      </c>
    </row>
    <row r="251" spans="1:26"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4586</v>
      </c>
      <c r="G251" s="13" t="s">
        <v>4587</v>
      </c>
      <c r="H251" s="13" t="s">
        <v>2625</v>
      </c>
      <c r="I251" s="13" t="s">
        <v>4371</v>
      </c>
      <c r="K251" s="17" t="s">
        <v>4584</v>
      </c>
      <c r="L251" s="13" t="s">
        <v>4585</v>
      </c>
    </row>
    <row r="252" spans="1:26"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4601</v>
      </c>
      <c r="G252" s="13" t="s">
        <v>4602</v>
      </c>
      <c r="H252" s="13" t="s">
        <v>2625</v>
      </c>
      <c r="I252" s="13" t="s">
        <v>4371</v>
      </c>
      <c r="K252" s="17" t="s">
        <v>4581</v>
      </c>
      <c r="L252" s="13" t="s">
        <v>4603</v>
      </c>
      <c r="M252" s="18" t="s">
        <v>4582</v>
      </c>
      <c r="N252" s="13" t="s">
        <v>4604</v>
      </c>
      <c r="O252" s="18" t="s">
        <v>4583</v>
      </c>
      <c r="P252" s="13" t="s">
        <v>4605</v>
      </c>
      <c r="Q252" s="18" t="s">
        <v>1933</v>
      </c>
      <c r="R252" s="13" t="s">
        <v>4606</v>
      </c>
      <c r="S252" s="18" t="s">
        <v>4638</v>
      </c>
      <c r="T252" s="13" t="s">
        <v>4639</v>
      </c>
      <c r="U252" s="18" t="s">
        <v>4637</v>
      </c>
      <c r="V252" s="13" t="s">
        <v>4640</v>
      </c>
      <c r="W252" s="18" t="s">
        <v>4759</v>
      </c>
      <c r="Y252" s="18" t="s">
        <v>4758</v>
      </c>
    </row>
    <row r="253" spans="1:26" ht="22.5" customHeight="1">
      <c r="A253" s="13" t="str">
        <f>IF(games!A253="", "", games!A253)</f>
        <v>奇蹟MU：騎士袋你飛</v>
      </c>
      <c r="C253" s="13" t="str">
        <f t="shared" ref="C253:C316"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4667</v>
      </c>
      <c r="G253" s="13" t="s">
        <v>4668</v>
      </c>
      <c r="H253" s="13" t="s">
        <v>2625</v>
      </c>
      <c r="I253" s="13" t="s">
        <v>4371</v>
      </c>
      <c r="K253" s="17" t="s">
        <v>4649</v>
      </c>
      <c r="L253" s="13" t="s">
        <v>4650</v>
      </c>
      <c r="M253" s="18" t="s">
        <v>4651</v>
      </c>
      <c r="N253" s="13" t="s">
        <v>4652</v>
      </c>
      <c r="O253" s="18" t="s">
        <v>4653</v>
      </c>
      <c r="P253" s="13" t="s">
        <v>4654</v>
      </c>
    </row>
    <row r="254" spans="1:26"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4665</v>
      </c>
      <c r="G254" s="13" t="s">
        <v>4666</v>
      </c>
      <c r="H254" s="13" t="s">
        <v>2625</v>
      </c>
      <c r="I254" s="13" t="s">
        <v>4371</v>
      </c>
      <c r="K254" s="17" t="s">
        <v>4655</v>
      </c>
      <c r="M254" s="18" t="s">
        <v>4656</v>
      </c>
      <c r="O254" s="18" t="s">
        <v>4657</v>
      </c>
      <c r="Q254" s="18" t="s">
        <v>4658</v>
      </c>
      <c r="S254" s="18" t="s">
        <v>4659</v>
      </c>
      <c r="T254" s="13" t="s">
        <v>4661</v>
      </c>
      <c r="U254" s="18" t="s">
        <v>4660</v>
      </c>
      <c r="V254" s="13" t="s">
        <v>4662</v>
      </c>
      <c r="W254" s="18" t="s">
        <v>4583</v>
      </c>
      <c r="X254" s="13" t="s">
        <v>4663</v>
      </c>
      <c r="Y254" s="18" t="s">
        <v>1933</v>
      </c>
      <c r="Z254" s="13" t="s">
        <v>4664</v>
      </c>
    </row>
    <row r="255" spans="1:26"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4713</v>
      </c>
      <c r="G255" s="13" t="s">
        <v>4714</v>
      </c>
      <c r="K255" s="17" t="s">
        <v>4715</v>
      </c>
      <c r="L255" s="13" t="s">
        <v>4716</v>
      </c>
      <c r="M255" s="18" t="s">
        <v>4717</v>
      </c>
      <c r="N255" s="13" t="s">
        <v>4719</v>
      </c>
      <c r="O255" s="18" t="s">
        <v>4718</v>
      </c>
      <c r="P255" s="13" t="s">
        <v>4720</v>
      </c>
    </row>
    <row r="256" spans="1:26"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12"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4723</v>
      </c>
      <c r="G257" s="13" t="s">
        <v>2625</v>
      </c>
      <c r="H257" s="13" t="s">
        <v>4371</v>
      </c>
      <c r="K257" s="17" t="s">
        <v>4721</v>
      </c>
      <c r="L257" s="13" t="s">
        <v>4722</v>
      </c>
    </row>
    <row r="258" spans="1:12"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4539</v>
      </c>
      <c r="G258" s="13" t="s">
        <v>4529</v>
      </c>
      <c r="K258" s="17" t="s">
        <v>4539</v>
      </c>
      <c r="L258" s="13" t="s">
        <v>4529</v>
      </c>
    </row>
    <row r="259" spans="1:12">
      <c r="A259" s="13" t="str">
        <f>IF(games!A259="", "", games!A259)</f>
        <v>少女掌門人</v>
      </c>
      <c r="C259" s="13" t="str">
        <f t="shared" si="9"/>
        <v>giftcodesbanner/少女掌門人-禮包碼.jpg</v>
      </c>
      <c r="D259" s="13" t="str">
        <f t="shared" ref="D259:D269"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7" t="s">
        <v>4539</v>
      </c>
      <c r="G259" s="13" t="s">
        <v>4529</v>
      </c>
      <c r="K259" s="17" t="s">
        <v>4539</v>
      </c>
      <c r="L259" s="13" t="s">
        <v>4529</v>
      </c>
    </row>
    <row r="260" spans="1:12">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《Winged Sakura: AFK Duelists》是一款日系動漫風格的放置型RPG手遊，玩家將化身為「主人」，在現實結構撕裂的「無盡的夢」中，召喚強大的「靈」為榮譽而戰。遊戲主打佛系放置玩法，即使離線也能獲得被動收益，讓你不必再為農資源而苦惱。核心玩法圍繞著回合制自動戰鬥，玩家需要策略性地建立和客製化你的靈隊伍，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v>
      </c>
      <c r="F260" s="17" t="s">
        <v>4539</v>
      </c>
      <c r="G260" s="13" t="s">
        <v>4529</v>
      </c>
      <c r="K260" s="17" t="s">
        <v>4539</v>
      </c>
      <c r="L260" s="13" t="s">
        <v>4529</v>
      </c>
    </row>
    <row r="261" spans="1:12">
      <c r="A261" s="13" t="str">
        <f>IF(games!A261="", "", games!A261)</f>
        <v>Oniro ARPG</v>
      </c>
      <c r="C261" s="13" t="str">
        <f t="shared" si="9"/>
        <v>giftcodesbanner/Oniro ARPG-禮包碼.jpg</v>
      </c>
      <c r="D261" s="13" t="str">
        <f t="shared" si="10"/>
        <v>https://www.ssbuy.tw/detail_giftcode/dist/giftcodes/Oniro ARPG.html</v>
      </c>
      <c r="E261" s="14" t="str">
        <f>IF(games!I261&lt;&gt;"", games!I261, "")</f>
        <v>《Oniro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你將穿梭於破碎的記憶與扭曲的景觀之中，挑戰巨大的頭目，揭開夢境世界背後的秘密。隨著冒險的深入，你可以解鎖並升級更強大的裝備與能力。為了讓你的夢境之旅更加順暢，別忘了隨時留意官方可能發布的兌換碼及禮包碼。如果想在遊戲初期就建立優勢，尋找專業的代儲值服務會是個好選擇，享受快速安全的交易，讓你無懼任何惡夢，成為夢境的守護者！</v>
      </c>
      <c r="F261" s="17" t="s">
        <v>4539</v>
      </c>
      <c r="G261" s="13" t="s">
        <v>4529</v>
      </c>
      <c r="K261" s="17" t="s">
        <v>4539</v>
      </c>
      <c r="L261" s="13" t="s">
        <v>4529</v>
      </c>
    </row>
    <row r="262" spans="1:12">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《Legend of Ymir》是經典 IP《傳奇》系列的嶄新篇章，由 Wemade 採用頂級 Unreal Engine 5 引擎精心打造的次世代 MMORPG。遊戲世界觀植根於神秘的北歐神話，玩家將踏上廣袤的伊米爾大陸，親身體驗一場圍繞著世界樹的史詩級戰爭。本作完美繼承了《傳奇》系列最核心的 PVP 玩法，並將其提升至全新高度，實現了超越伺服器限制的大規模攻城戰。你的每一次戰鬥，都將影響世界的格局。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v>
      </c>
      <c r="F262" s="17" t="s">
        <v>4539</v>
      </c>
      <c r="G262" s="13" t="s">
        <v>4529</v>
      </c>
      <c r="K262" s="17" t="s">
        <v>4539</v>
      </c>
      <c r="L262" s="13" t="s">
        <v>4529</v>
      </c>
    </row>
    <row r="263" spans="1:12">
      <c r="A263" s="13" t="str">
        <f>IF(games!A263="", "", games!A263)</f>
        <v/>
      </c>
      <c r="C263" s="13" t="str">
        <f t="shared" si="9"/>
        <v/>
      </c>
      <c r="D263" s="13" t="str">
        <f t="shared" si="10"/>
        <v/>
      </c>
      <c r="E263" s="14" t="str">
        <f>IF(games!I263&lt;&gt;"", games!I263, "")</f>
        <v/>
      </c>
    </row>
    <row r="264" spans="1:12">
      <c r="A264" s="13" t="str">
        <f>IF(games!A264="", "", games!A264)</f>
        <v/>
      </c>
      <c r="C264" s="13" t="str">
        <f t="shared" si="9"/>
        <v/>
      </c>
      <c r="D264" s="13" t="str">
        <f t="shared" si="10"/>
        <v/>
      </c>
      <c r="E264" s="14" t="str">
        <f>IF(games!I264&lt;&gt;"", games!I264, "")</f>
        <v/>
      </c>
    </row>
    <row r="265" spans="1:12">
      <c r="A265" s="13" t="str">
        <f>IF(games!A265="", "", games!A265)</f>
        <v/>
      </c>
      <c r="C265" s="13" t="str">
        <f t="shared" si="9"/>
        <v/>
      </c>
      <c r="D265" s="13" t="str">
        <f t="shared" si="10"/>
        <v/>
      </c>
      <c r="E265" s="14" t="str">
        <f>IF(games!I265&lt;&gt;"", games!I265, "")</f>
        <v/>
      </c>
    </row>
    <row r="266" spans="1:12">
      <c r="A266" s="13" t="str">
        <f>IF(games!A266="", "", games!A266)</f>
        <v/>
      </c>
      <c r="C266" s="13" t="str">
        <f t="shared" si="9"/>
        <v/>
      </c>
      <c r="D266" s="13" t="str">
        <f t="shared" si="10"/>
        <v/>
      </c>
      <c r="E266" s="14" t="str">
        <f>IF(games!I266&lt;&gt;"", games!I266, "")</f>
        <v/>
      </c>
    </row>
    <row r="267" spans="1:12">
      <c r="A267" s="13" t="str">
        <f>IF(games!A267="", "", games!A267)</f>
        <v/>
      </c>
      <c r="C267" s="13" t="str">
        <f t="shared" si="9"/>
        <v/>
      </c>
      <c r="D267" s="13" t="str">
        <f t="shared" si="10"/>
        <v/>
      </c>
      <c r="E267" s="14" t="str">
        <f>IF(games!I267&lt;&gt;"", games!I267, "")</f>
        <v/>
      </c>
    </row>
    <row r="268" spans="1:12">
      <c r="A268" s="13" t="str">
        <f>IF(games!A268="", "", games!A268)</f>
        <v/>
      </c>
      <c r="C268" s="13" t="str">
        <f t="shared" si="9"/>
        <v/>
      </c>
      <c r="D268" s="13" t="str">
        <f t="shared" si="10"/>
        <v/>
      </c>
      <c r="E268" s="14" t="str">
        <f>IF(games!I268&lt;&gt;"", games!I268, "")</f>
        <v/>
      </c>
    </row>
    <row r="269" spans="1:12">
      <c r="A269" s="13" t="str">
        <f>IF(games!A269="", "", games!A269)</f>
        <v/>
      </c>
      <c r="C269" s="13" t="str">
        <f t="shared" si="9"/>
        <v/>
      </c>
      <c r="D269" s="13" t="str">
        <f t="shared" si="10"/>
        <v/>
      </c>
      <c r="E269" s="14" t="str">
        <f>IF(games!I269&lt;&gt;"", games!I269, "")</f>
        <v/>
      </c>
    </row>
    <row r="270" spans="1:12">
      <c r="A270" s="13" t="str">
        <f>IF(games!A270="", "", games!A270)</f>
        <v/>
      </c>
      <c r="C270" s="13" t="str">
        <f t="shared" si="9"/>
        <v/>
      </c>
      <c r="D270" s="13" t="str">
        <f t="shared" ref="D270:D316" si="11">IF(A270="","", "https://www.ssbuy.tw/gift-codes.html?game="&amp;A270)</f>
        <v/>
      </c>
      <c r="E270" s="14" t="str">
        <f>IF(games!I270&lt;&gt;"", games!I270, "")</f>
        <v/>
      </c>
    </row>
    <row r="271" spans="1:12">
      <c r="A271" s="13" t="str">
        <f>IF(games!A271="", "", games!A271)</f>
        <v/>
      </c>
      <c r="C271" s="13" t="str">
        <f t="shared" si="9"/>
        <v/>
      </c>
      <c r="D271" s="13" t="str">
        <f t="shared" si="11"/>
        <v/>
      </c>
      <c r="E271" s="14" t="str">
        <f>IF(games!I271&lt;&gt;"", games!I271, "")</f>
        <v/>
      </c>
    </row>
    <row r="272" spans="1:12">
      <c r="A272" s="13" t="str">
        <f>IF(games!A272="", "", games!A272)</f>
        <v/>
      </c>
      <c r="C272" s="13" t="str">
        <f t="shared" si="9"/>
        <v/>
      </c>
      <c r="D272" s="13" t="str">
        <f t="shared" si="11"/>
        <v/>
      </c>
      <c r="E272" s="14" t="str">
        <f>IF(games!I272&lt;&gt;"", games!I272, "")</f>
        <v/>
      </c>
    </row>
    <row r="273" spans="1:5">
      <c r="A273" s="13" t="str">
        <f>IF(games!A273="", "", games!A273)</f>
        <v/>
      </c>
      <c r="C273" s="13" t="str">
        <f t="shared" si="9"/>
        <v/>
      </c>
      <c r="D273" s="13" t="str">
        <f t="shared" si="11"/>
        <v/>
      </c>
      <c r="E273" s="14" t="str">
        <f>IF(games!I273&lt;&gt;"", games!I273, "")</f>
        <v/>
      </c>
    </row>
    <row r="274" spans="1:5">
      <c r="A274" s="13" t="str">
        <f>IF(games!A274="", "", games!A274)</f>
        <v/>
      </c>
      <c r="C274" s="13" t="str">
        <f t="shared" si="9"/>
        <v/>
      </c>
      <c r="D274" s="13" t="str">
        <f t="shared" si="11"/>
        <v/>
      </c>
      <c r="E274" s="14" t="str">
        <f>IF(games!I274&lt;&gt;"", games!I274, "")</f>
        <v/>
      </c>
    </row>
    <row r="275" spans="1:5">
      <c r="A275" s="13" t="str">
        <f>IF(games!A275="", "", games!A275)</f>
        <v/>
      </c>
      <c r="C275" s="13" t="str">
        <f t="shared" si="9"/>
        <v/>
      </c>
      <c r="D275" s="13" t="str">
        <f t="shared" si="11"/>
        <v/>
      </c>
      <c r="E275" s="14" t="str">
        <f>IF(games!I275&lt;&gt;"", games!I275, "")</f>
        <v/>
      </c>
    </row>
    <row r="276" spans="1:5">
      <c r="A276" s="13" t="str">
        <f>IF(games!A276="", "", games!A276)</f>
        <v/>
      </c>
      <c r="C276" s="13" t="str">
        <f t="shared" si="9"/>
        <v/>
      </c>
      <c r="D276" s="13" t="str">
        <f t="shared" si="11"/>
        <v/>
      </c>
    </row>
    <row r="277" spans="1:5">
      <c r="A277" s="13" t="str">
        <f>IF(games!A277="", "", games!A277)</f>
        <v/>
      </c>
      <c r="C277" s="13" t="str">
        <f t="shared" si="9"/>
        <v/>
      </c>
      <c r="D277" s="13" t="str">
        <f t="shared" si="11"/>
        <v/>
      </c>
    </row>
    <row r="278" spans="1:5">
      <c r="A278" s="13" t="str">
        <f>IF(games!A278="", "", games!A278)</f>
        <v/>
      </c>
      <c r="C278" s="13" t="str">
        <f t="shared" si="9"/>
        <v/>
      </c>
      <c r="D278" s="13" t="str">
        <f t="shared" si="11"/>
        <v/>
      </c>
    </row>
    <row r="279" spans="1:5">
      <c r="A279" s="13" t="str">
        <f>IF(games!A279="", "", games!A279)</f>
        <v/>
      </c>
      <c r="C279" s="13" t="str">
        <f t="shared" si="9"/>
        <v/>
      </c>
      <c r="D279" s="13" t="str">
        <f t="shared" si="11"/>
        <v/>
      </c>
    </row>
    <row r="280" spans="1:5">
      <c r="A280" s="13" t="str">
        <f>IF(games!A280="", "", games!A280)</f>
        <v/>
      </c>
      <c r="C280" s="13" t="str">
        <f t="shared" si="9"/>
        <v/>
      </c>
      <c r="D280" s="13" t="str">
        <f t="shared" si="11"/>
        <v/>
      </c>
    </row>
    <row r="281" spans="1:5">
      <c r="A281" s="13" t="str">
        <f>IF(games!A281="", "", games!A281)</f>
        <v/>
      </c>
      <c r="C281" s="13" t="str">
        <f t="shared" si="9"/>
        <v/>
      </c>
      <c r="D281" s="13" t="str">
        <f t="shared" si="11"/>
        <v/>
      </c>
    </row>
    <row r="282" spans="1:5">
      <c r="A282" s="13" t="str">
        <f>IF(games!A282="", "", games!A282)</f>
        <v/>
      </c>
      <c r="C282" s="13" t="str">
        <f t="shared" si="9"/>
        <v/>
      </c>
      <c r="D282" s="13" t="str">
        <f t="shared" si="11"/>
        <v/>
      </c>
    </row>
    <row r="283" spans="1:5">
      <c r="A283" s="13" t="str">
        <f>IF(games!A283="", "", games!A283)</f>
        <v/>
      </c>
      <c r="C283" s="13" t="str">
        <f t="shared" si="9"/>
        <v/>
      </c>
      <c r="D283" s="13" t="str">
        <f t="shared" si="11"/>
        <v/>
      </c>
    </row>
    <row r="284" spans="1:5">
      <c r="A284" s="13" t="str">
        <f>IF(games!A284="", "", games!A284)</f>
        <v/>
      </c>
      <c r="C284" s="13" t="str">
        <f t="shared" si="9"/>
        <v/>
      </c>
      <c r="D284" s="13" t="str">
        <f t="shared" si="11"/>
        <v/>
      </c>
    </row>
    <row r="285" spans="1:5">
      <c r="A285" s="13" t="str">
        <f>IF(games!A285="", "", games!A285)</f>
        <v/>
      </c>
      <c r="C285" s="13" t="str">
        <f t="shared" si="9"/>
        <v/>
      </c>
      <c r="D285" s="13" t="str">
        <f t="shared" si="11"/>
        <v/>
      </c>
    </row>
    <row r="286" spans="1:5">
      <c r="A286" s="13" t="str">
        <f>IF(games!A286="", "", games!A286)</f>
        <v/>
      </c>
      <c r="C286" s="13" t="str">
        <f t="shared" si="9"/>
        <v/>
      </c>
      <c r="D286" s="13" t="str">
        <f t="shared" si="11"/>
        <v/>
      </c>
    </row>
    <row r="287" spans="1:5">
      <c r="A287" s="13" t="str">
        <f>IF(games!A287="", "", games!A287)</f>
        <v/>
      </c>
      <c r="C287" s="13" t="str">
        <f t="shared" si="9"/>
        <v/>
      </c>
      <c r="D287" s="13" t="str">
        <f t="shared" si="11"/>
        <v/>
      </c>
    </row>
    <row r="288" spans="1:5">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2025-10-01T10:40:22Z</dcterms:modified>
</cp:coreProperties>
</file>