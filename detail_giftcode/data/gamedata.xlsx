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195" i="3" l="1"/>
  <c r="E196" i="3"/>
  <c r="E197" i="3"/>
  <c r="E198"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E191" i="3"/>
  <c r="E190" i="3"/>
  <c r="A190" i="3"/>
  <c r="D190" i="3" s="1"/>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<sst xmlns="http://schemas.openxmlformats.org/spreadsheetml/2006/main" count="5487" uniqueCount="3681">
  <si>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</si>
  <si>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</si>
  <si>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</si>
  <si>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</si>
  <si>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</si>
  <si>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</si>
  <si>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</si>
  <si>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</si>
  <si>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</si>
  <si>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</si>
  <si>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</si>
  <si>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</si>
  <si>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</si>
  <si>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</si>
  <si>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</si>
  <si>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</si>
  <si>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</si>
  <si>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</si>
  <si>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</si>
  <si>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</si>
  <si>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</si>
  <si>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</si>
  <si>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</si>
  <si>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</si>
  <si>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</si>
  <si>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</si>
  <si>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</si>
  <si>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</si>
  <si>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</si>
  <si>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</si>
  <si>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</si>
  <si>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</si>
  <si>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</si>
  <si>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</si>
  <si>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</si>
  <si>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</si>
  <si>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</si>
  <si>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</si>
  <si>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</si>
  <si>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</si>
  <si>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</si>
  <si>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</si>
  <si>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</si>
  <si>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</si>
  <si>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</si>
  <si>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</si>
  <si>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</si>
  <si>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</si>
  <si>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</si>
  <si>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</si>
  <si>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</si>
  <si>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</si>
  <si>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</si>
  <si>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</si>
  <si>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</si>
  <si>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</si>
  <si>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</si>
  <si>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</si>
  <si>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</si>
  <si>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</si>
  <si>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</si>
  <si>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</si>
  <si>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</si>
  <si>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</si>
  <si>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</si>
  <si>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</si>
  <si>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</si>
  <si>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</si>
  <si>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</si>
  <si>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</si>
  <si>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</si>
  <si>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</si>
  <si>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</si>
  <si>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</si>
  <si>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</si>
  <si>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</si>
  <si>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</si>
  <si>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</si>
  <si>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</si>
  <si>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</si>
  <si>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</si>
  <si>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</si>
  <si>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</si>
  <si>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</si>
  <si>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</si>
  <si>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</si>
  <si>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</si>
  <si>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</si>
  <si>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</si>
  <si>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</si>
  <si>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</si>
  <si>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</si>
  <si>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</si>
  <si>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</si>
  <si>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</si>
  <si>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</si>
  <si>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</si>
  <si>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</si>
  <si>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</si>
  <si>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</si>
  <si>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</si>
  <si>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</si>
  <si>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</si>
  <si>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</si>
  <si>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</si>
  <si>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</si>
  <si>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</si>
  <si>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</si>
  <si>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</si>
  <si>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</si>
  <si>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</si>
  <si>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</si>
  <si>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</si>
  <si>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</si>
  <si>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</si>
  <si>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</si>
  <si>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</si>
  <si>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</si>
  <si>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</si>
  <si>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</si>
  <si>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</si>
  <si>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</si>
  <si>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</si>
  <si>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</si>
  <si>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</si>
  <si>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</si>
  <si>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</si>
  <si>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</si>
  <si>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</si>
  <si>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</si>
  <si>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</si>
  <si>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</si>
  <si>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</si>
  <si>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</si>
  <si>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</si>
  <si>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</si>
  <si>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</si>
  <si>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</si>
  <si>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</si>
  <si>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</si>
  <si>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</si>
  <si>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</si>
  <si>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</si>
  <si>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</si>
  <si>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</si>
  <si>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</si>
  <si>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</si>
  <si>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</si>
  <si>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</si>
  <si>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</si>
  <si>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</si>
  <si>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</si>
  <si>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</si>
  <si>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</si>
  <si>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</si>
  <si>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</si>
  <si>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</si>
  <si>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</si>
  <si>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</si>
  <si>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</si>
  <si>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</si>
  <si>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</si>
  <si>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</si>
  <si>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</si>
  <si>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</si>
  <si>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</si>
  <si>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</si>
  <si>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</si>
  <si>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</si>
  <si>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</si>
  <si>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</si>
  <si>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</si>
  <si>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</si>
  <si>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</si>
  <si>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</si>
  <si>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</si>
  <si>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</si>
  <si>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</si>
  <si>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</si>
  <si>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</si>
  <si>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</si>
  <si>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</si>
  <si>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</si>
  <si>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</si>
  <si>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</si>
  <si>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</si>
  <si>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</si>
  <si>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</si>
  <si>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</si>
  <si>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</si>
  <si>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</si>
  <si>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</si>
  <si>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</si>
  <si>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</si>
  <si>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</si>
  <si>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</si>
  <si>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</si>
  <si>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</si>
  <si>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</si>
  <si>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</si>
  <si>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</si>
  <si>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</si>
  <si>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</si>
  <si>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</si>
  <si>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</si>
  <si>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</si>
  <si>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</si>
  <si>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</si>
  <si>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</si>
  <si>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</si>
  <si>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</si>
  <si>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</si>
  <si>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</si>
  <si>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</si>
  <si>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</si>
  <si>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</si>
  <si>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</si>
  <si>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</si>
  <si>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</si>
  <si>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</si>
  <si>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</si>
  <si>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</si>
  <si>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</si>
  <si>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</si>
  <si>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</si>
  <si>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</si>
  <si>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</si>
  <si>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</si>
  <si>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</si>
  <si>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</si>
  <si>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</si>
  <si>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</si>
  <si>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</si>
  <si>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</si>
  <si>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</si>
  <si>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</si>
  <si>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</si>
  <si>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</si>
  <si>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</si>
  <si>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</si>
  <si>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</si>
  <si>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</si>
  <si>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</si>
  <si>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</si>
  <si>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</si>
  <si>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</si>
  <si>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</si>
  <si>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</si>
  <si>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</si>
  <si>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</si>
  <si>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</si>
  <si>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</si>
  <si>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</si>
  <si>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</si>
  <si>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</si>
  <si>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</si>
  <si>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</si>
  <si>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</si>
  <si>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</si>
  <si>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</si>
  <si>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</si>
  <si>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</si>
  <si>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</si>
  <si>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</si>
  <si>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</si>
  <si>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</si>
  <si>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</si>
  <si>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</si>
  <si>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</si>
  <si>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</si>
  <si>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</si>
  <si>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</si>
  <si>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</si>
  <si>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</si>
  <si>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</si>
  <si>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</si>
  <si>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</si>
  <si>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</si>
  <si>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</si>
  <si>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</si>
  <si>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</si>
  <si>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</si>
  <si>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</si>
  <si>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</si>
  <si>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</si>
  <si>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</si>
  <si>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</si>
  <si>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</si>
  <si>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</si>
  <si>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</si>
  <si>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</si>
  <si>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</si>
  <si>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</si>
  <si>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</si>
  <si>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</si>
  <si>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</si>
  <si>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</si>
  <si>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</si>
  <si>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</si>
  <si>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</si>
  <si>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</si>
  <si>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</si>
  <si>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</si>
  <si>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</si>
  <si>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</si>
  <si>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</si>
  <si>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</si>
  <si>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</si>
  <si>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</si>
  <si>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</si>
  <si>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</si>
  <si>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</si>
  <si>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</si>
  <si>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</si>
  <si>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</si>
  <si>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</si>
  <si>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</si>
  <si>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</si>
  <si>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</si>
  <si>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</si>
  <si>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</si>
  <si>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</si>
  <si>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</si>
  <si>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</si>
  <si>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</si>
  <si>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</si>
  <si>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</si>
  <si>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</si>
  <si>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</si>
  <si>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</si>
  <si>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</si>
  <si>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</si>
  <si>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</si>
  <si>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</si>
  <si>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</si>
  <si>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</si>
  <si>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</si>
  <si>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</si>
  <si>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</si>
  <si>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</si>
  <si>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</si>
  <si>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</si>
  <si>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</si>
  <si>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</si>
  <si>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</si>
  <si>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</si>
  <si>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</si>
  <si>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</si>
  <si>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</si>
  <si>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</si>
  <si>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</si>
  <si>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</si>
  <si>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</si>
  <si>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</si>
  <si>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</si>
  <si>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</si>
  <si>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</si>
  <si>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</si>
  <si>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</si>
  <si>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</si>
  <si>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</si>
  <si>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</si>
  <si>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</si>
  <si>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</si>
  <si>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</si>
  <si>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</si>
  <si>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</si>
  <si>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</si>
  <si>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</si>
  <si>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</si>
  <si>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</si>
  <si>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</si>
  <si>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</si>
  <si>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</si>
  <si>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</si>
  <si>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</si>
  <si>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</si>
  <si>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</si>
  <si>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</si>
  <si>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</si>
  <si>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</si>
  <si>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</si>
  <si>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</si>
  <si>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</si>
  <si>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</si>
  <si>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</si>
  <si>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</si>
  <si>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</si>
  <si>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</si>
  <si>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</si>
  <si>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</si>
  <si>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</si>
  <si>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</si>
  <si>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</si>
  <si>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</si>
  <si>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</si>
  <si>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</si>
  <si>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</si>
  <si>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</si>
  <si>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</si>
  <si>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</si>
  <si>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</si>
  <si>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</si>
  <si>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</si>
  <si>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</si>
  <si>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</si>
  <si>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</si>
  <si>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</si>
  <si>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</si>
  <si>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</si>
  <si>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</si>
  <si>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</si>
  <si>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</si>
  <si>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</si>
  <si>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</si>
  <si>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</si>
  <si>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</si>
  <si>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</si>
  <si>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</si>
  <si>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</si>
  <si>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</si>
  <si>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</si>
  <si>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</si>
  <si>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</si>
  <si>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</si>
  <si>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</si>
  <si>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</si>
  <si>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</si>
  <si>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</si>
  <si>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</si>
  <si>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</si>
  <si>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</si>
  <si>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</si>
  <si>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</si>
  <si>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</si>
  <si>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</si>
  <si>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</si>
  <si>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</si>
  <si>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</si>
  <si>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</si>
  <si>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</si>
  <si>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</si>
  <si>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</si>
  <si>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</si>
  <si>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</si>
  <si>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</si>
  <si>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</si>
  <si>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</si>
  <si>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</si>
  <si>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</si>
  <si>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</si>
  <si>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</si>
  <si>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</si>
  <si>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</si>
  <si>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</si>
  <si>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</si>
  <si>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</si>
  <si>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</si>
  <si>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</si>
  <si>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</si>
  <si>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</si>
  <si>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</si>
  <si>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</si>
  <si>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</si>
  <si>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</si>
  <si>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</si>
  <si>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</si>
  <si>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</si>
  <si>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</si>
  <si>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</si>
  <si>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</si>
  <si>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</si>
  <si>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</si>
  <si>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</si>
  <si>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</si>
  <si>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</si>
  <si>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</si>
  <si>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</si>
  <si>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</si>
  <si>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</si>
  <si>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</si>
  <si>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</si>
  <si>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</si>
  <si>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</si>
  <si>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</si>
  <si>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</si>
  <si>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</si>
  <si>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</si>
  <si>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</si>
  <si>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</si>
  <si>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</si>
  <si>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</si>
  <si>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</si>
  <si>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</si>
  <si>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</si>
  <si>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</si>
  <si>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</si>
  <si>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</si>
  <si>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</si>
  <si>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</si>
  <si>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</si>
  <si>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</si>
  <si>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</si>
  <si>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</si>
  <si>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</si>
  <si>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</si>
  <si>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</si>
  <si>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</si>
  <si>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</si>
  <si>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</si>
  <si>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</si>
  <si>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</si>
  <si>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</si>
  <si>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</si>
  <si>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</si>
  <si>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</si>
  <si>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</si>
  <si>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</si>
  <si>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</si>
  <si>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</si>
  <si>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</si>
  <si>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</si>
  <si>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</si>
  <si>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</si>
  <si>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</si>
  <si>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</si>
  <si>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</si>
  <si>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</si>
  <si>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</si>
  <si>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</si>
  <si>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</si>
  <si>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</si>
  <si>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</si>
  <si>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</si>
  <si>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</si>
  <si>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</si>
  <si>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</si>
  <si>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</si>
  <si>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</si>
  <si>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</si>
  <si>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</si>
  <si>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</si>
  <si>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</si>
  <si>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</si>
  <si>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</si>
  <si>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</si>
  <si>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</si>
  <si>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</si>
  <si>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</si>
  <si>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</si>
  <si>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</si>
  <si>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</si>
  <si>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</si>
  <si>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</si>
  <si>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</si>
  <si>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</si>
  <si>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</si>
  <si>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</si>
  <si>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</si>
  <si>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</si>
  <si>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</si>
  <si>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</si>
  <si>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</si>
  <si>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</si>
  <si>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</si>
  <si>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</si>
  <si>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</si>
  <si>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</si>
  <si>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</si>
  <si>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</si>
  <si>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</si>
  <si>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</si>
  <si>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</si>
  <si>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</si>
  <si>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</si>
  <si>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</si>
  <si>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</si>
  <si>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</si>
  <si>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</si>
  <si>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</si>
  <si>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</si>
  <si>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</si>
  <si>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</si>
  <si>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</si>
  <si>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</si>
  <si>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</si>
  <si>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</si>
  <si>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</si>
  <si>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</si>
  <si>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</si>
  <si>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</si>
  <si>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</si>
  <si>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</si>
  <si>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</si>
  <si>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</si>
  <si>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</si>
  <si>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</si>
  <si>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</si>
  <si>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</si>
  <si>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</si>
  <si>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</si>
  <si>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</si>
  <si>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</si>
  <si>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</si>
  <si>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</si>
  <si>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</si>
  <si>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</si>
  <si>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</si>
  <si>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</si>
  <si>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</si>
  <si>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</si>
  <si>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</si>
  <si>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</si>
  <si>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</si>
  <si>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</si>
  <si>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</si>
  <si>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</si>
  <si>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</si>
  <si>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</si>
  <si>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</si>
  <si>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</si>
  <si>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</si>
  <si>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</si>
  <si>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</si>
  <si>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</si>
  <si>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</si>
  <si>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</si>
  <si>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</si>
  <si>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</si>
  <si>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</si>
  <si>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</si>
  <si>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</si>
  <si>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</si>
  <si>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</si>
  <si>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</si>
  <si>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</si>
  <si>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</si>
  <si>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</si>
  <si>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</si>
  <si>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</si>
  <si>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</si>
  <si>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</si>
  <si>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</si>
  <si>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</si>
  <si>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</si>
  <si>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</si>
  <si>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</si>
  <si>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</si>
  <si>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</si>
  <si>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</si>
  <si>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</si>
  <si>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</si>
  <si>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</si>
  <si>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</si>
  <si>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</si>
  <si>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</si>
  <si>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</si>
  <si>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</si>
  <si>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</si>
  <si>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</si>
  <si>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</si>
  <si>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</si>
  <si>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</si>
  <si>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</si>
  <si>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</si>
  <si>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</si>
  <si>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</si>
  <si>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</si>
  <si>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</si>
  <si>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</si>
  <si>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</si>
  <si>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</si>
  <si>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</si>
  <si>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</si>
  <si>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</si>
  <si>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</si>
  <si>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</si>
  <si>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</si>
  <si>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</si>
  <si>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</si>
  <si>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</si>
  <si>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</si>
  <si>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</si>
  <si>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</si>
  <si>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</si>
  <si>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</si>
  <si>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</si>
  <si>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</si>
  <si>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</si>
  <si>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</si>
  <si>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</si>
  <si>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</si>
  <si>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</si>
  <si>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</si>
  <si>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</si>
  <si>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</si>
  <si>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</si>
  <si>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</si>
  <si>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</si>
  <si>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</si>
  <si>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</si>
  <si>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</si>
  <si>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</si>
  <si>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</si>
  <si>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</si>
  <si>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</si>
  <si>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</si>
  <si>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</si>
  <si>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</si>
  <si>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</si>
  <si>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</si>
  <si>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</si>
  <si>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</si>
  <si>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</si>
  <si>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</si>
  <si>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</si>
  <si>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</si>
  <si>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</si>
  <si>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</si>
  <si>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</si>
  <si>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</si>
  <si>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</si>
  <si>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</si>
  <si>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</si>
  <si>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</si>
  <si>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</si>
  <si>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</si>
  <si>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</si>
  <si>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</si>
  <si>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</si>
  <si>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</si>
  <si>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</si>
  <si>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</si>
  <si>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</si>
  <si>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</si>
  <si>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</si>
  <si>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</si>
  <si>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</si>
  <si>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</si>
  <si>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</si>
  <si>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</si>
  <si>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</si>
  <si>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</si>
  <si>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</si>
  <si>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</si>
  <si>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</si>
  <si>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</si>
  <si>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</si>
  <si>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</si>
  <si>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</si>
  <si>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</si>
  <si>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</si>
  <si>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</si>
  <si>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</si>
  <si>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</si>
  <si>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</si>
  <si>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</si>
  <si>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</si>
  <si>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</si>
  <si>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</si>
  <si>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</si>
  <si>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</si>
  <si>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</si>
  <si>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</si>
  <si>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</si>
  <si>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</si>
  <si>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</si>
  <si>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</si>
  <si>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</si>
  <si>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</si>
  <si>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</si>
  <si>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</si>
  <si>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</si>
  <si>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</si>
  <si>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</si>
  <si>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</si>
  <si>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</si>
  <si>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</si>
  <si>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</si>
  <si>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</si>
  <si>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</si>
  <si>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</si>
  <si>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</si>
  <si>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</si>
  <si>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</si>
  <si>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</si>
  <si>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</si>
  <si>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</si>
  <si>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</si>
  <si>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</si>
  <si>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</si>
  <si>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</si>
  <si>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</si>
  <si>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</si>
  <si>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</si>
  <si>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</si>
  <si>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</si>
  <si>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</si>
  <si>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</si>
  <si>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</si>
  <si>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</si>
  <si>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</si>
  <si>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</si>
  <si>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</si>
  <si>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</si>
  <si>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</si>
  <si>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</si>
  <si>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</si>
  <si>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</si>
  <si>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</si>
  <si>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</si>
  <si>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</si>
  <si>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</si>
  <si>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</si>
  <si>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</si>
  <si>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</si>
  <si>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</si>
  <si>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</si>
  <si>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</si>
  <si>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</si>
  <si>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</si>
  <si>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</si>
  <si>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</si>
  <si>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</si>
  <si>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</si>
  <si>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</si>
  <si>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</si>
  <si>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</si>
  <si>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</si>
  <si>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</si>
  <si>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</si>
  <si>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</si>
  <si>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</si>
  <si>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</si>
  <si>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</si>
  <si>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</si>
  <si>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</si>
  <si>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</si>
  <si>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</si>
  <si>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</si>
  <si>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</si>
  <si>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</si>
  <si>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</si>
  <si>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</si>
  <si>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</si>
  <si>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</si>
  <si>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</si>
  <si>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</si>
  <si>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</si>
  <si>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</si>
  <si>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</si>
  <si>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</si>
  <si>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</si>
  <si>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</si>
  <si>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</si>
  <si>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</si>
  <si>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</si>
  <si>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</si>
  <si>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</si>
  <si>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</si>
  <si>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</si>
  <si>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</si>
  <si>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</si>
  <si>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</si>
  <si>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</si>
  <si>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</si>
  <si>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</si>
  <si>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</si>
  <si>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</si>
  <si>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</si>
  <si>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</si>
  <si>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</si>
  <si>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</si>
  <si>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</si>
  <si>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</si>
  <si>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</si>
  <si>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</si>
  <si>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</si>
  <si>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</si>
  <si>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</si>
  <si>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</si>
  <si>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</si>
  <si>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</si>
  <si>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</si>
  <si>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</si>
  <si>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</si>
  <si>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</si>
  <si>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</si>
  <si>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</si>
  <si>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</si>
  <si>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</si>
  <si>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</si>
  <si>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</si>
  <si>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</si>
  <si>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</si>
  <si>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</si>
  <si>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</si>
  <si>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</si>
  <si>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</si>
  <si>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</si>
  <si>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</si>
  <si>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</si>
  <si>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</si>
  <si>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</si>
  <si>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</si>
  <si>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</si>
  <si>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</si>
  <si>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</si>
  <si>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</si>
  <si>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</si>
  <si>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</si>
  <si>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</si>
  <si>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</si>
  <si>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</si>
  <si>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</si>
  <si>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</si>
  <si>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</si>
  <si>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</si>
  <si>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</si>
  <si>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</si>
  <si>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</si>
  <si>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</si>
  <si>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</si>
  <si>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</si>
  <si>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</si>
  <si>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</si>
  <si>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</si>
  <si>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</si>
  <si>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</si>
  <si>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</si>
  <si>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</si>
  <si>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</si>
  <si>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</si>
  <si>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</si>
  <si>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</si>
  <si>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</si>
  <si>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</si>
  <si>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</si>
  <si>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</si>
  <si>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</si>
  <si>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</si>
  <si>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</si>
  <si>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</si>
  <si>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</si>
  <si>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</si>
  <si>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</si>
  <si>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</si>
  <si>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</si>
  <si>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</si>
  <si>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</si>
  <si>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</si>
  <si>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</si>
  <si>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</si>
  <si>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</si>
  <si>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</si>
  <si>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</si>
  <si>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</si>
  <si>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</si>
  <si>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</si>
  <si>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</si>
  <si>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</si>
  <si>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</si>
  <si>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</si>
  <si>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</si>
  <si>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</si>
  <si>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</si>
  <si>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</si>
  <si>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</si>
  <si>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</si>
  <si>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</si>
  <si>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</si>
  <si>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</si>
  <si>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</si>
  <si>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</si>
  <si>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</si>
  <si>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</si>
  <si>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</si>
  <si>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</si>
  <si>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</si>
  <si>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</si>
  <si>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</si>
  <si>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</si>
  <si>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</si>
  <si>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</si>
  <si>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</si>
  <si>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</si>
  <si>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</si>
  <si>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</si>
  <si>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</si>
  <si>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</si>
  <si>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</si>
  <si>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</si>
  <si>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</si>
  <si>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</si>
  <si>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</si>
  <si>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</si>
  <si>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</si>
  <si>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</si>
  <si>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</si>
  <si>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</si>
  <si>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</si>
  <si>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</si>
  <si>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</si>
  <si>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</si>
  <si>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</si>
  <si>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</si>
  <si>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</si>
  <si>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</si>
  <si>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</si>
  <si>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</si>
  <si>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</si>
  <si>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</si>
  <si>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</si>
  <si>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</si>
  <si>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</si>
  <si>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</si>
  <si>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</si>
  <si>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</si>
  <si>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</si>
  <si>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</si>
  <si>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</si>
  <si>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</si>
  <si>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</si>
  <si>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</si>
  <si>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</si>
  <si>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</si>
  <si>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</si>
  <si>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</si>
  <si>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</si>
  <si>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</si>
  <si>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</si>
  <si>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</si>
  <si>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</si>
  <si>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</si>
  <si>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</si>
  <si>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</si>
  <si>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</si>
  <si>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</si>
  <si>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</si>
  <si>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</si>
  <si>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</si>
  <si>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</si>
  <si>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</si>
  <si>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</si>
  <si>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</si>
  <si>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</si>
  <si>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</si>
  <si>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</si>
  <si>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</si>
  <si>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</si>
  <si>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</si>
  <si>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</si>
  <si>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</si>
  <si>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</si>
  <si>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</si>
  <si>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</si>
  <si>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</si>
  <si>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</si>
  <si>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</si>
  <si>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</si>
  <si>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</si>
  <si>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</si>
  <si>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</si>
  <si>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</si>
  <si>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</si>
  <si>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</si>
  <si>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</si>
  <si>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</si>
  <si>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</si>
  <si>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</si>
  <si>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</si>
  <si>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</si>
  <si>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</si>
  <si>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</si>
  <si>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</si>
  <si>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</si>
  <si>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</si>
  <si>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</si>
  <si>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</si>
  <si>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</si>
  <si>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</si>
  <si>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</si>
  <si>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</si>
  <si>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</si>
  <si>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</si>
  <si>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</si>
  <si>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</si>
  <si>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</si>
  <si>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</si>
  <si>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</si>
  <si>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</si>
  <si>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</si>
  <si>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</si>
  <si>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</si>
  <si>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</si>
  <si>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</si>
  <si>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</si>
  <si>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</si>
  <si>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</si>
  <si>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</si>
  <si>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</si>
  <si>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</si>
  <si>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</si>
  <si>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</si>
  <si>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</si>
  <si>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</si>
  <si>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</si>
  <si>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</si>
  <si>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</si>
  <si>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</si>
  <si>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</si>
  <si>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</si>
  <si>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</si>
  <si>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</si>
  <si>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</si>
  <si>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</si>
  <si>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</si>
  <si>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</si>
  <si>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</si>
  <si>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</si>
  <si>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</si>
  <si>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</si>
  <si>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</si>
  <si>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</si>
  <si>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</si>
  <si>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</si>
  <si>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</si>
  <si>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</si>
  <si>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</si>
  <si>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</si>
  <si>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</si>
  <si>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</si>
  <si>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</si>
  <si>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</si>
  <si>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</si>
  <si>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</si>
  <si>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</si>
  <si>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</si>
  <si>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</si>
  <si>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</si>
  <si>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</si>
  <si>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</si>
  <si>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</si>
  <si>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</si>
  <si>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</si>
  <si>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</si>
  <si>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</si>
  <si>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</si>
  <si>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</si>
  <si>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</si>
  <si>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</si>
  <si>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</si>
  <si>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</si>
  <si>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</si>
  <si>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</si>
  <si>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</si>
  <si>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</si>
  <si>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</si>
  <si>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</si>
  <si>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</si>
  <si>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</si>
  <si>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</si>
  <si>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</si>
  <si>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</si>
  <si>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</si>
  <si>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</si>
  <si>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</si>
  <si>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</si>
  <si>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</si>
  <si>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</si>
  <si>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</si>
  <si>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</si>
  <si>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</si>
  <si>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</si>
  <si>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</si>
  <si>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</si>
  <si>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</si>
  <si>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</si>
  <si>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</si>
  <si>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</si>
  <si>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</si>
  <si>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</si>
  <si>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</si>
  <si>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</si>
  <si>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</si>
  <si>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</si>
  <si>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</si>
  <si>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</si>
  <si>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</si>
  <si>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</si>
  <si>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</si>
  <si>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</si>
  <si>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</si>
  <si>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</si>
  <si>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</si>
  <si>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</si>
  <si>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</si>
  <si>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</si>
  <si>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</si>
  <si>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</si>
  <si>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</si>
  <si>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</si>
  <si>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</si>
  <si>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</si>
  <si>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</si>
  <si>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</si>
  <si>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</si>
  <si>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</si>
  <si>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</si>
  <si>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</si>
  <si>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</si>
  <si>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</si>
  <si>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</si>
  <si>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</si>
  <si>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</si>
  <si>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</si>
  <si>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</si>
  <si>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</si>
  <si>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</si>
  <si>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</si>
  <si>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</si>
  <si>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</si>
  <si>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</si>
  <si>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</si>
  <si>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</si>
  <si>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</si>
  <si>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</si>
  <si>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</si>
  <si>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</si>
  <si>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</si>
  <si>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</si>
  <si>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</si>
  <si>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</si>
  <si>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</si>
  <si>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</si>
  <si>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</si>
  <si>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</si>
  <si>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</si>
  <si>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</si>
  <si>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</si>
  <si>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</si>
  <si>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</si>
  <si>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</si>
  <si>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</si>
  <si>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</si>
  <si>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</si>
  <si>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</si>
  <si>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</si>
  <si>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</si>
  <si>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</si>
  <si>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</si>
  <si>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</si>
  <si>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</si>
  <si>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</si>
  <si>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</si>
  <si>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</si>
  <si>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</si>
  <si>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</si>
  <si>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</si>
  <si>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</si>
  <si>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</si>
  <si>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</si>
  <si>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</si>
  <si>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</si>
  <si>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</si>
  <si>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</si>
  <si>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</si>
  <si>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</si>
  <si>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</si>
  <si>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</si>
  <si>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</si>
  <si>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</si>
  <si>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</si>
  <si>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</si>
  <si>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</si>
  <si>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</si>
  <si>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</si>
  <si>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</si>
  <si>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</si>
  <si>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</si>
  <si>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</si>
  <si>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</si>
  <si>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</si>
  <si>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</si>
  <si>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</si>
  <si>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</si>
  <si>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</si>
  <si>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</si>
  <si>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</si>
  <si>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</si>
  <si>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</si>
  <si>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</si>
  <si>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</si>
  <si>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</si>
  <si>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</si>
  <si>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</si>
  <si>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</si>
  <si>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</si>
  <si>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</si>
  <si>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</si>
  <si>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</si>
  <si>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</si>
  <si>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</si>
  <si>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</si>
  <si>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</si>
  <si>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</si>
  <si>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</si>
  <si>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</si>
  <si>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</si>
  <si>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</si>
  <si>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</si>
  <si>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</si>
  <si>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</si>
  <si>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</si>
  <si>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</si>
  <si>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</si>
  <si>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</si>
  <si>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</si>
  <si>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</si>
  <si>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</si>
  <si>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</si>
  <si>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</si>
  <si>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</si>
  <si>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</si>
  <si>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</si>
  <si>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</si>
  <si>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</si>
  <si>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</si>
  <si>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</si>
  <si>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</si>
  <si>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</si>
  <si>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</si>
  <si>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</si>
  <si>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</si>
  <si>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</si>
  <si>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</si>
  <si>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</si>
  <si>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</si>
  <si>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</si>
  <si>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</si>
  <si>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</si>
  <si>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</si>
  <si>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</si>
  <si>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</si>
  <si>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</si>
  <si>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</si>
  <si>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</si>
  <si>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</si>
  <si>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</si>
  <si>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</si>
  <si>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</si>
  <si>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</si>
  <si>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</si>
  <si>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</si>
  <si>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</si>
  <si>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</si>
  <si>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</si>
  <si>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</si>
  <si>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</si>
  <si>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</si>
  <si>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</si>
  <si>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</si>
  <si>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</si>
  <si>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</si>
  <si>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</si>
  <si>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</si>
  <si>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</si>
  <si>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</si>
  <si>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</si>
  <si>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</si>
  <si>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</si>
  <si>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</si>
  <si>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</si>
  <si>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</si>
  <si>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</si>
  <si>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</si>
  <si>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</si>
  <si>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</si>
  <si>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</si>
  <si>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</si>
  <si>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</si>
  <si>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</si>
  <si>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</si>
  <si>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</si>
  <si>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</si>
  <si>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</si>
  <si>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</si>
  <si>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</si>
  <si>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</si>
  <si>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</si>
  <si>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</si>
  <si>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</si>
  <si>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</si>
  <si>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</si>
  <si>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</si>
  <si>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</si>
  <si>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</si>
  <si>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</si>
  <si>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</si>
  <si>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</si>
  <si>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</si>
  <si>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</si>
  <si>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</si>
  <si>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</si>
  <si>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</si>
  <si>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</si>
  <si>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</si>
  <si>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</si>
  <si>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</si>
  <si>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</si>
  <si>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</si>
  <si>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</si>
  <si>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</si>
  <si>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</si>
  <si>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</si>
  <si>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</si>
  <si>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</si>
  <si>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</si>
  <si>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</si>
  <si>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</si>
  <si>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</si>
  <si>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</si>
  <si>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</si>
  <si>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</si>
  <si>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</si>
  <si>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</si>
  <si>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</si>
  <si>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</si>
  <si>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</si>
  <si>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</si>
  <si>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</si>
  <si>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</si>
  <si>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</si>
  <si>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</si>
  <si>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</si>
  <si>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</si>
  <si>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</si>
  <si>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</si>
  <si>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</si>
  <si>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</si>
  <si>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</si>
  <si>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</si>
  <si>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</si>
  <si>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</si>
  <si>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</si>
  <si>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</si>
  <si>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</si>
  <si>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</si>
  <si>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</si>
  <si>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</si>
  <si>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</si>
  <si>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</si>
  <si>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</si>
  <si>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</si>
  <si>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</si>
  <si>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</si>
  <si>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</si>
  <si>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</si>
  <si>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</si>
  <si>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</si>
  <si>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</si>
  <si>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</si>
  <si>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</si>
  <si>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</si>
  <si>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</si>
  <si>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</si>
  <si>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</si>
  <si>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</si>
  <si>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</si>
  <si>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</si>
  <si>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</si>
  <si>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</si>
  <si>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</si>
  <si>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</si>
  <si>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</si>
  <si>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</si>
  <si>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</si>
  <si>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</si>
  <si>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</si>
  <si>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</si>
  <si>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</si>
  <si>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</si>
  <si>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</si>
  <si>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</si>
  <si>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</si>
  <si>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</si>
  <si>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</si>
  <si>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</si>
  <si>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</si>
  <si>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</si>
  <si>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</si>
  <si>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</si>
  <si>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</si>
  <si>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</si>
  <si>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</si>
  <si>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</si>
  <si>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</si>
  <si>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</si>
  <si>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</si>
  <si>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</si>
  <si>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</si>
  <si>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</si>
  <si>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</si>
  <si>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</si>
  <si>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</si>
  <si>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</si>
  <si>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</si>
  <si>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</si>
  <si>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</si>
  <si>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</si>
  <si>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</si>
  <si>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</si>
  <si>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</si>
  <si>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</si>
  <si>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</si>
  <si>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</si>
  <si>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</si>
  <si>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</si>
  <si>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</si>
  <si>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</si>
  <si>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</si>
  <si>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</si>
  <si>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</si>
  <si>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</si>
  <si>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</si>
  <si>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</si>
  <si>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</si>
  <si>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</si>
  <si>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</si>
  <si>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</si>
  <si>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</si>
  <si>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</si>
  <si>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</si>
  <si>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</si>
  <si>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</si>
  <si>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</si>
  <si>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</si>
  <si>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</si>
  <si>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</si>
  <si>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</si>
  <si>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</si>
  <si>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</si>
  <si>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</si>
  <si>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</si>
  <si>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</si>
  <si>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</si>
  <si>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</si>
  <si>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</si>
  <si>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</si>
  <si>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</si>
  <si>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</si>
  <si>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</si>
  <si>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</si>
  <si>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</si>
  <si>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</si>
  <si>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</si>
  <si>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</si>
  <si>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</si>
  <si>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</si>
  <si>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</si>
  <si>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</si>
  <si>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</si>
  <si>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</si>
  <si>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</si>
  <si>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</si>
  <si>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</si>
  <si>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</si>
  <si>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</si>
  <si>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</si>
  <si>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</si>
  <si>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</si>
  <si>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</si>
  <si>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</si>
  <si>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</si>
  <si>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</si>
  <si>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</si>
  <si>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</si>
  <si>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</si>
  <si>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</si>
  <si>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</si>
  <si>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</si>
  <si>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</si>
  <si>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</si>
  <si>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</si>
  <si>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</si>
  <si>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</si>
  <si>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</si>
  <si>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</si>
  <si>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</si>
  <si>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</si>
  <si>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</si>
  <si>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</si>
  <si>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</si>
  <si>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</si>
  <si>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</si>
  <si>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</si>
  <si>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</si>
  <si>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</si>
  <si>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</si>
  <si>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</si>
  <si>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</si>
  <si>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</si>
  <si>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</si>
  <si>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</si>
  <si>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</si>
  <si>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</si>
  <si>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</si>
  <si>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</si>
  <si>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</si>
  <si>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</si>
  <si>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</si>
  <si>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</si>
  <si>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</si>
  <si>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</si>
  <si>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</si>
  <si>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</si>
  <si>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</si>
  <si>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</si>
  <si>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</si>
  <si>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</si>
  <si>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</si>
  <si>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</si>
  <si>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</si>
  <si>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</si>
  <si>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</si>
  <si>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</si>
  <si>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</si>
  <si>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</si>
  <si>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</si>
  <si>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</si>
  <si>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</si>
  <si>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</si>
  <si>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</si>
  <si>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</si>
  <si>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</si>
  <si>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</si>
  <si>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</si>
  <si>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</si>
  <si>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</si>
  <si>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</si>
  <si>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</si>
  <si>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</si>
  <si>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</si>
  <si>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</si>
  <si>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</si>
  <si>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</si>
  <si>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</si>
  <si>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</si>
  <si>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</si>
  <si>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</si>
  <si>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</si>
  <si>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</si>
  <si>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</si>
  <si>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</si>
  <si>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</si>
  <si>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</si>
  <si>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</si>
  <si>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</si>
  <si>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</si>
  <si>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</si>
  <si>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</si>
  <si>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</si>
  <si>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</si>
  <si>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</si>
  <si>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</si>
  <si>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</si>
  <si>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</si>
  <si>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</si>
  <si>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</si>
  <si>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</si>
  <si>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</si>
  <si>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</si>
  <si>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</si>
  <si>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</si>
  <si>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</si>
  <si>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</si>
  <si>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</si>
  <si>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</si>
  <si>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</si>
  <si>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</si>
  <si>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</si>
  <si>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</si>
  <si>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</si>
  <si>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</si>
  <si>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</si>
  <si>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</si>
  <si>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</si>
  <si>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</si>
  <si>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</si>
  <si>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</si>
  <si>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</si>
  <si>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</si>
  <si>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</si>
  <si>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</si>
  <si>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</si>
  <si>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</si>
  <si>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</si>
  <si>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</si>
  <si>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</si>
  <si>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</si>
  <si>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</si>
  <si>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</si>
  <si>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</si>
  <si>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</si>
  <si>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</si>
  <si>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</si>
  <si>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</si>
  <si>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</si>
  <si>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</si>
  <si>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</si>
  <si>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</si>
  <si>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</si>
  <si>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</si>
  <si>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</si>
  <si>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</si>
  <si>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</si>
  <si>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</si>
  <si>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</si>
  <si>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</si>
  <si>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</si>
  <si>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</si>
  <si>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</si>
  <si>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</si>
  <si>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</si>
  <si>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</si>
  <si>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</si>
  <si>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</si>
  <si>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</si>
  <si>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</si>
  <si>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</si>
  <si>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</si>
  <si>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</si>
  <si>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</si>
  <si>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</si>
  <si>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</si>
  <si>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</si>
  <si>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</si>
  <si>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</si>
  <si>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</si>
  <si>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</si>
  <si>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</si>
  <si>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</si>
  <si>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</si>
  <si>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</si>
  <si>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</si>
  <si>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</si>
  <si>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</si>
  <si>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</si>
  <si>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</si>
  <si>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</si>
  <si>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</si>
  <si>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</si>
  <si>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</si>
  <si>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</si>
  <si>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</si>
  <si>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</si>
  <si>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</si>
  <si>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</si>
  <si>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</si>
  <si>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</si>
  <si>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</si>
  <si>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</si>
  <si>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</si>
  <si>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</si>
  <si>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</si>
  <si>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</si>
  <si>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</si>
  <si>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</si>
  <si>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</si>
  <si>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</si>
  <si>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</si>
  <si>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</si>
  <si>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</si>
  <si>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</si>
  <si>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</si>
  <si>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</si>
  <si>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</si>
  <si>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</si>
  <si>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</si>
  <si>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</si>
  <si>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</si>
  <si>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</si>
  <si>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</si>
  <si>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</si>
  <si>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</si>
  <si>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</si>
  <si>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</si>
  <si>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</si>
  <si>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</si>
  <si>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</si>
  <si>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</si>
  <si>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</si>
  <si>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</si>
  <si>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</si>
  <si>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</si>
  <si>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</si>
  <si>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</si>
  <si>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</si>
  <si>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</si>
  <si>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</si>
  <si>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</si>
  <si>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</si>
  <si>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</si>
  <si>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</si>
  <si>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</si>
  <si>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</si>
  <si>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</si>
  <si>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</si>
  <si>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</si>
  <si>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</si>
  <si>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</si>
  <si>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</si>
  <si>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</si>
  <si>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</si>
  <si>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</si>
  <si>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</si>
  <si>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</si>
  <si>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</si>
  <si>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</si>
  <si>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</si>
  <si>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</si>
  <si>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</si>
  <si>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</si>
  <si>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</si>
  <si>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</si>
  <si>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</si>
  <si>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</si>
  <si>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</si>
  <si>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</si>
  <si>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</si>
  <si>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</si>
  <si>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</si>
  <si>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</si>
  <si>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</si>
  <si>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</si>
  <si>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</si>
  <si>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</si>
  <si>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</si>
  <si>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</si>
  <si>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</si>
  <si>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</si>
  <si>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</si>
  <si>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</si>
  <si>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</si>
  <si>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</si>
  <si>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</si>
  <si>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</si>
  <si>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</si>
  <si>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</si>
  <si>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</si>
  <si>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</si>
  <si>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</si>
  <si>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</si>
  <si>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</si>
  <si>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</si>
  <si>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</si>
  <si>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</si>
  <si>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</si>
  <si>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</si>
  <si>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</si>
  <si>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</si>
  <si>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</si>
  <si>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</si>
  <si>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</si>
  <si>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</si>
  <si>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</si>
  <si>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</si>
  <si>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</si>
  <si>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</si>
  <si>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</si>
  <si>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</si>
  <si>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</si>
  <si>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</si>
  <si>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</si>
  <si>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</si>
  <si>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</si>
  <si>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</si>
  <si>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</si>
  <si>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</si>
  <si>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</si>
  <si>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</si>
  <si>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</si>
  <si>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</si>
  <si>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</si>
  <si>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</si>
  <si>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</si>
  <si>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</si>
  <si>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</si>
  <si>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</si>
  <si>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</si>
  <si>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</si>
  <si>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</si>
  <si>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</si>
  <si>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</si>
  <si>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</si>
  <si>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</si>
  <si>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</si>
  <si>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</si>
  <si>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</si>
  <si>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</si>
  <si>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</si>
  <si>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</si>
  <si>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</si>
  <si>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</si>
  <si>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</si>
  <si>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</si>
  <si>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</si>
  <si>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</si>
  <si>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</si>
  <si>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</si>
  <si>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</si>
  <si>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</si>
  <si>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</si>
  <si>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</si>
  <si>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</si>
  <si>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</si>
  <si>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</si>
  <si>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</si>
  <si>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</si>
  <si>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</si>
  <si>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</si>
  <si>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</si>
  <si>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</si>
  <si>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</si>
  <si>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</si>
  <si>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</si>
  <si>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</si>
  <si>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</si>
  <si>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</si>
  <si>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</si>
  <si>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</si>
  <si>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</si>
  <si>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</si>
  <si>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</si>
  <si>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</si>
  <si>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</si>
  <si>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</si>
  <si>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</si>
  <si>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</si>
  <si>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</si>
  <si>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</si>
  <si>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</si>
  <si>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</si>
  <si>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</si>
  <si>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</si>
  <si>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</si>
  <si>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</si>
  <si>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</si>
  <si>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</si>
  <si>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</si>
  <si>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</si>
  <si>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</si>
  <si>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</si>
  <si>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</si>
  <si>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</si>
  <si>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</si>
  <si>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</si>
  <si>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</si>
  <si>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</si>
  <si>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</si>
  <si>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</si>
  <si>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</si>
  <si>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</si>
  <si>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</si>
  <si>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</si>
  <si>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</si>
  <si>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</si>
  <si>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</si>
  <si>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</si>
  <si>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</si>
  <si>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</si>
  <si>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</si>
  <si>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</si>
  <si>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</si>
  <si>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</si>
  <si>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</si>
  <si>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</si>
  <si>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</si>
  <si>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</si>
  <si>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</si>
  <si>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</si>
  <si>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</si>
  <si>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</si>
  <si>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</si>
  <si>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</si>
  <si>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</si>
  <si>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</si>
  <si>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</si>
  <si>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</si>
  <si>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</si>
  <si>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</si>
  <si>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</si>
  <si>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</si>
  <si>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</si>
  <si>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</si>
  <si>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</si>
  <si>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</si>
  <si>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</si>
  <si>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</si>
  <si>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</si>
  <si>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</si>
  <si>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</si>
  <si>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</si>
  <si>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</si>
  <si>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</si>
  <si>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</si>
  <si>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</si>
  <si>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</si>
  <si>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</si>
  <si>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</si>
  <si>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</si>
  <si>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</si>
  <si>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</si>
  <si>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</si>
  <si>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</si>
  <si>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</si>
  <si>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</si>
  <si>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</si>
  <si>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</si>
  <si>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</si>
  <si>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</si>
  <si>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</si>
  <si>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</si>
  <si>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</si>
  <si>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</si>
  <si>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</si>
  <si>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</si>
  <si>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</si>
  <si>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</si>
  <si>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</si>
  <si>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</si>
  <si>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</si>
  <si>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</si>
  <si>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</si>
  <si>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</si>
  <si>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</si>
  <si>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</si>
  <si>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</si>
  <si>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</si>
  <si>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</si>
  <si>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</si>
  <si>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</si>
  <si>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</si>
  <si>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</si>
  <si>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</si>
  <si>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</si>
  <si>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</si>
  <si>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</si>
  <si>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</si>
  <si>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</si>
  <si>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</si>
  <si>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</si>
  <si>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</si>
  <si>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</si>
  <si>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</si>
  <si>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</si>
  <si>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</si>
  <si>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</si>
  <si>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</si>
  <si>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</si>
  <si>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</si>
  <si>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</si>
  <si>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</si>
  <si>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</si>
  <si>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</si>
  <si>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</si>
  <si>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</si>
  <si>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</si>
  <si>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</si>
  <si>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</si>
  <si>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</si>
  <si>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</si>
  <si>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</si>
  <si>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</si>
  <si>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</si>
  <si>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</si>
  <si>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</si>
  <si>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</si>
  <si>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</si>
  <si>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</si>
  <si>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</si>
  <si>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</si>
  <si>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</si>
  <si>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</si>
  <si>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</si>
  <si>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</si>
  <si>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</si>
  <si>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</si>
  <si>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</si>
  <si>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</si>
  <si>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</si>
  <si>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</si>
  <si>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</si>
  <si>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</si>
  <si>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</si>
  <si>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</si>
  <si>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</si>
  <si>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</si>
  <si>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</si>
  <si>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</si>
  <si>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</si>
  <si>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</si>
  <si>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</si>
  <si>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</si>
  <si>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</si>
  <si>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</si>
  <si>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</si>
  <si>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</si>
  <si>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</si>
  <si>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</si>
  <si>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</si>
  <si>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</si>
  <si>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</si>
  <si>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</si>
  <si>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</si>
  <si>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</si>
  <si>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</si>
  <si>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</si>
  <si>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</si>
  <si>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</si>
  <si>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</si>
  <si>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</si>
  <si>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</si>
  <si>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</si>
  <si>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</si>
  <si>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</si>
  <si>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</si>
  <si>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</si>
  <si>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</si>
  <si>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</si>
  <si>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</si>
  <si>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</si>
  <si>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</si>
  <si>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</si>
  <si>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</si>
  <si>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</si>
  <si>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</si>
  <si>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</si>
  <si>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</si>
  <si>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</si>
  <si>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</si>
  <si>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</si>
  <si>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</si>
  <si>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</si>
  <si>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</si>
  <si>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</si>
  <si>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</si>
  <si>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</si>
  <si>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</si>
  <si>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</si>
  <si>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</si>
  <si>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</si>
  <si>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</si>
  <si>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</si>
  <si>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</si>
  <si>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</si>
  <si>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</si>
  <si>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</si>
  <si>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</si>
  <si>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</si>
  <si>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</si>
  <si>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</si>
  <si>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</si>
  <si>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</si>
  <si>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</si>
  <si>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</si>
  <si>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</si>
  <si>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</si>
  <si>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</si>
  <si>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</si>
  <si>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</si>
  <si>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</si>
  <si>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</si>
  <si>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</si>
  <si>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</si>
  <si>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</si>
  <si>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</si>
  <si>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</si>
  <si>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</si>
  <si>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</si>
  <si>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</si>
  <si>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</si>
  <si>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</si>
  <si>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</si>
  <si>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</si>
  <si>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</si>
  <si>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</si>
  <si>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</si>
  <si>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</si>
  <si>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</si>
  <si>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</si>
  <si>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</si>
  <si>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</si>
  <si>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</si>
  <si>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</si>
  <si>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</si>
  <si>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</si>
  <si>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</si>
  <si>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</si>
  <si>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</si>
  <si>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</si>
  <si>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</si>
  <si>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</si>
  <si>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</si>
  <si>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</si>
  <si>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</si>
  <si>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</si>
  <si>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</si>
  <si>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</si>
  <si>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</si>
  <si>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</si>
  <si>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</si>
  <si>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</si>
  <si>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</si>
  <si>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</si>
  <si>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</si>
  <si>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</si>
  <si>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</si>
  <si>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</si>
  <si>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</si>
  <si>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</si>
  <si>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</si>
  <si>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</si>
  <si>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</si>
  <si>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</si>
  <si>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</si>
  <si>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</si>
  <si>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</si>
  <si>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</si>
  <si>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</si>
  <si>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</si>
  <si>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</si>
  <si>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</si>
  <si>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</si>
  <si>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</si>
  <si>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</si>
  <si>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</si>
  <si>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</si>
  <si>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</si>
  <si>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</si>
  <si>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</si>
  <si>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</si>
  <si>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</si>
  <si>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</si>
  <si>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</si>
  <si>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</si>
  <si>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</si>
  <si>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</si>
  <si>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</si>
  <si>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</si>
  <si>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</si>
  <si>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</si>
  <si>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</si>
  <si>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</si>
  <si>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</si>
  <si>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</si>
  <si>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</si>
  <si>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</si>
  <si>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</si>
  <si>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</si>
  <si>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</si>
  <si>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</si>
  <si>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</si>
  <si>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</si>
  <si>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</si>
  <si>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</si>
  <si>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</si>
  <si>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</si>
  <si>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</si>
  <si>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</si>
  <si>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</si>
  <si>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</si>
  <si>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</si>
  <si>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</si>
  <si>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</si>
  <si>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</si>
  <si>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</si>
  <si>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</si>
  <si>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</si>
  <si>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</si>
  <si>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</si>
  <si>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</si>
  <si>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</si>
  <si>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</si>
  <si>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</si>
  <si>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</si>
  <si>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</si>
  <si>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</si>
  <si>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</si>
  <si>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</si>
  <si>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</si>
  <si>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</si>
  <si>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</si>
  <si>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</si>
  <si>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</si>
  <si>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</si>
  <si>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</si>
  <si>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</si>
  <si>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</si>
  <si>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</si>
  <si>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</si>
  <si>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</si>
  <si>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</si>
  <si>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</si>
  <si>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</si>
  <si>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</si>
  <si>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</si>
  <si>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</si>
  <si>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</si>
  <si>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</si>
  <si>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</si>
  <si>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</si>
  <si>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</si>
  <si>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</si>
  <si>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</si>
  <si>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</si>
  <si>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</si>
  <si>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</si>
  <si>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</si>
  <si>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</si>
  <si>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</si>
  <si>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</si>
  <si>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</si>
  <si>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</si>
  <si>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</si>
  <si>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</si>
  <si>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</si>
  <si>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</si>
  <si>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</si>
  <si>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</si>
  <si>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</si>
  <si>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</si>
  <si>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</si>
  <si>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</si>
  <si>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</si>
  <si>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</si>
  <si>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</si>
  <si>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</si>
  <si>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</si>
  <si>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</si>
  <si>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</si>
  <si>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</si>
  <si>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</si>
  <si>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</si>
  <si>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</si>
  <si>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</si>
  <si>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</si>
  <si>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</si>
  <si>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</si>
  <si>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</si>
  <si>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</si>
  <si>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</si>
  <si>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</si>
  <si>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</si>
  <si>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</si>
  <si>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</si>
  <si>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</si>
  <si>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</si>
  <si>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</si>
  <si>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</si>
  <si>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</si>
  <si>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</si>
  <si>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</si>
  <si>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</si>
  <si>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</si>
  <si>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</si>
  <si>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</si>
  <si>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</si>
  <si>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</si>
  <si>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</si>
  <si>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</si>
  <si>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</si>
  <si>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</si>
  <si>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</si>
  <si>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</si>
  <si>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</si>
  <si>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</si>
  <si>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</si>
  <si>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</si>
  <si>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</si>
  <si>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</si>
  <si>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</si>
  <si>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</si>
  <si>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</si>
  <si>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</si>
  <si>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</si>
  <si>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</si>
  <si>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</si>
  <si>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</si>
  <si>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</si>
  <si>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</si>
  <si>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</si>
  <si>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</si>
  <si>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</si>
  <si>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</si>
  <si>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</si>
  <si>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</si>
  <si>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</si>
  <si>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</si>
  <si>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</si>
  <si>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</si>
  <si>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</si>
  <si>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</si>
  <si>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</si>
  <si>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</si>
  <si>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</si>
  <si>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</si>
  <si>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</si>
  <si>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</si>
  <si>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</si>
  <si>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</si>
  <si>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</si>
  <si>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</si>
  <si>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</si>
  <si>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</si>
  <si>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</si>
  <si>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</si>
  <si>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</si>
  <si>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</si>
  <si>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</si>
  <si>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</si>
  <si>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</si>
  <si>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</si>
  <si>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</si>
  <si>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</si>
  <si>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</si>
  <si>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</si>
  <si>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</si>
  <si>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</si>
  <si>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</si>
  <si>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</si>
  <si>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</si>
  <si>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</si>
  <si>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</si>
  <si>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</si>
  <si>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</si>
  <si>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</si>
  <si>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</si>
  <si>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</si>
  <si>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</si>
  <si>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</si>
  <si>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</si>
  <si>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</si>
  <si>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</si>
  <si>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</si>
  <si>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</si>
  <si>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</si>
  <si>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</si>
  <si>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</si>
  <si>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</si>
  <si>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</si>
  <si>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</si>
  <si>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</si>
  <si>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</si>
  <si>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</si>
  <si>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</si>
  <si>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</si>
  <si>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</si>
  <si>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</si>
  <si>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</si>
  <si>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</si>
  <si>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</si>
  <si>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</si>
  <si>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</si>
  <si>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</si>
  <si>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</si>
  <si>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</si>
  <si>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</si>
  <si>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</si>
  <si>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</si>
  <si>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</si>
  <si>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</si>
  <si>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</si>
  <si>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</si>
  <si>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</si>
  <si>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</si>
  <si>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</si>
  <si>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</si>
  <si>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</si>
  <si>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</si>
  <si>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</si>
  <si>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</si>
  <si>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</si>
  <si>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</si>
  <si>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</si>
  <si>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</si>
  <si>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</si>
  <si>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</si>
  <si>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</si>
  <si>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</si>
  <si>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</si>
  <si>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</si>
  <si>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</si>
  <si>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</si>
  <si>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</si>
  <si>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</si>
  <si>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</si>
  <si>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</si>
  <si>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</si>
  <si>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</si>
  <si>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</si>
  <si>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</si>
  <si>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</si>
  <si>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</si>
  <si>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</si>
  <si>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</si>
  <si>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</si>
  <si>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</si>
  <si>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</si>
  <si>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</si>
  <si>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</si>
  <si>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</si>
  <si>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</si>
  <si>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</si>
  <si>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</si>
  <si>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</si>
  <si>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</si>
  <si>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</si>
  <si>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</si>
  <si>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</si>
  <si>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</si>
  <si>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</si>
  <si>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</si>
  <si>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</si>
  <si>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</si>
  <si>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</si>
  <si>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</si>
  <si>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</si>
  <si>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</si>
  <si>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</si>
  <si>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</si>
  <si>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</si>
  <si>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</si>
  <si>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</si>
  <si>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</si>
  <si>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</si>
  <si>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</si>
  <si>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</si>
  <si>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</si>
  <si>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</si>
  <si>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</si>
  <si>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</si>
  <si>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</si>
  <si>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</si>
  <si>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</si>
  <si>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</si>
  <si>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</si>
  <si>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</si>
  <si>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</si>
  <si>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</si>
  <si>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</si>
  <si>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</si>
  <si>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</si>
  <si>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</si>
  <si>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</si>
  <si>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</si>
  <si>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</si>
  <si>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</si>
  <si>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</si>
  <si>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</si>
  <si>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</si>
  <si>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</si>
  <si>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</si>
  <si>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</si>
  <si>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</si>
  <si>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</si>
  <si>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</si>
  <si>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</si>
  <si>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</si>
  <si>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</si>
  <si>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</si>
  <si>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</si>
  <si>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</si>
  <si>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</si>
  <si>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</si>
  <si>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</si>
  <si>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</si>
  <si>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</si>
  <si>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</si>
  <si>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</si>
  <si>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</si>
  <si>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</si>
  <si>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</si>
  <si>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</si>
  <si>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</si>
  <si>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</si>
  <si>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</si>
  <si>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</si>
  <si>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</si>
  <si>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</si>
  <si>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</si>
  <si>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</si>
  <si>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</si>
  <si>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</si>
  <si>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</si>
  <si>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</si>
  <si>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</si>
  <si>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</si>
  <si>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</si>
  <si>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</si>
  <si>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</si>
  <si>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</si>
  <si>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</si>
  <si>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</si>
  <si>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</si>
  <si>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</si>
  <si>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</si>
  <si>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</si>
  <si>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</si>
  <si>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</si>
  <si>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</si>
  <si>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</si>
  <si>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</si>
  <si>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</si>
  <si>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</si>
  <si>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</si>
  <si>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</si>
  <si>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</si>
  <si>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</si>
  <si>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</si>
  <si>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</si>
  <si>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</si>
  <si>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</si>
  <si>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</si>
  <si>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</si>
  <si>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</si>
  <si>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</si>
  <si>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</si>
  <si>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</si>
  <si>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</si>
  <si>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</si>
  <si>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</si>
  <si>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</si>
  <si>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</si>
  <si>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</si>
  <si>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</si>
  <si>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</si>
  <si>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</si>
  <si>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</si>
  <si>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</si>
  <si>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</si>
  <si>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</si>
  <si>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</si>
  <si>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</si>
  <si>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</si>
  <si>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</si>
  <si>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</si>
  <si>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</si>
  <si>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</si>
  <si>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</si>
  <si>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</si>
  <si>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</si>
  <si>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</si>
  <si>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</si>
  <si>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</si>
  <si>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</si>
  <si>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</si>
  <si>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</si>
  <si>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</si>
  <si>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</si>
  <si>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</si>
  <si>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</si>
  <si>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</si>
  <si>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</si>
  <si>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</si>
  <si>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</si>
  <si>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</si>
  <si>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</si>
  <si>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</si>
  <si>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</si>
  <si>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</si>
  <si>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</si>
  <si>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</si>
  <si>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</si>
  <si>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</si>
  <si>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</si>
  <si>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</si>
  <si>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</si>
  <si>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</si>
  <si>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</si>
  <si>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</si>
  <si>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</si>
  <si>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</si>
  <si>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</si>
  <si>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</si>
  <si>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</si>
  <si>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</si>
  <si>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</si>
  <si>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</si>
  <si>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</si>
  <si>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</si>
  <si>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</si>
  <si>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</si>
  <si>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</si>
  <si>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</si>
  <si>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</si>
  <si>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</si>
  <si>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</si>
  <si>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</si>
  <si>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</si>
  <si>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</si>
  <si>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</si>
  <si>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</si>
  <si>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</si>
  <si>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</si>
  <si>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</si>
  <si>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</si>
  <si>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</si>
  <si>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</si>
  <si>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</si>
  <si>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</si>
  <si>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</si>
  <si>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</si>
  <si>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</si>
  <si>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</si>
  <si>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</si>
  <si>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</si>
  <si>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</si>
  <si>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</si>
  <si>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</si>
  <si>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</si>
  <si>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</si>
  <si>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</si>
  <si>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</si>
  <si>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</si>
  <si>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</si>
  <si>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</si>
  <si>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</si>
  <si>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</si>
  <si>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</si>
  <si>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</si>
  <si>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</si>
  <si>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</si>
  <si>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</si>
  <si>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</si>
  <si>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</si>
  <si>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</si>
  <si>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</si>
  <si>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</si>
  <si>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</si>
  <si>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</si>
  <si>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</si>
  <si>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</si>
  <si>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</si>
  <si>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</si>
  <si>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</si>
  <si>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</si>
  <si>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</si>
  <si>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</si>
  <si>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</si>
  <si>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</si>
  <si>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</si>
  <si>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</si>
  <si>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</si>
  <si>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</si>
  <si>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</si>
  <si>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</si>
  <si>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</si>
  <si>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</si>
  <si>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</si>
  <si>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</si>
  <si>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</si>
  <si>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</si>
  <si>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</si>
  <si>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</si>
  <si>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</si>
  <si>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</si>
  <si>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</si>
  <si>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</si>
  <si>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</si>
  <si>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</si>
  <si>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</si>
  <si>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</si>
  <si>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</si>
  <si>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</si>
  <si>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</si>
  <si>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</si>
  <si>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</si>
  <si>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</si>
  <si>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</si>
  <si>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</si>
  <si>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</si>
  <si>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</si>
  <si>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</si>
  <si>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</si>
  <si>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</si>
  <si>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</si>
  <si>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</si>
  <si>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</si>
  <si>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</si>
  <si>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</si>
  <si>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</si>
  <si>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</si>
  <si>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</si>
  <si>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</si>
  <si>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</si>
  <si>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</si>
  <si>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</si>
  <si>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</si>
  <si>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</si>
  <si>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</si>
  <si>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</si>
  <si>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</si>
  <si>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</si>
  <si>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</si>
  <si>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</si>
  <si>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</si>
  <si>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</si>
  <si>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</si>
  <si>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</si>
  <si>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</si>
  <si>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</si>
  <si>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</si>
  <si>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</si>
  <si>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</si>
  <si>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</si>
  <si>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</si>
  <si>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</si>
  <si>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</si>
  <si>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</si>
  <si>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</si>
  <si>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</si>
  <si>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</si>
  <si>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</si>
  <si>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</si>
  <si>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</si>
  <si>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</si>
  <si>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</si>
  <si>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</si>
  <si>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</si>
  <si>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</si>
  <si>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</si>
  <si>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</si>
  <si>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</si>
  <si>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</si>
  <si>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</si>
  <si>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</si>
  <si>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</si>
  <si>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</si>
  <si>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</si>
  <si>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</si>
  <si>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</si>
  <si>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</si>
  <si>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</si>
  <si>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</si>
  <si>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</si>
  <si>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</si>
  <si>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</si>
  <si>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</si>
  <si>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</si>
  <si>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</si>
  <si>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</si>
  <si>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</si>
  <si>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</si>
  <si>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</si>
  <si>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</si>
  <si>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</si>
  <si>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</si>
  <si>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</si>
  <si>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</si>
  <si>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</si>
  <si>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</si>
  <si>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</si>
  <si>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</si>
  <si>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</si>
  <si>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</si>
  <si>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</si>
  <si>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</si>
  <si>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</si>
  <si>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</si>
  <si>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</si>
  <si>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</si>
  <si>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</si>
  <si>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</si>
  <si>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</si>
  <si>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</si>
  <si>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</si>
  <si>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</si>
  <si>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</si>
  <si>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</si>
  <si>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</si>
  <si>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</si>
  <si>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</si>
  <si>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</si>
  <si>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</si>
  <si>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</si>
  <si>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</si>
  <si>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</si>
  <si>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</si>
  <si>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</si>
  <si>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</si>
  <si>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</si>
  <si>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</si>
  <si>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</si>
  <si>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</si>
  <si>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</si>
  <si>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</si>
  <si>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</si>
  <si>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</si>
  <si>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</si>
  <si>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</si>
  <si>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</si>
  <si>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</si>
  <si>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</si>
  <si>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</si>
  <si>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</si>
  <si>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</si>
  <si>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</si>
  <si>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</si>
  <si>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</si>
  <si>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</si>
  <si>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</si>
  <si>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</si>
  <si>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</si>
  <si>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</si>
  <si>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</si>
  <si>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</si>
  <si>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</si>
  <si>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</si>
  <si>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</si>
  <si>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</si>
  <si>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</si>
  <si>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</si>
  <si>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</si>
  <si>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</si>
  <si>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</si>
  <si>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</si>
  <si>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</si>
  <si>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</si>
  <si>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</si>
  <si>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</si>
  <si>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</si>
  <si>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</si>
  <si>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</si>
  <si>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</si>
  <si>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</si>
  <si>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</si>
  <si>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</si>
  <si>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</si>
  <si>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</si>
  <si>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</si>
  <si>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</si>
  <si>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</si>
  <si>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</si>
  <si>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</si>
  <si>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</si>
  <si>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</si>
  <si>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</si>
  <si>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</si>
  <si>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</si>
  <si>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</si>
  <si>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</si>
  <si>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</si>
  <si>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</si>
  <si>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</si>
  <si>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</si>
  <si>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</si>
  <si>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</si>
  <si>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</si>
  <si>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</si>
  <si>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</si>
  <si>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</si>
  <si>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</si>
  <si>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</si>
  <si>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</si>
  <si>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</si>
  <si>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</si>
  <si>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</si>
  <si>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</si>
  <si>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</si>
  <si>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</si>
  <si>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</si>
  <si>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</si>
  <si>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</si>
  <si>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</si>
  <si>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</si>
  <si>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</si>
  <si>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</si>
  <si>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</si>
  <si>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</si>
  <si>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</si>
  <si>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</si>
  <si>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</si>
  <si>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</si>
  <si>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</si>
  <si>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</si>
  <si>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</si>
  <si>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</si>
  <si>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</si>
  <si>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</si>
  <si>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</si>
  <si>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</si>
  <si>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</si>
  <si>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</si>
  <si>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</si>
  <si>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</si>
  <si>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</si>
  <si>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</si>
  <si>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</si>
  <si>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</si>
  <si>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</si>
  <si>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</si>
  <si>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</si>
  <si>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</si>
  <si>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</si>
  <si>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</si>
  <si>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</si>
  <si>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</si>
  <si>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</si>
  <si>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</si>
  <si>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</si>
  <si>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</si>
  <si>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</si>
  <si>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</si>
  <si>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</si>
  <si>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</si>
  <si>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</si>
  <si>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</si>
  <si>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</si>
  <si>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</si>
  <si>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</si>
  <si>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</si>
  <si>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</si>
  <si>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</si>
  <si>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</si>
  <si>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</si>
  <si>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</si>
  <si>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</si>
  <si>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</si>
  <si>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</si>
  <si>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</si>
  <si>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</si>
  <si>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</si>
  <si>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</si>
  <si>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</si>
  <si>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</si>
  <si>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</si>
  <si>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</si>
  <si>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</si>
  <si>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</si>
  <si>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</si>
  <si>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</si>
  <si>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</si>
  <si>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</si>
  <si>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</si>
  <si>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</si>
  <si>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</si>
  <si>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</si>
  <si>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</si>
  <si>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</si>
  <si>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</si>
  <si>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</si>
  <si>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</si>
  <si>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</si>
  <si>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</si>
  <si>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</si>
  <si>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</si>
  <si>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</si>
  <si>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</si>
  <si>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</si>
  <si>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</si>
  <si>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</si>
  <si>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</si>
  <si>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</si>
  <si>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</si>
  <si>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</si>
  <si>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</si>
  <si>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</si>
  <si>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</si>
  <si>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</si>
  <si>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</si>
  <si>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</si>
  <si>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</si>
  <si>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</si>
  <si>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</si>
  <si>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</si>
  <si>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</si>
  <si>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</si>
  <si>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</si>
  <si>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</si>
  <si>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</si>
  <si>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</si>
  <si>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</si>
  <si>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</si>
  <si>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</si>
  <si>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</si>
  <si>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</si>
  <si>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</si>
  <si>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</si>
  <si>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</si>
  <si>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</si>
  <si>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</si>
  <si>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</si>
  <si>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</si>
  <si>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</si>
  <si>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</si>
  <si>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</si>
  <si>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</si>
  <si>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</si>
  <si>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</si>
  <si>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</si>
  <si>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</si>
  <si>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</si>
  <si>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</si>
  <si>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</si>
  <si>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</si>
  <si>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</si>
  <si>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</si>
  <si>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</si>
  <si>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</si>
  <si>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</si>
  <si>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</si>
  <si>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</si>
  <si>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</si>
  <si>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</si>
  <si>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</si>
  <si>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</si>
  <si>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</si>
  <si>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</si>
  <si>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</si>
  <si>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</si>
  <si>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</si>
  <si>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</si>
  <si>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</si>
  <si>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</si>
  <si>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</si>
  <si>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</si>
  <si>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</si>
  <si>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</si>
  <si>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</si>
  <si>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</si>
  <si>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</si>
  <si>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</si>
  <si>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</si>
  <si>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</si>
  <si>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</si>
  <si>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</si>
  <si>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</si>
  <si>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</si>
  <si>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</si>
  <si>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</si>
  <si>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</si>
  <si>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</si>
  <si>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</si>
  <si>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</si>
  <si>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</si>
  <si>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</si>
  <si>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</si>
  <si>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</si>
  <si>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</si>
  <si>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</si>
  <si>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</si>
  <si>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</si>
  <si>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</si>
  <si>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</si>
  <si>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</si>
  <si>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</si>
  <si>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</si>
  <si>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</si>
  <si>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</si>
  <si>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</si>
  <si>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</si>
  <si>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</si>
  <si>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</si>
  <si>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</si>
  <si>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</si>
  <si>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</si>
  <si>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</si>
  <si>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</si>
  <si>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</si>
  <si>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</si>
  <si>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</si>
  <si>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</si>
  <si>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</si>
  <si>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</si>
  <si>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</si>
  <si>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</si>
  <si>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</si>
  <si>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</si>
  <si>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</si>
  <si>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</si>
  <si>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</si>
  <si>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</si>
  <si>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</si>
  <si>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</si>
  <si>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</si>
  <si>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</si>
  <si>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</si>
  <si>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</si>
  <si>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</si>
  <si>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</si>
  <si>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</si>
  <si>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</si>
  <si>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</si>
  <si>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</si>
  <si>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</si>
  <si>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</si>
  <si>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</si>
  <si>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</si>
  <si>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</si>
  <si>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</si>
  <si>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</si>
  <si>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</si>
  <si>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</si>
  <si>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</si>
  <si>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</si>
  <si>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</si>
  <si>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</si>
  <si>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</si>
  <si>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</si>
  <si>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</si>
  <si>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</si>
  <si>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</si>
  <si>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</si>
  <si>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</si>
  <si>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</si>
  <si>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</si>
  <si>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</si>
  <si>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</si>
  <si>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</si>
  <si>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</si>
  <si>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</si>
  <si>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</si>
  <si>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</si>
  <si>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</si>
  <si>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</si>
  <si>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</si>
  <si>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</si>
  <si>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</si>
  <si>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</si>
  <si>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</si>
  <si>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</si>
  <si>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</si>
  <si>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</si>
  <si>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</si>
  <si>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</si>
  <si>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</si>
  <si>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</si>
  <si>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</si>
  <si>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</si>
  <si>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</si>
  <si>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</si>
  <si>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</si>
  <si>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</si>
  <si>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</si>
  <si>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</si>
  <si>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</si>
  <si>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</si>
  <si>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</si>
  <si>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</si>
  <si>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</si>
  <si>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</si>
  <si>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</si>
  <si>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</si>
  <si>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</si>
  <si>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</si>
  <si>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</si>
  <si>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</si>
  <si>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</si>
  <si>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</si>
  <si>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</si>
  <si>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</si>
  <si>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</si>
  <si>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</si>
  <si>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</si>
  <si>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</si>
  <si>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</si>
  <si>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</si>
  <si>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</si>
  <si>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</si>
  <si>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</si>
  <si>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</si>
  <si>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</si>
  <si>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</si>
  <si>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</si>
  <si>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</si>
  <si>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</si>
  <si>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</si>
  <si>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</si>
  <si>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</si>
  <si>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</si>
  <si>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</si>
  <si>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</si>
  <si>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</si>
  <si>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</si>
  <si>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</si>
  <si>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</si>
  <si>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</si>
  <si>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</si>
  <si>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</si>
  <si>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</si>
  <si>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</si>
  <si>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</si>
  <si>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</si>
  <si>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</si>
  <si>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</si>
  <si>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</si>
  <si>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</si>
  <si>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</si>
  <si>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</si>
  <si>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</si>
  <si>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</si>
  <si>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</si>
  <si>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</si>
  <si>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</si>
  <si>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</si>
  <si>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</si>
  <si>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</si>
  <si>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</si>
  <si>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</si>
  <si>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</si>
  <si>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</si>
  <si>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</si>
  <si>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</si>
  <si>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</si>
  <si>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</si>
  <si>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</si>
  <si>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</si>
  <si>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</si>
  <si>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</si>
  <si>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</si>
  <si>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</si>
  <si>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</si>
  <si>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</si>
  <si>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</si>
  <si>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</si>
  <si>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</si>
  <si>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</si>
  <si>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</si>
  <si>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</si>
  <si>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</si>
  <si>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</si>
  <si>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</si>
  <si>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</si>
  <si>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</si>
  <si>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</si>
  <si>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</si>
  <si>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</si>
  <si>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</si>
  <si>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</si>
  <si>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</si>
  <si>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</si>
  <si>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</si>
  <si>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</si>
  <si>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</si>
  <si>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</si>
  <si>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</si>
  <si>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</si>
  <si>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</si>
  <si>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</si>
  <si>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</si>
  <si>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</si>
  <si>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</si>
  <si>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</si>
  <si>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</si>
  <si>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</si>
  <si>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</si>
  <si>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</si>
  <si>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</si>
  <si>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</si>
  <si>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</si>
  <si>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</si>
  <si>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</si>
  <si>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</si>
  <si>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</si>
  <si>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</si>
  <si>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</si>
  <si>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</si>
  <si>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</si>
  <si>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</si>
  <si>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</si>
  <si>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</si>
  <si>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</si>
  <si>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</si>
  <si>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</si>
  <si>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</si>
  <si>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</si>
  <si>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</si>
  <si>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</si>
  <si>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</si>
  <si>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</si>
  <si>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</si>
  <si>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</si>
  <si>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</si>
  <si>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</si>
  <si>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</si>
  <si>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</si>
  <si>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</si>
  <si>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</si>
  <si>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</si>
  <si>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</si>
  <si>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</si>
  <si>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</si>
  <si>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</si>
  <si>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</si>
  <si>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</si>
  <si>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</si>
  <si>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</si>
  <si>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</si>
  <si>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</si>
  <si>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</si>
  <si>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</si>
  <si>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</si>
  <si>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</si>
  <si>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</si>
  <si>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</si>
  <si>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</si>
  <si>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</si>
  <si>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</si>
  <si>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</si>
  <si>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</si>
  <si>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</si>
  <si>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</si>
  <si>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</si>
  <si>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</si>
  <si>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</si>
  <si>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</si>
  <si>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</si>
  <si>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</si>
  <si>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</si>
  <si>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</si>
  <si>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</si>
  <si>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</si>
  <si>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</si>
  <si>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</si>
  <si>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</si>
  <si>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</si>
  <si>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</si>
  <si>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</si>
  <si>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</si>
  <si>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</si>
  <si>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</si>
  <si>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</si>
  <si>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</si>
  <si>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</si>
  <si>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</si>
  <si>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</si>
  <si>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</si>
  <si>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</si>
  <si>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</si>
  <si>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</si>
  <si>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</si>
  <si>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</si>
  <si>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</si>
  <si>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</si>
  <si>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</si>
  <si>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</si>
  <si>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</si>
  <si>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</si>
  <si>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</si>
  <si>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</si>
  <si>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</si>
  <si>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</si>
  <si>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</si>
  <si>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</si>
  <si>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</si>
  <si>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</si>
  <si>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</si>
  <si>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</si>
  <si>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</si>
  <si>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</si>
  <si>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</si>
  <si>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</si>
  <si>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</si>
  <si>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</si>
  <si>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</si>
  <si>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</si>
  <si>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</si>
  <si>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</si>
  <si>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</si>
  <si>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</si>
  <si>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</si>
  <si>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</si>
  <si>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</si>
  <si>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</si>
  <si>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</si>
  <si>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</si>
  <si>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</si>
  <si>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</si>
  <si>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</si>
  <si>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</si>
  <si>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</si>
  <si>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</si>
  <si>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</si>
  <si>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</si>
  <si>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</si>
  <si>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</si>
  <si>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</si>
  <si>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</si>
  <si>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</si>
  <si>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</si>
  <si>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</si>
  <si>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</si>
  <si>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</si>
  <si>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</si>
  <si>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</si>
  <si>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</si>
  <si>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</si>
  <si>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</si>
  <si>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</si>
  <si>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</si>
  <si>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</si>
  <si>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</si>
  <si>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</si>
  <si>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</si>
  <si>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</si>
  <si>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</si>
  <si>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</si>
  <si>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</si>
  <si>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</si>
  <si>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</si>
  <si>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</si>
  <si>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</si>
  <si>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</si>
  <si>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</si>
  <si>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</si>
  <si>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</si>
  <si>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</si>
  <si>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</si>
  <si>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</si>
  <si>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</si>
  <si>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</si>
  <si>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</si>
  <si>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</si>
  <si>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</si>
  <si>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</si>
  <si>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</si>
  <si>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</si>
  <si>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</si>
  <si>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</si>
  <si>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</si>
  <si>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</si>
  <si>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</si>
  <si>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</si>
  <si>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</si>
  <si>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</si>
  <si>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</si>
  <si>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</si>
  <si>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</si>
  <si>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</si>
  <si>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</si>
  <si>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</si>
  <si>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</si>
  <si>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</si>
  <si>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</si>
  <si>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</si>
  <si>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</si>
  <si>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</si>
  <si>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</si>
  <si>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</si>
  <si>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</si>
  <si>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</si>
  <si>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</si>
  <si>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</si>
  <si>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</si>
  <si>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</si>
  <si>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</si>
  <si>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</si>
  <si>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</si>
  <si>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</si>
  <si>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</si>
  <si>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</si>
  <si>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</si>
  <si>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</si>
  <si>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</si>
  <si>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</si>
  <si>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</si>
  <si>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</si>
  <si>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</si>
  <si>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</si>
  <si>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</si>
  <si>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</si>
  <si>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</si>
  <si>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</si>
  <si>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</si>
  <si>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</si>
  <si>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</si>
  <si>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</si>
  <si>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</si>
  <si>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</si>
  <si>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</si>
  <si>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</si>
  <si>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</si>
  <si>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</si>
  <si>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</si>
  <si>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</si>
  <si>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</si>
  <si>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</si>
  <si>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</si>
  <si>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</si>
  <si>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</si>
  <si>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</si>
  <si>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</si>
  <si>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</si>
  <si>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</si>
  <si>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</si>
  <si>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</si>
  <si>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</si>
  <si>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</si>
  <si>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</si>
  <si>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</si>
  <si>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</si>
  <si>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</si>
  <si>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</si>
  <si>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</si>
  <si>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</si>
  <si>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</si>
  <si>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</si>
  <si>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</si>
  <si>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</si>
  <si>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</si>
  <si>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</si>
  <si>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</si>
  <si>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</si>
  <si>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</si>
  <si>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</si>
  <si>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</si>
  <si>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</si>
  <si>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</si>
  <si>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</si>
  <si>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</si>
  <si>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</si>
  <si>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</si>
  <si>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</si>
  <si>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</si>
  <si>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</si>
  <si>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</si>
  <si>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</si>
  <si>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</si>
  <si>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</si>
  <si>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</si>
  <si>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</si>
  <si>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</si>
  <si>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rPr>
        <sz val="12"/>
        <rFont val="細明體"/>
        <family val="3"/>
        <charset val="136"/>
      </rPr>
      <t>《荒野亂鬥》是一款快節奏</t>
    </r>
    <r>
      <rPr>
        <sz val="12"/>
        <rFont val="Arial"/>
        <family val="2"/>
      </rPr>
      <t>3v3</t>
    </r>
    <r>
      <rPr>
        <sz val="12"/>
        <rFont val="細明體"/>
        <family val="3"/>
        <charset val="136"/>
      </rPr>
      <t>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r>
    <phoneticPr fontId="2" type="noConversion"/>
  </si>
  <si>
    <r>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t>
    </r>
    <r>
      <rPr>
        <b/>
        <sz val="12"/>
        <color theme="1"/>
        <rFont val="新細明體"/>
        <family val="1"/>
        <charset val="136"/>
        <scheme val="minor"/>
      </rPr>
      <t>禮包碼</t>
    </r>
    <r>
      <rPr>
        <sz val="12"/>
        <color theme="1"/>
        <rFont val="新細明體"/>
        <family val="2"/>
        <scheme val="minor"/>
      </rPr>
      <t>兌換開局獎勵。透過安全的</t>
    </r>
    <r>
      <rPr>
        <b/>
        <sz val="12"/>
        <color theme="1"/>
        <rFont val="新細明體"/>
        <family val="1"/>
        <charset val="136"/>
        <scheme val="minor"/>
      </rPr>
      <t>代儲值</t>
    </r>
    <r>
      <rPr>
        <sz val="12"/>
        <color theme="1"/>
        <rFont val="新細明體"/>
        <family val="2"/>
        <scheme val="minor"/>
      </rPr>
      <t>服務獲取寶石，更能讓你解鎖強力角色，取得戰場優勢。遊戲融合Roguelike與大乱鬥的刺激感，每局都是全新體驗。快來召集你的夢幻隊伍吧！</t>
    </r>
  </si>
  <si>
    <r>
      <rPr>
        <sz val="12"/>
        <rFont val="新細明體"/>
        <family val="2"/>
      </rPr>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r>
    <phoneticPr fontId="2" type="noConversion"/>
  </si>
  <si>
    <r>
      <rPr>
        <sz val="12"/>
        <rFont val="細明體"/>
        <family val="3"/>
        <charset val="136"/>
      </rPr>
      <t>《遺忘之劍》是一款精緻的</t>
    </r>
    <r>
      <rPr>
        <sz val="12"/>
        <rFont val="Arial"/>
        <family val="2"/>
      </rPr>
      <t>2D</t>
    </r>
    <r>
      <rPr>
        <sz val="12"/>
        <rFont val="細明體"/>
        <family val="3"/>
        <charset val="136"/>
      </rPr>
      <t>橫向捲軸</t>
    </r>
    <r>
      <rPr>
        <sz val="12"/>
        <rFont val="Arial"/>
        <family val="2"/>
      </rPr>
      <t>RPG</t>
    </r>
    <r>
      <rPr>
        <sz val="12"/>
        <rFont val="細明體"/>
        <family val="3"/>
        <charset val="136"/>
      </rPr>
      <t>，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r>
    <phoneticPr fontId="2" type="noConversion"/>
  </si>
  <si>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</si>
  <si>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</si>
  <si>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</si>
  <si>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</si>
  <si>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</si>
  <si>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</si>
  <si>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</si>
  <si>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</si>
  <si>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</si>
  <si>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</si>
  <si>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r>
      <rPr>
        <sz val="12"/>
        <rFont val="細明體"/>
        <family val="3"/>
        <charset val="136"/>
      </rPr>
      <t>《吞食天地</t>
    </r>
    <r>
      <rPr>
        <sz val="12"/>
        <rFont val="Arial"/>
        <family val="2"/>
      </rPr>
      <t xml:space="preserve"> </t>
    </r>
    <r>
      <rPr>
        <sz val="12"/>
        <rFont val="細明體"/>
        <family val="3"/>
        <charset val="136"/>
      </rPr>
      <t>虛擬世界》經典三國</t>
    </r>
    <r>
      <rPr>
        <sz val="12"/>
        <rFont val="Arial"/>
        <family val="2"/>
      </rPr>
      <t>IP</t>
    </r>
    <r>
      <rPr>
        <sz val="12"/>
        <rFont val="細明體"/>
        <family val="3"/>
        <charset val="136"/>
      </rPr>
      <t>感動歸來！本作是款開放世界</t>
    </r>
    <r>
      <rPr>
        <sz val="12"/>
        <rFont val="Arial"/>
        <family val="2"/>
      </rPr>
      <t>MMORPG</t>
    </r>
    <r>
      <rPr>
        <sz val="12"/>
        <rFont val="細明體"/>
        <family val="3"/>
        <charset val="136"/>
      </rPr>
      <t>，完美還原回合制戰鬥與可愛畫風，重溫抓捕</t>
    </r>
    <r>
      <rPr>
        <sz val="12"/>
        <rFont val="Arial"/>
        <family val="2"/>
      </rPr>
      <t>NPC</t>
    </r>
    <r>
      <rPr>
        <sz val="12"/>
        <rFont val="細明體"/>
        <family val="3"/>
        <charset val="136"/>
      </rPr>
      <t>、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r>
    <phoneticPr fontId="2" type="noConversion"/>
  </si>
  <si>
    <t>2990元寶</t>
  </si>
  <si>
    <t>1490元寶</t>
  </si>
  <si>
    <t>450元寶</t>
  </si>
  <si>
    <t>180元寶</t>
  </si>
  <si>
    <t>90元寶</t>
  </si>
  <si>
    <t>30元寶</t>
  </si>
  <si>
    <t>尊貴月卡</t>
  </si>
  <si>
    <t>元寶月卡</t>
  </si>
  <si>
    <t>資源月卡</t>
  </si>
  <si>
    <t>資源周卡</t>
  </si>
  <si>
    <t>元寶周卡</t>
  </si>
  <si>
    <r>
      <rPr>
        <sz val="12"/>
        <rFont val="細明體"/>
        <family val="3"/>
        <charset val="136"/>
      </rPr>
      <t>封神：蒼嵐契約</t>
    </r>
    <r>
      <rPr>
        <sz val="12"/>
        <rFont val="Arial"/>
        <family val="2"/>
      </rPr>
      <t xml:space="preserve"> </t>
    </r>
    <phoneticPr fontId="2" type="noConversion"/>
  </si>
  <si>
    <t>https://www.facebook.com/profile.php?id=61578957816469</t>
  </si>
  <si>
    <t>https://apps.apple.com/tw/app/%E5%B0%81%E7%A5%9E-%E8%92%BC%E5%B5%90%E5%A5%91%E7%B4%84/id6748110726</t>
  </si>
  <si>
    <t>https://l.facebook.com/l.php?u=https%3A%2F%2Fdrive.google.com%2Ffile%2Fd%2F1WEmdcrN1r89fbt9cynQyNvxLuHn9J60H%2Fview%3Fusp%3Dsharing%26fbclid%3DIwZXh0bgNhZW0CMTAAYnJpZBExbmtpd3BqTWJrZUlDZWNoTwEeQ5cl0F43dhNpC8AnzVWZ_veTkzTmNgUPWkXoN6AEXFsIC09XICD6mtx57zM_aem_IgtsGGeCFonJFWLK0_MP8g&amp;h=AT3O0X74-1aLpyWKfKAbKA2P-FnPBun8wlk55fCZ5kJlu-HiV6QGMJGcVKEYaI_2vXP4YqUfeg4aFZXZKMzCnxN_5Rhcx4O8-IGx58rmwag0rQuosSFM0muDWhQpjtj3cDvV_hJt3T5Xtys&amp;__tn__=-UK-R&amp;c[0]=AT0e-iUHSgjYHkfucwguW39OZ-bKaLMgQ6QXVja1fzGsEOaIACMKZfPRhU2ROJmD9TO-N86uuVOn339B_PZgkrlT8e7ih2UuTqfy65uPFdR3QiTTgY9oTSUr-qIxox3IZgwZ9z35ENVERE-kemQRiGakLM5p5qciTlv_QIjv_pCT6sNSqSNDG-E0Ixr0w-CzkQ8OdZ6vDIMZoAUs947ugU9PyZQq9g</t>
  </si>
  <si>
    <r>
      <rPr>
        <sz val="12"/>
        <rFont val="細明體"/>
        <family val="3"/>
        <charset val="136"/>
      </rPr>
      <t>《封神：蒼嵐契約》是一款東方神話主題的放置卡牌</t>
    </r>
    <r>
      <rPr>
        <sz val="12"/>
        <rFont val="Arial"/>
        <family val="2"/>
      </rPr>
      <t xml:space="preserve"> RPG </t>
    </r>
    <r>
      <rPr>
        <sz val="12"/>
        <rFont val="細明體"/>
        <family val="3"/>
        <charset val="136"/>
      </rPr>
      <t>手遊，帶您進入一個瑰麗奇幻的封神世界。遊戲以精美的國風美術風格，重新演繹哪吒、妲己、姜子牙等經典角色，打造出策略性十足的卡牌對戰體驗。玩家將扮演天命之人，召喚來自不同陣營的神將，巧妙佈陣，挑戰各式</t>
    </r>
    <r>
      <rPr>
        <sz val="12"/>
        <rFont val="Arial"/>
        <family val="2"/>
      </rPr>
      <t>PVE</t>
    </r>
    <r>
      <rPr>
        <sz val="12"/>
        <rFont val="細明體"/>
        <family val="3"/>
        <charset val="136"/>
      </rPr>
      <t>關卡與</t>
    </r>
    <r>
      <rPr>
        <sz val="12"/>
        <rFont val="Arial"/>
        <family val="2"/>
      </rPr>
      <t>PVP</t>
    </r>
    <r>
      <rPr>
        <sz val="12"/>
        <rFont val="細明體"/>
        <family val="3"/>
        <charset val="136"/>
      </rPr>
      <t>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r>
    <phoneticPr fontId="2" type="noConversion"/>
  </si>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</sst>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
      <sz val="12"/>
      <name val="新細明體"/>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hyperlink" Target="https://www.highbrow.com/"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56" Type="http://schemas.openxmlformats.org/officeDocument/2006/relationships/printerSettings" Target="../printerSettings/printerSettings1.bin"/><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tabSelected="1" zoomScaleNormal="100" workbookViewId="0">
      <pane xSplit="1" ySplit="1" topLeftCell="F190" activePane="bottomRight" state="frozen"/>
      <selection pane="topRight" activeCell="B1" sqref="B1"/>
      <selection pane="bottomLeft" activeCell="A2" sqref="A2"/>
      <selection pane="bottomRight" activeCell="AD197" sqref="AD197:AE197"/>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4"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3593</v>
      </c>
      <c r="C192" s="24" t="s">
        <v>3581</v>
      </c>
      <c r="D192" s="23" t="s">
        <v>3580</v>
      </c>
      <c r="E192" s="23" t="s">
        <v>3582</v>
      </c>
      <c r="F192" s="8" t="str">
        <f t="shared" ref="F192:F254" si="8">IF(A192="", "", "gift-codes.html?game=" &amp; A192)</f>
        <v>gift-codes.html?game=荒野亂鬥</v>
      </c>
      <c r="G192" s="23" t="s">
        <v>3583</v>
      </c>
      <c r="H192" s="10" t="str">
        <f t="shared" si="7"/>
        <v>https://www.ssbuy.tw/game-detail.html?game=荒野亂鬥</v>
      </c>
      <c r="I192" s="39" t="s">
        <v>3633</v>
      </c>
      <c r="J192" s="3" t="s">
        <v>3607</v>
      </c>
      <c r="K192" s="4">
        <v>2415</v>
      </c>
      <c r="L192" s="3" t="s">
        <v>3608</v>
      </c>
      <c r="M192" s="4">
        <v>1225</v>
      </c>
      <c r="N192" s="3" t="s">
        <v>3609</v>
      </c>
      <c r="O192" s="4">
        <v>497</v>
      </c>
      <c r="P192" s="3" t="s">
        <v>3610</v>
      </c>
      <c r="Q192" s="4">
        <v>248</v>
      </c>
      <c r="R192" s="3" t="s">
        <v>3611</v>
      </c>
      <c r="S192" s="4">
        <v>132</v>
      </c>
      <c r="T192" s="3" t="s">
        <v>32</v>
      </c>
      <c r="U192" s="4">
        <v>53</v>
      </c>
    </row>
    <row r="193" spans="1:33" ht="23.25" customHeight="1" thickBot="1" x14ac:dyDescent="0.3">
      <c r="A193" s="21" t="s">
        <v>3592</v>
      </c>
      <c r="C193" s="24" t="s">
        <v>3587</v>
      </c>
      <c r="D193" s="23" t="s">
        <v>3586</v>
      </c>
      <c r="E193" s="23" t="s">
        <v>3585</v>
      </c>
      <c r="F193" s="8" t="str">
        <f t="shared" si="8"/>
        <v>gift-codes.html?game=遺忘之劍</v>
      </c>
      <c r="G193" s="23" t="s">
        <v>3588</v>
      </c>
      <c r="H193" s="10" t="str">
        <f t="shared" si="7"/>
        <v>https://www.ssbuy.tw/game-detail.html?game=遺忘之劍</v>
      </c>
      <c r="I193" s="39" t="s">
        <v>3636</v>
      </c>
      <c r="J193" s="3" t="s">
        <v>3612</v>
      </c>
      <c r="K193" s="4">
        <v>1890</v>
      </c>
      <c r="L193" s="3" t="s">
        <v>3613</v>
      </c>
      <c r="M193" s="4">
        <v>945</v>
      </c>
      <c r="N193" s="3" t="s">
        <v>3614</v>
      </c>
      <c r="O193" s="4">
        <v>575</v>
      </c>
      <c r="P193" s="3" t="s">
        <v>3615</v>
      </c>
      <c r="Q193" s="4">
        <v>192</v>
      </c>
      <c r="R193" s="3" t="s">
        <v>3616</v>
      </c>
      <c r="S193" s="4">
        <v>102</v>
      </c>
      <c r="T193" s="3" t="s">
        <v>3617</v>
      </c>
      <c r="U193" s="4">
        <v>64</v>
      </c>
      <c r="V193" s="3" t="s">
        <v>3618</v>
      </c>
      <c r="W193" s="4">
        <v>192</v>
      </c>
    </row>
    <row r="194" spans="1:33" ht="23.25" customHeight="1" thickBot="1" x14ac:dyDescent="0.3">
      <c r="A194" s="83" t="s">
        <v>3579</v>
      </c>
      <c r="C194" s="24" t="s">
        <v>3589</v>
      </c>
      <c r="D194" s="23" t="s">
        <v>3590</v>
      </c>
      <c r="E194" s="23" t="s">
        <v>3591</v>
      </c>
      <c r="F194" s="8" t="str">
        <f t="shared" si="8"/>
        <v>gift-codes.html?game=破壞突擊隊</v>
      </c>
      <c r="G194" s="23" t="s">
        <v>3584</v>
      </c>
      <c r="H194" s="10" t="str">
        <f t="shared" si="7"/>
        <v>https://www.ssbuy.tw/game-detail.html?game=破壞突擊隊</v>
      </c>
      <c r="I194" t="s">
        <v>3634</v>
      </c>
      <c r="J194" s="3" t="s">
        <v>3624</v>
      </c>
      <c r="K194" s="4">
        <v>622</v>
      </c>
      <c r="L194" s="3" t="s">
        <v>3625</v>
      </c>
      <c r="M194" s="4">
        <v>312</v>
      </c>
      <c r="N194" s="3" t="s">
        <v>3626</v>
      </c>
      <c r="O194" s="4">
        <v>176</v>
      </c>
      <c r="P194" s="3" t="s">
        <v>3627</v>
      </c>
      <c r="Q194" s="4">
        <v>102</v>
      </c>
      <c r="R194" s="3" t="s">
        <v>3628</v>
      </c>
      <c r="S194" s="4">
        <v>51</v>
      </c>
      <c r="T194" s="3" t="s">
        <v>3629</v>
      </c>
      <c r="U194" s="4">
        <v>26</v>
      </c>
      <c r="V194" s="3" t="s">
        <v>3630</v>
      </c>
      <c r="W194" s="4">
        <v>391</v>
      </c>
      <c r="X194" s="3" t="s">
        <v>3631</v>
      </c>
      <c r="Y194" s="4">
        <v>391</v>
      </c>
      <c r="Z194" s="3" t="s">
        <v>3632</v>
      </c>
      <c r="AA194" s="4">
        <v>622</v>
      </c>
    </row>
    <row r="195" spans="1:33" ht="23.25" customHeight="1" thickBot="1" x14ac:dyDescent="0.25">
      <c r="A195" s="22" t="s">
        <v>3619</v>
      </c>
      <c r="C195" s="24" t="s">
        <v>3623</v>
      </c>
      <c r="D195" s="23" t="s">
        <v>3622</v>
      </c>
      <c r="E195" s="23" t="s">
        <v>3620</v>
      </c>
      <c r="F195" s="8" t="str">
        <f t="shared" si="8"/>
        <v>gift-codes.html?game=月兔茶屋：悠閒之旅</v>
      </c>
      <c r="G195" s="23" t="s">
        <v>3621</v>
      </c>
      <c r="H195" s="10" t="str">
        <f t="shared" si="7"/>
        <v>https://www.ssbuy.tw/game-detail.html?game=月兔茶屋：悠閒之旅</v>
      </c>
      <c r="I195" s="2" t="s">
        <v>3635</v>
      </c>
      <c r="J195" s="3" t="s">
        <v>3624</v>
      </c>
      <c r="K195" s="4">
        <v>622</v>
      </c>
      <c r="L195" s="3" t="s">
        <v>3625</v>
      </c>
      <c r="M195" s="4">
        <v>312</v>
      </c>
      <c r="N195" s="3" t="s">
        <v>3626</v>
      </c>
      <c r="O195" s="4">
        <v>176</v>
      </c>
      <c r="P195" s="3" t="s">
        <v>3627</v>
      </c>
      <c r="Q195" s="4">
        <v>102</v>
      </c>
      <c r="R195" s="3" t="s">
        <v>3628</v>
      </c>
      <c r="S195" s="4">
        <v>51</v>
      </c>
      <c r="T195" s="3" t="s">
        <v>3629</v>
      </c>
      <c r="U195" s="4">
        <v>26</v>
      </c>
      <c r="V195" s="3" t="s">
        <v>3630</v>
      </c>
      <c r="W195" s="4">
        <v>391</v>
      </c>
      <c r="X195" s="3" t="s">
        <v>3631</v>
      </c>
      <c r="Y195" s="4">
        <v>391</v>
      </c>
      <c r="Z195" s="3" t="s">
        <v>3632</v>
      </c>
      <c r="AA195" s="4">
        <v>622</v>
      </c>
    </row>
    <row r="196" spans="1:33" ht="23.25" customHeight="1" thickBot="1" x14ac:dyDescent="0.25">
      <c r="A196" s="20" t="s">
        <v>3637</v>
      </c>
      <c r="C196" s="1" t="s">
        <v>3639</v>
      </c>
      <c r="D196" s="23" t="s">
        <v>3638</v>
      </c>
      <c r="E196" s="2" t="s">
        <v>3641</v>
      </c>
      <c r="F196" s="8" t="str">
        <f t="shared" si="8"/>
        <v>gift-codes.html?game=吞食天地 虛擬世界</v>
      </c>
      <c r="G196" s="2" t="s">
        <v>3640</v>
      </c>
      <c r="H196" s="10" t="str">
        <f t="shared" si="7"/>
        <v>https://www.ssbuy.tw/game-detail.html?game=吞食天地 虛擬世界</v>
      </c>
      <c r="I196" s="39" t="s">
        <v>3647</v>
      </c>
      <c r="J196" s="3" t="s">
        <v>3648</v>
      </c>
      <c r="K196" s="4">
        <v>2355</v>
      </c>
      <c r="L196" s="3" t="s">
        <v>3649</v>
      </c>
      <c r="M196" s="4">
        <v>1174</v>
      </c>
      <c r="N196" s="3" t="s">
        <v>3650</v>
      </c>
      <c r="O196" s="4">
        <v>359</v>
      </c>
      <c r="P196" s="3" t="s">
        <v>239</v>
      </c>
      <c r="Q196" s="4">
        <v>240</v>
      </c>
      <c r="R196" s="3" t="s">
        <v>3651</v>
      </c>
      <c r="S196" s="4">
        <v>153</v>
      </c>
      <c r="T196" s="3" t="s">
        <v>3652</v>
      </c>
      <c r="U196" s="4">
        <v>77</v>
      </c>
      <c r="V196" s="3" t="s">
        <v>3653</v>
      </c>
      <c r="W196" s="4">
        <v>26</v>
      </c>
      <c r="X196" s="3" t="s">
        <v>3654</v>
      </c>
      <c r="Y196" s="4">
        <v>359</v>
      </c>
      <c r="Z196" s="3" t="s">
        <v>3655</v>
      </c>
      <c r="AA196" s="4">
        <v>240</v>
      </c>
      <c r="AB196" s="3" t="s">
        <v>3656</v>
      </c>
      <c r="AC196" s="4">
        <v>240</v>
      </c>
      <c r="AD196" s="3" t="s">
        <v>3657</v>
      </c>
      <c r="AE196" s="4">
        <v>128</v>
      </c>
      <c r="AF196" s="3" t="s">
        <v>3658</v>
      </c>
      <c r="AG196" s="4">
        <v>128</v>
      </c>
    </row>
    <row r="197" spans="1:33" ht="23.25" customHeight="1" thickBot="1" x14ac:dyDescent="0.25">
      <c r="A197" s="1" t="s">
        <v>3659</v>
      </c>
      <c r="C197" s="1" t="s">
        <v>3660</v>
      </c>
      <c r="D197" s="1" t="s">
        <v>3660</v>
      </c>
      <c r="E197" s="2" t="s">
        <v>3661</v>
      </c>
      <c r="F197" s="8" t="str">
        <f t="shared" si="8"/>
        <v xml:space="preserve">gift-codes.html?game=封神：蒼嵐契約 </v>
      </c>
      <c r="G197" s="2" t="s">
        <v>3662</v>
      </c>
      <c r="H197" s="10" t="str">
        <f t="shared" si="7"/>
        <v xml:space="preserve">https://www.ssbuy.tw/game-detail.html?game=封神：蒼嵐契約 </v>
      </c>
      <c r="I197" s="39" t="s">
        <v>3663</v>
      </c>
      <c r="J197" s="3" t="s">
        <v>235</v>
      </c>
      <c r="K197" s="4">
        <v>2355</v>
      </c>
      <c r="L197" s="3" t="s">
        <v>236</v>
      </c>
      <c r="M197" s="4">
        <v>1174</v>
      </c>
      <c r="N197" s="3" t="s">
        <v>1292</v>
      </c>
      <c r="O197" s="4">
        <v>780</v>
      </c>
      <c r="P197" s="3" t="s">
        <v>237</v>
      </c>
      <c r="Q197" s="4">
        <v>535</v>
      </c>
      <c r="R197" s="3" t="s">
        <v>1652</v>
      </c>
      <c r="S197" s="4">
        <v>391</v>
      </c>
      <c r="T197" s="3" t="s">
        <v>238</v>
      </c>
      <c r="U197" s="4">
        <v>264</v>
      </c>
      <c r="V197" s="3" t="s">
        <v>239</v>
      </c>
      <c r="W197" s="4">
        <v>145</v>
      </c>
      <c r="X197" s="3" t="s">
        <v>240</v>
      </c>
      <c r="Y197" s="4">
        <v>28</v>
      </c>
      <c r="Z197" s="3" t="s">
        <v>1313</v>
      </c>
      <c r="AA197" s="4">
        <v>780</v>
      </c>
      <c r="AB197" s="3" t="s">
        <v>3679</v>
      </c>
      <c r="AC197" s="4">
        <v>264</v>
      </c>
      <c r="AD197" s="3" t="s">
        <v>3680</v>
      </c>
      <c r="AE197" s="4">
        <v>391</v>
      </c>
    </row>
    <row r="198" spans="1:33" ht="23.25" customHeight="1" x14ac:dyDescent="0.25">
      <c r="F198" s="8" t="str">
        <f t="shared" si="8"/>
        <v/>
      </c>
      <c r="H198" s="10" t="str">
        <f t="shared" si="7"/>
        <v/>
      </c>
    </row>
    <row r="199" spans="1:33" ht="23.25" customHeight="1" x14ac:dyDescent="0.25">
      <c r="F199" s="8" t="str">
        <f t="shared" si="8"/>
        <v/>
      </c>
      <c r="H199" s="10" t="str">
        <f t="shared" si="7"/>
        <v/>
      </c>
    </row>
    <row r="200" spans="1:33" ht="23.25" customHeight="1" x14ac:dyDescent="0.25">
      <c r="F200" s="8" t="str">
        <f t="shared" si="8"/>
        <v/>
      </c>
      <c r="H200" s="10" t="str">
        <f t="shared" si="7"/>
        <v/>
      </c>
    </row>
    <row r="201" spans="1:33" ht="23.25" customHeight="1" x14ac:dyDescent="0.25">
      <c r="F201" s="8" t="str">
        <f t="shared" si="8"/>
        <v/>
      </c>
      <c r="H201" s="10" t="str">
        <f t="shared" si="7"/>
        <v/>
      </c>
    </row>
    <row r="202" spans="1:33" ht="23.25" customHeight="1" x14ac:dyDescent="0.25">
      <c r="F202" s="8" t="str">
        <f t="shared" si="8"/>
        <v/>
      </c>
      <c r="H202" s="10" t="str">
        <f t="shared" si="7"/>
        <v/>
      </c>
    </row>
    <row r="203" spans="1:33" ht="23.25" customHeight="1" x14ac:dyDescent="0.25">
      <c r="F203" s="8" t="str">
        <f t="shared" si="8"/>
        <v/>
      </c>
      <c r="H203" s="10" t="str">
        <f t="shared" si="7"/>
        <v/>
      </c>
    </row>
    <row r="204" spans="1:33" ht="23.25" customHeight="1" x14ac:dyDescent="0.25">
      <c r="F204" s="8" t="str">
        <f t="shared" si="8"/>
        <v/>
      </c>
      <c r="H204" s="10" t="str">
        <f t="shared" si="7"/>
        <v/>
      </c>
    </row>
    <row r="205" spans="1:33" ht="23.25" customHeight="1" x14ac:dyDescent="0.25">
      <c r="F205" s="8" t="str">
        <f t="shared" si="8"/>
        <v/>
      </c>
      <c r="H205" s="10" t="str">
        <f t="shared" si="7"/>
        <v/>
      </c>
    </row>
    <row r="206" spans="1:33" ht="23.25" customHeight="1" x14ac:dyDescent="0.25">
      <c r="F206" s="8" t="str">
        <f t="shared" si="8"/>
        <v/>
      </c>
      <c r="H206" s="10" t="str">
        <f t="shared" si="7"/>
        <v/>
      </c>
    </row>
    <row r="207" spans="1:33" ht="23.25" customHeight="1" x14ac:dyDescent="0.25">
      <c r="F207" s="8" t="str">
        <f t="shared" si="8"/>
        <v/>
      </c>
      <c r="H207" s="10" t="str">
        <f t="shared" si="7"/>
        <v/>
      </c>
    </row>
    <row r="208" spans="1:33" ht="23.25" customHeight="1" x14ac:dyDescent="0.25">
      <c r="F208" s="8" t="str">
        <f t="shared" si="8"/>
        <v/>
      </c>
      <c r="H208" s="10" t="str">
        <f t="shared" si="7"/>
        <v/>
      </c>
    </row>
    <row r="209" spans="6:8" ht="23.25" customHeight="1" x14ac:dyDescent="0.25">
      <c r="F209" s="8" t="str">
        <f t="shared" si="8"/>
        <v/>
      </c>
      <c r="H209" s="10" t="str">
        <f t="shared" si="7"/>
        <v/>
      </c>
    </row>
    <row r="210" spans="6:8" ht="23.25" customHeight="1" x14ac:dyDescent="0.25">
      <c r="F210" s="8" t="str">
        <f t="shared" si="8"/>
        <v/>
      </c>
      <c r="H210" s="10" t="str">
        <f t="shared" si="7"/>
        <v/>
      </c>
    </row>
    <row r="211" spans="6:8" ht="23.25" customHeight="1" x14ac:dyDescent="0.25">
      <c r="F211" s="8" t="str">
        <f t="shared" si="8"/>
        <v/>
      </c>
      <c r="H211" s="10" t="str">
        <f t="shared" si="7"/>
        <v/>
      </c>
    </row>
    <row r="212" spans="6:8" ht="23.25" customHeight="1" x14ac:dyDescent="0.25">
      <c r="F212" s="8" t="str">
        <f t="shared" si="8"/>
        <v/>
      </c>
      <c r="H212" s="10" t="str">
        <f t="shared" si="7"/>
        <v/>
      </c>
    </row>
    <row r="213" spans="6:8" ht="23.25" customHeight="1" x14ac:dyDescent="0.25">
      <c r="F213" s="8" t="str">
        <f t="shared" si="8"/>
        <v/>
      </c>
      <c r="H213" s="10" t="str">
        <f t="shared" si="7"/>
        <v/>
      </c>
    </row>
    <row r="214" spans="6:8" ht="23.25" customHeight="1" x14ac:dyDescent="0.25">
      <c r="F214" s="8" t="str">
        <f t="shared" si="8"/>
        <v/>
      </c>
      <c r="H214" s="10" t="str">
        <f t="shared" si="7"/>
        <v/>
      </c>
    </row>
    <row r="215" spans="6:8" ht="23.25" customHeight="1" x14ac:dyDescent="0.25">
      <c r="F215" s="8" t="str">
        <f t="shared" si="8"/>
        <v/>
      </c>
      <c r="H215" s="10" t="str">
        <f t="shared" si="7"/>
        <v/>
      </c>
    </row>
    <row r="216" spans="6:8" ht="23.25" customHeight="1" x14ac:dyDescent="0.25">
      <c r="F216" s="8" t="str">
        <f t="shared" si="8"/>
        <v/>
      </c>
      <c r="H216" s="10" t="str">
        <f t="shared" si="7"/>
        <v/>
      </c>
    </row>
    <row r="217" spans="6:8" ht="23.25" customHeight="1" x14ac:dyDescent="0.25">
      <c r="F217" s="8" t="str">
        <f t="shared" si="8"/>
        <v/>
      </c>
      <c r="H217" s="10" t="str">
        <f t="shared" si="7"/>
        <v/>
      </c>
    </row>
    <row r="218" spans="6:8" ht="23.25" customHeight="1" x14ac:dyDescent="0.25">
      <c r="F218" s="8" t="str">
        <f t="shared" si="8"/>
        <v/>
      </c>
      <c r="H218" s="10" t="str">
        <f t="shared" si="7"/>
        <v/>
      </c>
    </row>
    <row r="219" spans="6:8" ht="23.25" customHeight="1" x14ac:dyDescent="0.25">
      <c r="F219" s="8" t="str">
        <f t="shared" si="8"/>
        <v/>
      </c>
      <c r="H219" s="10" t="str">
        <f t="shared" si="7"/>
        <v/>
      </c>
    </row>
    <row r="220" spans="6:8" ht="23.25" customHeight="1" x14ac:dyDescent="0.25">
      <c r="F220" s="8" t="str">
        <f t="shared" si="8"/>
        <v/>
      </c>
      <c r="H220" s="10" t="str">
        <f t="shared" si="7"/>
        <v/>
      </c>
    </row>
    <row r="221" spans="6:8" ht="23.25" customHeight="1" x14ac:dyDescent="0.25">
      <c r="F221" s="8" t="str">
        <f t="shared" si="8"/>
        <v/>
      </c>
      <c r="H221" s="10" t="str">
        <f t="shared" si="7"/>
        <v/>
      </c>
    </row>
    <row r="222" spans="6:8" ht="23.25" customHeight="1" x14ac:dyDescent="0.25">
      <c r="F222" s="8" t="str">
        <f t="shared" si="8"/>
        <v/>
      </c>
      <c r="H222" s="10" t="str">
        <f t="shared" si="7"/>
        <v/>
      </c>
    </row>
    <row r="223" spans="6:8" ht="23.25" customHeight="1" x14ac:dyDescent="0.25">
      <c r="F223" s="8" t="str">
        <f t="shared" si="8"/>
        <v/>
      </c>
      <c r="H223" s="10" t="str">
        <f t="shared" si="7"/>
        <v/>
      </c>
    </row>
    <row r="224" spans="6:8" ht="23.2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22.15" customHeight="1"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si="8"/>
        <v/>
      </c>
      <c r="H254" s="10" t="str">
        <f t="shared" si="7"/>
        <v/>
      </c>
    </row>
    <row r="255" spans="6:8" ht="19.5" x14ac:dyDescent="0.25">
      <c r="F255" s="8" t="str">
        <f t="shared" ref="F255:F318" si="9">IF(A255="", "", "gift-codes.html?game=" &amp; A255)</f>
        <v/>
      </c>
      <c r="H255" s="10" t="str">
        <f t="shared" ref="H255:H318" si="10">IF(A255="", "", "https://www.ssbuy.tw/game-detail.html?game="&amp;A255)</f>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si="9"/>
        <v/>
      </c>
      <c r="H318" s="10" t="str">
        <f t="shared" si="10"/>
        <v/>
      </c>
    </row>
    <row r="319" spans="6:8" ht="19.5" x14ac:dyDescent="0.25">
      <c r="F319" s="8" t="str">
        <f t="shared" ref="F319:F382" si="11">IF(A319="", "", "gift-codes.html?game=" &amp; A319)</f>
        <v/>
      </c>
      <c r="H319" s="10" t="str">
        <f t="shared" ref="H319:H382" si="12">IF(A319="", "", "https://www.ssbuy.tw/game-detail.html?game="&amp;A319)</f>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si="11"/>
        <v/>
      </c>
      <c r="H382" s="10" t="str">
        <f t="shared" si="12"/>
        <v/>
      </c>
    </row>
    <row r="383" spans="6:8" ht="19.5" x14ac:dyDescent="0.25">
      <c r="F383" s="8" t="str">
        <f t="shared" ref="F383:F446" si="13">IF(A383="", "", "gift-codes.html?game=" &amp; A383)</f>
        <v/>
      </c>
      <c r="H383" s="10" t="str">
        <f t="shared" ref="H383:H446" si="14">IF(A383="", "", "https://www.ssbuy.tw/game-detail.html?game="&amp;A383)</f>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si="13"/>
        <v/>
      </c>
      <c r="H446" s="10" t="str">
        <f t="shared" si="14"/>
        <v/>
      </c>
    </row>
    <row r="447" spans="6:8" ht="19.5" x14ac:dyDescent="0.25">
      <c r="F447" s="8" t="str">
        <f t="shared" ref="F447:F510" si="15">IF(A447="", "", "gift-codes.html?game=" &amp; A447)</f>
        <v/>
      </c>
      <c r="H447" s="10" t="str">
        <f t="shared" ref="H447:H510" si="16">IF(A447="", "", "https://www.ssbuy.tw/game-detail.html?game="&amp;A447)</f>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si="15"/>
        <v/>
      </c>
      <c r="H510" s="10" t="str">
        <f t="shared" si="16"/>
        <v/>
      </c>
    </row>
    <row r="511" spans="6:8" ht="19.5" x14ac:dyDescent="0.25">
      <c r="F511" s="8" t="str">
        <f t="shared" ref="F511:F574" si="17">IF(A511="", "", "gift-codes.html?game=" &amp; A511)</f>
        <v/>
      </c>
      <c r="H511" s="10" t="str">
        <f t="shared" ref="H511:H574" si="18">IF(A511="", "", "https://www.ssbuy.tw/game-detail.html?game="&amp;A511)</f>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si="17"/>
        <v/>
      </c>
      <c r="H574" s="10" t="str">
        <f t="shared" si="18"/>
        <v/>
      </c>
    </row>
    <row r="575" spans="6:8" ht="19.5" x14ac:dyDescent="0.25">
      <c r="F575" s="8" t="str">
        <f t="shared" ref="F575:F577" si="19">IF(A575="", "", "gift-codes.html?game=" &amp; A575)</f>
        <v/>
      </c>
      <c r="H575" s="10" t="str">
        <f t="shared" ref="H575:H633" si="20">IF(A575="", "", "https://www.ssbuy.tw/game-detail.html?game="&amp;A575)</f>
        <v/>
      </c>
    </row>
    <row r="576" spans="6:8" ht="19.5" x14ac:dyDescent="0.25">
      <c r="F576" s="8" t="str">
        <f t="shared" si="19"/>
        <v/>
      </c>
      <c r="H576" s="10" t="str">
        <f t="shared" si="20"/>
        <v/>
      </c>
    </row>
    <row r="577" spans="6:8" ht="19.5" x14ac:dyDescent="0.25">
      <c r="F577" s="8" t="str">
        <f t="shared" si="19"/>
        <v/>
      </c>
      <c r="H577" s="10" t="str">
        <f t="shared" si="20"/>
        <v/>
      </c>
    </row>
    <row r="578" spans="6:8" ht="19.5" x14ac:dyDescent="0.25">
      <c r="H578" s="10" t="str">
        <f t="shared" si="20"/>
        <v/>
      </c>
    </row>
    <row r="579" spans="6:8" ht="19.5" x14ac:dyDescent="0.25">
      <c r="H579" s="10" t="str">
        <f t="shared" si="20"/>
        <v/>
      </c>
    </row>
    <row r="580" spans="6:8" ht="19.5" x14ac:dyDescent="0.25">
      <c r="H580" s="10" t="str">
        <f t="shared" si="20"/>
        <v/>
      </c>
    </row>
    <row r="581" spans="6:8" ht="19.5" x14ac:dyDescent="0.25">
      <c r="H581" s="10" t="str">
        <f t="shared" si="20"/>
        <v/>
      </c>
    </row>
    <row r="582" spans="6:8" ht="19.5" x14ac:dyDescent="0.25">
      <c r="H582" s="10" t="str">
        <f t="shared" si="20"/>
        <v/>
      </c>
    </row>
    <row r="583" spans="6:8" ht="19.5" x14ac:dyDescent="0.25">
      <c r="H583" s="10" t="str">
        <f t="shared" si="20"/>
        <v/>
      </c>
    </row>
    <row r="584" spans="6:8" ht="19.5" x14ac:dyDescent="0.25">
      <c r="H584" s="10" t="str">
        <f t="shared" si="20"/>
        <v/>
      </c>
    </row>
    <row r="585" spans="6:8" ht="19.5" x14ac:dyDescent="0.25">
      <c r="H585" s="10" t="str">
        <f t="shared" si="20"/>
        <v/>
      </c>
    </row>
    <row r="586" spans="6:8" ht="19.5" x14ac:dyDescent="0.25">
      <c r="H586" s="10" t="str">
        <f t="shared" si="20"/>
        <v/>
      </c>
    </row>
    <row r="587" spans="6:8" ht="19.5" x14ac:dyDescent="0.25">
      <c r="H587" s="10" t="str">
        <f t="shared" si="20"/>
        <v/>
      </c>
    </row>
    <row r="588" spans="6:8" ht="19.5" x14ac:dyDescent="0.25">
      <c r="H588" s="10" t="str">
        <f t="shared" si="20"/>
        <v/>
      </c>
    </row>
    <row r="589" spans="6:8" ht="19.5" x14ac:dyDescent="0.25">
      <c r="H589" s="10" t="str">
        <f t="shared" si="20"/>
        <v/>
      </c>
    </row>
    <row r="590" spans="6:8" ht="19.5" x14ac:dyDescent="0.25">
      <c r="H590" s="10" t="str">
        <f t="shared" si="20"/>
        <v/>
      </c>
    </row>
    <row r="591" spans="6:8" ht="19.5" x14ac:dyDescent="0.25">
      <c r="H591" s="10" t="str">
        <f t="shared" si="20"/>
        <v/>
      </c>
    </row>
    <row r="592" spans="6: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row r="633" spans="8:8" ht="19.5" x14ac:dyDescent="0.25">
      <c r="H633"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s>
  <pageMargins left="0.7" right="0.7" top="0.75" bottom="0.75" header="0.3" footer="0.3"/>
  <pageSetup paperSize="9" orientation="portrait" r:id="rId5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workbookViewId="0">
      <pane xSplit="1" ySplit="1" topLeftCell="B187" activePane="bottomRight" state="frozen"/>
      <selection pane="topRight" activeCell="B1" sqref="B1"/>
      <selection pane="bottomLeft" activeCell="A2" sqref="A2"/>
      <selection pane="bottomRight" activeCell="H197" sqref="H197"/>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4" si="7">IF(A191="","", "giftcodesbanner/" &amp; A191 &amp; "-禮包碼.jpg")</f>
        <v>giftcodesbanner/手刀搶英雄-禮包碼.jpg</v>
      </c>
      <c r="D191" s="49" t="str">
        <f t="shared" ref="D191:D254"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53" t="s">
        <v>3519</v>
      </c>
      <c r="G192" s="49" t="s">
        <v>2666</v>
      </c>
      <c r="H192" s="54" t="s">
        <v>2666</v>
      </c>
      <c r="I192" s="49" t="s">
        <v>2666</v>
      </c>
      <c r="K192" s="53" t="s">
        <v>3519</v>
      </c>
      <c r="L192" s="49" t="s">
        <v>2666</v>
      </c>
      <c r="M192" s="54" t="s">
        <v>2666</v>
      </c>
      <c r="N192" s="49" t="s">
        <v>2666</v>
      </c>
    </row>
    <row r="193" spans="1:26"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70" t="s">
        <v>3594</v>
      </c>
      <c r="G193" s="49" t="s">
        <v>3595</v>
      </c>
      <c r="H193" s="49" t="s">
        <v>3596</v>
      </c>
      <c r="I193" s="49" t="s">
        <v>2651</v>
      </c>
      <c r="K193" s="53" t="s">
        <v>3597</v>
      </c>
      <c r="L193" s="49" t="s">
        <v>3605</v>
      </c>
      <c r="M193" s="54" t="s">
        <v>3598</v>
      </c>
      <c r="N193" s="49" t="s">
        <v>3606</v>
      </c>
      <c r="O193" s="54" t="s">
        <v>3599</v>
      </c>
      <c r="P193" s="61" t="s">
        <v>3602</v>
      </c>
      <c r="Q193" s="54" t="s">
        <v>3600</v>
      </c>
      <c r="R193" s="61" t="s">
        <v>3603</v>
      </c>
      <c r="S193" s="54" t="s">
        <v>3601</v>
      </c>
      <c r="T193" s="61" t="s">
        <v>3604</v>
      </c>
    </row>
    <row r="194" spans="1:26"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53" t="s">
        <v>3519</v>
      </c>
      <c r="G194" s="49" t="s">
        <v>2666</v>
      </c>
      <c r="H194" s="54" t="s">
        <v>2666</v>
      </c>
      <c r="I194" s="49" t="s">
        <v>2666</v>
      </c>
      <c r="K194" s="53" t="s">
        <v>3519</v>
      </c>
      <c r="L194" s="49" t="s">
        <v>2666</v>
      </c>
      <c r="M194" s="54" t="s">
        <v>2666</v>
      </c>
      <c r="N194" s="49" t="s">
        <v>2666</v>
      </c>
    </row>
    <row r="195" spans="1:26"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53" t="s">
        <v>3519</v>
      </c>
      <c r="G195" s="49" t="s">
        <v>2666</v>
      </c>
      <c r="H195" s="54" t="s">
        <v>2666</v>
      </c>
      <c r="I195" s="49" t="s">
        <v>2666</v>
      </c>
      <c r="K195" s="53" t="s">
        <v>3519</v>
      </c>
      <c r="L195" s="49" t="s">
        <v>2666</v>
      </c>
      <c r="M195" s="54" t="s">
        <v>2666</v>
      </c>
      <c r="N195" s="49" t="s">
        <v>2666</v>
      </c>
    </row>
    <row r="196" spans="1:26" ht="22.5" customHeight="1" x14ac:dyDescent="0.3">
      <c r="A196" s="49" t="str">
        <f>IF(games!A196="", "", games!A196)</f>
        <v>吞食天地 虛擬世界</v>
      </c>
      <c r="C196" s="49" t="str">
        <f t="shared" si="7"/>
        <v>giftcodesbanner/吞食天地 虛擬世界-禮包碼.jpg</v>
      </c>
      <c r="D196" s="49" t="str">
        <f t="shared" si="8"/>
        <v>https://www.ssbuy.tw/gift-codes.html?game=吞食天地 虛擬世界</v>
      </c>
      <c r="E196" s="5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70" t="s">
        <v>3644</v>
      </c>
      <c r="G196" s="49" t="s">
        <v>3645</v>
      </c>
      <c r="H196" s="49" t="s">
        <v>2651</v>
      </c>
      <c r="I196" s="49" t="s">
        <v>3646</v>
      </c>
      <c r="K196" s="53" t="s">
        <v>3642</v>
      </c>
      <c r="L196" s="49" t="s">
        <v>3643</v>
      </c>
    </row>
    <row r="197" spans="1:26" ht="22.5" customHeight="1" x14ac:dyDescent="0.3">
      <c r="A197" s="49" t="str">
        <f>IF(games!A197="", "", games!A197)</f>
        <v xml:space="preserve">封神：蒼嵐契約 </v>
      </c>
      <c r="C197" s="49" t="str">
        <f t="shared" si="7"/>
        <v>giftcodesbanner/封神：蒼嵐契約 -禮包碼.jpg</v>
      </c>
      <c r="D197" s="49" t="str">
        <f t="shared" si="8"/>
        <v xml:space="preserve">https://www.ssbuy.tw/gift-codes.html?game=封神：蒼嵐契約 </v>
      </c>
      <c r="E197" s="5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70" t="s">
        <v>3676</v>
      </c>
      <c r="G197" s="49" t="s">
        <v>3677</v>
      </c>
      <c r="H197" s="49" t="s">
        <v>2651</v>
      </c>
      <c r="I197" s="49" t="s">
        <v>3678</v>
      </c>
      <c r="K197" s="53" t="s">
        <v>1953</v>
      </c>
      <c r="L197" s="49" t="s">
        <v>3675</v>
      </c>
      <c r="M197" s="53" t="s">
        <v>3664</v>
      </c>
      <c r="N197" s="49" t="s">
        <v>3665</v>
      </c>
      <c r="O197" s="54" t="s">
        <v>3666</v>
      </c>
      <c r="P197" s="49" t="s">
        <v>3667</v>
      </c>
      <c r="Q197" s="54" t="s">
        <v>1952</v>
      </c>
      <c r="R197" s="49" t="s">
        <v>3668</v>
      </c>
      <c r="S197" s="54" t="s">
        <v>2424</v>
      </c>
      <c r="T197" s="49" t="s">
        <v>3674</v>
      </c>
      <c r="U197" s="54" t="s">
        <v>3671</v>
      </c>
      <c r="V197" s="49" t="s">
        <v>3668</v>
      </c>
      <c r="W197" s="54" t="s">
        <v>3672</v>
      </c>
      <c r="X197" s="49" t="s">
        <v>3673</v>
      </c>
      <c r="Y197" s="54" t="s">
        <v>3669</v>
      </c>
      <c r="Z197" s="49" t="s">
        <v>3670</v>
      </c>
    </row>
    <row r="198" spans="1:26" ht="22.5" customHeight="1" x14ac:dyDescent="0.3">
      <c r="A198" s="49" t="str">
        <f>IF(games!A198="", "", games!A198)</f>
        <v/>
      </c>
      <c r="C198" s="49" t="str">
        <f t="shared" si="7"/>
        <v/>
      </c>
      <c r="D198" s="49" t="str">
        <f t="shared" si="8"/>
        <v/>
      </c>
      <c r="E198" s="50" t="str">
        <f>IF(games!I198&lt;&gt;"", games!I198, "")</f>
        <v/>
      </c>
    </row>
    <row r="199" spans="1:26" ht="22.5" customHeight="1" x14ac:dyDescent="0.3">
      <c r="A199" s="49" t="str">
        <f>IF(games!A199="", "", games!A199)</f>
        <v/>
      </c>
      <c r="C199" s="49" t="str">
        <f t="shared" si="7"/>
        <v/>
      </c>
      <c r="D199" s="49" t="str">
        <f t="shared" si="8"/>
        <v/>
      </c>
      <c r="E199" s="50" t="str">
        <f>IF(games!I199&lt;&gt;"", games!I199, "")</f>
        <v/>
      </c>
    </row>
    <row r="200" spans="1:26" ht="22.5" customHeight="1" x14ac:dyDescent="0.3">
      <c r="A200" s="49" t="str">
        <f>IF(games!A200="", "", games!A200)</f>
        <v/>
      </c>
      <c r="C200" s="49" t="str">
        <f t="shared" si="7"/>
        <v/>
      </c>
      <c r="D200" s="49" t="str">
        <f t="shared" si="8"/>
        <v/>
      </c>
      <c r="E200" s="50" t="str">
        <f>IF(games!I200&lt;&gt;"", games!I200, "")</f>
        <v/>
      </c>
    </row>
    <row r="201" spans="1:26" ht="22.5" customHeight="1" x14ac:dyDescent="0.3">
      <c r="A201" s="49" t="str">
        <f>IF(games!A201="", "", games!A201)</f>
        <v/>
      </c>
      <c r="C201" s="49" t="str">
        <f t="shared" si="7"/>
        <v/>
      </c>
      <c r="D201" s="49" t="str">
        <f t="shared" si="8"/>
        <v/>
      </c>
    </row>
    <row r="202" spans="1:26" ht="22.5" customHeight="1" x14ac:dyDescent="0.3">
      <c r="A202" s="49" t="str">
        <f>IF(games!A202="", "", games!A202)</f>
        <v/>
      </c>
      <c r="C202" s="49" t="str">
        <f t="shared" si="7"/>
        <v/>
      </c>
      <c r="D202" s="49" t="str">
        <f t="shared" si="8"/>
        <v/>
      </c>
    </row>
    <row r="203" spans="1:26" ht="22.5" customHeight="1" x14ac:dyDescent="0.3">
      <c r="A203" s="49" t="str">
        <f>IF(games!A203="", "", games!A203)</f>
        <v/>
      </c>
      <c r="C203" s="49" t="str">
        <f t="shared" si="7"/>
        <v/>
      </c>
      <c r="D203" s="49" t="str">
        <f t="shared" si="8"/>
        <v/>
      </c>
    </row>
    <row r="204" spans="1:26" ht="22.5" customHeight="1" x14ac:dyDescent="0.3">
      <c r="A204" s="49" t="str">
        <f>IF(games!A204="", "", games!A204)</f>
        <v/>
      </c>
      <c r="C204" s="49" t="str">
        <f t="shared" si="7"/>
        <v/>
      </c>
      <c r="D204" s="49" t="str">
        <f t="shared" si="8"/>
        <v/>
      </c>
    </row>
    <row r="205" spans="1:26" ht="22.5" customHeight="1" x14ac:dyDescent="0.3">
      <c r="A205" s="49" t="str">
        <f>IF(games!A205="", "", games!A205)</f>
        <v/>
      </c>
      <c r="C205" s="49" t="str">
        <f t="shared" si="7"/>
        <v/>
      </c>
      <c r="D205" s="49" t="str">
        <f t="shared" si="8"/>
        <v/>
      </c>
    </row>
    <row r="206" spans="1:26" ht="22.5" customHeight="1" x14ac:dyDescent="0.3">
      <c r="A206" s="49" t="str">
        <f>IF(games!A206="", "", games!A206)</f>
        <v/>
      </c>
      <c r="C206" s="49" t="str">
        <f t="shared" si="7"/>
        <v/>
      </c>
      <c r="D206" s="49" t="str">
        <f t="shared" si="8"/>
        <v/>
      </c>
    </row>
    <row r="207" spans="1:26" ht="22.5" customHeight="1" x14ac:dyDescent="0.3">
      <c r="A207" s="49" t="str">
        <f>IF(games!A207="", "", games!A207)</f>
        <v/>
      </c>
      <c r="C207" s="49" t="str">
        <f t="shared" si="7"/>
        <v/>
      </c>
      <c r="D207" s="49" t="str">
        <f t="shared" si="8"/>
        <v/>
      </c>
    </row>
    <row r="208" spans="1:26" ht="22.5" customHeight="1" x14ac:dyDescent="0.3">
      <c r="A208" s="49" t="str">
        <f>IF(games!A208="", "", games!A208)</f>
        <v/>
      </c>
      <c r="C208" s="49" t="str">
        <f t="shared" si="7"/>
        <v/>
      </c>
      <c r="D208" s="49" t="str">
        <f t="shared" si="8"/>
        <v/>
      </c>
    </row>
    <row r="209" spans="1:4" ht="22.5" customHeight="1" x14ac:dyDescent="0.3">
      <c r="A209" s="49" t="str">
        <f>IF(games!A209="", "", games!A209)</f>
        <v/>
      </c>
      <c r="C209" s="49" t="str">
        <f t="shared" si="7"/>
        <v/>
      </c>
      <c r="D209" s="49" t="str">
        <f t="shared" si="8"/>
        <v/>
      </c>
    </row>
    <row r="210" spans="1:4" ht="22.5" customHeight="1" x14ac:dyDescent="0.3">
      <c r="A210" s="49" t="str">
        <f>IF(games!A210="", "", games!A210)</f>
        <v/>
      </c>
      <c r="C210" s="49" t="str">
        <f t="shared" si="7"/>
        <v/>
      </c>
      <c r="D210" s="49" t="str">
        <f t="shared" si="8"/>
        <v/>
      </c>
    </row>
    <row r="211" spans="1:4" ht="22.5" customHeight="1" x14ac:dyDescent="0.3">
      <c r="A211" s="49" t="str">
        <f>IF(games!A211="", "", games!A211)</f>
        <v/>
      </c>
      <c r="C211" s="49" t="str">
        <f t="shared" si="7"/>
        <v/>
      </c>
      <c r="D211" s="49" t="str">
        <f t="shared" si="8"/>
        <v/>
      </c>
    </row>
    <row r="212" spans="1:4" ht="22.5" customHeight="1" x14ac:dyDescent="0.3">
      <c r="A212" s="49" t="str">
        <f>IF(games!A212="", "", games!A212)</f>
        <v/>
      </c>
      <c r="C212" s="49" t="str">
        <f t="shared" si="7"/>
        <v/>
      </c>
      <c r="D212" s="49" t="str">
        <f t="shared" si="8"/>
        <v/>
      </c>
    </row>
    <row r="213" spans="1:4" ht="22.5" customHeight="1" x14ac:dyDescent="0.3">
      <c r="A213" s="49" t="str">
        <f>IF(games!A213="", "", games!A213)</f>
        <v/>
      </c>
      <c r="C213" s="49" t="str">
        <f t="shared" si="7"/>
        <v/>
      </c>
      <c r="D213" s="49" t="str">
        <f t="shared" si="8"/>
        <v/>
      </c>
    </row>
    <row r="214" spans="1:4" ht="22.5" customHeight="1" x14ac:dyDescent="0.3">
      <c r="A214" s="49" t="str">
        <f>IF(games!A214="", "", games!A214)</f>
        <v/>
      </c>
      <c r="C214" s="49" t="str">
        <f t="shared" si="7"/>
        <v/>
      </c>
      <c r="D214" s="49" t="str">
        <f t="shared" si="8"/>
        <v/>
      </c>
    </row>
    <row r="215" spans="1:4" ht="22.5" customHeight="1" x14ac:dyDescent="0.3">
      <c r="A215" s="49" t="str">
        <f>IF(games!A215="", "", games!A215)</f>
        <v/>
      </c>
      <c r="C215" s="49" t="str">
        <f t="shared" si="7"/>
        <v/>
      </c>
      <c r="D215" s="49" t="str">
        <f t="shared" si="8"/>
        <v/>
      </c>
    </row>
    <row r="216" spans="1:4" ht="22.5" customHeight="1" x14ac:dyDescent="0.3">
      <c r="A216" s="49" t="str">
        <f>IF(games!A216="", "", games!A216)</f>
        <v/>
      </c>
      <c r="C216" s="49" t="str">
        <f t="shared" si="7"/>
        <v/>
      </c>
      <c r="D216" s="49" t="str">
        <f t="shared" si="8"/>
        <v/>
      </c>
    </row>
    <row r="217" spans="1:4" ht="22.5" customHeight="1" x14ac:dyDescent="0.3">
      <c r="A217" s="49" t="str">
        <f>IF(games!A217="", "", games!A217)</f>
        <v/>
      </c>
      <c r="C217" s="49" t="str">
        <f t="shared" si="7"/>
        <v/>
      </c>
      <c r="D217" s="49" t="str">
        <f t="shared" si="8"/>
        <v/>
      </c>
    </row>
    <row r="218" spans="1:4" ht="22.5" customHeight="1" x14ac:dyDescent="0.3">
      <c r="A218" s="49" t="str">
        <f>IF(games!A218="", "", games!A218)</f>
        <v/>
      </c>
      <c r="C218" s="49" t="str">
        <f t="shared" si="7"/>
        <v/>
      </c>
      <c r="D218" s="49" t="str">
        <f t="shared" si="8"/>
        <v/>
      </c>
    </row>
    <row r="219" spans="1:4" ht="22.5" customHeight="1" x14ac:dyDescent="0.3">
      <c r="A219" s="49" t="str">
        <f>IF(games!A219="", "", games!A219)</f>
        <v/>
      </c>
      <c r="C219" s="49" t="str">
        <f t="shared" si="7"/>
        <v/>
      </c>
      <c r="D219" s="49" t="str">
        <f t="shared" si="8"/>
        <v/>
      </c>
    </row>
    <row r="220" spans="1:4" ht="22.5" customHeight="1" x14ac:dyDescent="0.3">
      <c r="A220" s="49" t="str">
        <f>IF(games!A220="", "", games!A220)</f>
        <v/>
      </c>
      <c r="C220" s="49" t="str">
        <f t="shared" si="7"/>
        <v/>
      </c>
      <c r="D220" s="49" t="str">
        <f t="shared" si="8"/>
        <v/>
      </c>
    </row>
    <row r="221" spans="1:4" ht="22.5" customHeight="1" x14ac:dyDescent="0.3">
      <c r="A221" s="49" t="str">
        <f>IF(games!A221="", "", games!A221)</f>
        <v/>
      </c>
      <c r="C221" s="49" t="str">
        <f t="shared" si="7"/>
        <v/>
      </c>
      <c r="D221" s="49" t="str">
        <f t="shared" si="8"/>
        <v/>
      </c>
    </row>
    <row r="222" spans="1:4" ht="22.5" customHeight="1" x14ac:dyDescent="0.3">
      <c r="A222" s="49" t="str">
        <f>IF(games!A222="", "", games!A222)</f>
        <v/>
      </c>
      <c r="C222" s="49" t="str">
        <f t="shared" si="7"/>
        <v/>
      </c>
      <c r="D222" s="49" t="str">
        <f t="shared" si="8"/>
        <v/>
      </c>
    </row>
    <row r="223" spans="1:4" ht="22.5" customHeight="1" x14ac:dyDescent="0.3">
      <c r="A223" s="49" t="str">
        <f>IF(games!A223="", "", games!A223)</f>
        <v/>
      </c>
      <c r="C223" s="49" t="str">
        <f t="shared" si="7"/>
        <v/>
      </c>
      <c r="D223" s="49" t="str">
        <f t="shared" si="8"/>
        <v/>
      </c>
    </row>
    <row r="224" spans="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si="7"/>
        <v/>
      </c>
      <c r="D254" s="49" t="str">
        <f t="shared" si="8"/>
        <v/>
      </c>
    </row>
    <row r="255" spans="3:4" ht="22.5" customHeight="1" x14ac:dyDescent="0.3">
      <c r="C255" s="49" t="str">
        <f t="shared" ref="C255:C318" si="9">IF(A255="","", "giftcodesbanner/" &amp; A255 &amp; "-禮包碼.jpg")</f>
        <v/>
      </c>
      <c r="D255" s="49" t="str">
        <f t="shared" ref="D255:D318" si="10">IF(A255="","", "https://www.ssbuy.tw/gift-codes.html?game="&amp;A255)</f>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ht="22.5" customHeight="1"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si="9"/>
        <v/>
      </c>
      <c r="D318" s="49" t="str">
        <f t="shared" si="10"/>
        <v/>
      </c>
    </row>
    <row r="319" spans="3:4" x14ac:dyDescent="0.3">
      <c r="C319" s="49" t="str">
        <f t="shared" ref="C319:C382" si="11">IF(A319="","", "giftcodesbanner/" &amp; A319 &amp; "-禮包碼.jpg")</f>
        <v/>
      </c>
      <c r="D319" s="49" t="str">
        <f t="shared" ref="D319:D382" si="12">IF(A319="","", "https://www.ssbuy.tw/gift-codes.html?game="&amp;A319)</f>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si="11"/>
        <v/>
      </c>
      <c r="D382" s="49" t="str">
        <f t="shared" si="12"/>
        <v/>
      </c>
    </row>
    <row r="383" spans="3:4" x14ac:dyDescent="0.3">
      <c r="C383" s="49" t="str">
        <f t="shared" ref="C383:C441" si="13">IF(A383="","", "giftcodesbanner/" &amp; A383 &amp; "-禮包碼.jpg")</f>
        <v/>
      </c>
      <c r="D383" s="49" t="str">
        <f t="shared" ref="D383:D441" si="14">IF(A383="","", "https://www.ssbuy.tw/gift-codes.html?game="&amp;A383)</f>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row r="441" spans="3:4" x14ac:dyDescent="0.3">
      <c r="C441" s="49" t="str">
        <f t="shared" si="13"/>
        <v/>
      </c>
      <c r="D441" s="49"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2025-08-25T10:32:42Z</dcterms:modified>
</cp:coreProperties>
</file>