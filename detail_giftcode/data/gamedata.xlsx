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<sst xmlns="http://schemas.openxmlformats.org/spreadsheetml/2006/main" count="13012" uniqueCount="8659">
  <si>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</si>
  <si>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</si>
  <si>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</si>
  <si>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</si>
  <si>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</si>
  <si>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</si>
  <si>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</si>
  <si>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</si>
  <si>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</si>
  <si>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</si>
  <si>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</si>
  <si>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</si>
  <si>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</si>
  <si>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</si>
  <si>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</si>
  <si>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</si>
  <si>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</si>
  <si>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</si>
  <si>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</si>
  <si>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</si>
  <si>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</si>
  <si>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</si>
  <si>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</si>
  <si>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</si>
  <si>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</si>
  <si>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</si>
  <si>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</si>
  <si>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</si>
  <si>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</si>
  <si>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</si>
  <si>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</si>
  <si>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</si>
  <si>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</si>
  <si>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</si>
  <si>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</si>
  <si>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</si>
  <si>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</si>
  <si>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</si>
  <si>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</si>
  <si>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</si>
  <si>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</si>
  <si>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</si>
  <si>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</si>
  <si>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</si>
  <si>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</si>
  <si>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</si>
  <si>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</si>
  <si>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</si>
  <si>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</si>
  <si>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</si>
  <si>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</si>
  <si>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</si>
  <si>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</si>
  <si>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</si>
  <si>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</si>
  <si>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</si>
  <si>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</si>
  <si>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</si>
  <si>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</si>
  <si>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</si>
  <si>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</si>
  <si>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</si>
  <si>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</si>
  <si>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</si>
  <si>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</si>
  <si>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</si>
  <si>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</si>
  <si>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</si>
  <si>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</si>
  <si>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</si>
  <si>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</si>
  <si>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</si>
  <si>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</si>
  <si>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</si>
  <si>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</si>
  <si>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</si>
  <si>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</si>
  <si>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</si>
  <si>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</si>
  <si>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</si>
  <si>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</si>
  <si>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</si>
  <si>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</si>
  <si>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</si>
  <si>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</si>
  <si>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</si>
  <si>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</si>
  <si>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</si>
  <si>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</si>
  <si>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</si>
  <si>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</si>
  <si>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</si>
  <si>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</si>
  <si>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</si>
  <si>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</si>
  <si>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</si>
  <si>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</si>
  <si>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</si>
  <si>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</si>
  <si>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</si>
  <si>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</si>
  <si>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</si>
  <si>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</si>
  <si>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</si>
  <si>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</si>
  <si>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</si>
  <si>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</si>
  <si>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</si>
  <si>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</si>
  <si>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</si>
  <si>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</si>
  <si>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</si>
  <si>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</si>
  <si>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</si>
  <si>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</si>
  <si>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</si>
  <si>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</si>
  <si>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</si>
  <si>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</si>
  <si>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</si>
  <si>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</si>
  <si>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</si>
  <si>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</si>
  <si>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</si>
  <si>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</si>
  <si>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</si>
  <si>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</si>
  <si>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</si>
  <si>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</si>
  <si>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</si>
  <si>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</si>
  <si>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</si>
  <si>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</si>
  <si>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</si>
  <si>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</si>
  <si>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</si>
  <si>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</si>
  <si>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</si>
  <si>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</si>
  <si>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</si>
  <si>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</si>
  <si>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</si>
  <si>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</si>
  <si>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</si>
  <si>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</si>
  <si>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</si>
  <si>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</si>
  <si>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</si>
  <si>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</si>
  <si>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</si>
  <si>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</si>
  <si>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</si>
  <si>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</si>
  <si>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</si>
  <si>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</si>
  <si>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</si>
  <si>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</si>
  <si>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</si>
  <si>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</si>
  <si>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</si>
  <si>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</si>
  <si>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</si>
  <si>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</si>
  <si>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</si>
  <si>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</si>
  <si>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</si>
  <si>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</si>
  <si>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</si>
  <si>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</si>
  <si>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</si>
  <si>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</si>
  <si>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</si>
  <si>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</si>
  <si>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</si>
  <si>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</si>
  <si>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</si>
  <si>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</si>
  <si>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</si>
  <si>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</si>
  <si>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</si>
  <si>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</si>
  <si>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</si>
  <si>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</si>
  <si>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</si>
  <si>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</si>
  <si>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</si>
  <si>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</si>
  <si>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</si>
  <si>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</si>
  <si>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</si>
  <si>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</si>
  <si>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</si>
  <si>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</si>
  <si>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</si>
  <si>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</si>
  <si>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</si>
  <si>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</si>
  <si>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</si>
  <si>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</si>
  <si>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</si>
  <si>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</si>
  <si>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</si>
  <si>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</si>
  <si>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</si>
  <si>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</si>
  <si>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</si>
  <si>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</si>
  <si>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</si>
  <si>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</si>
  <si>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</si>
  <si>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</si>
  <si>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</si>
  <si>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</si>
  <si>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</si>
  <si>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</si>
  <si>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</si>
  <si>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</si>
  <si>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</si>
  <si>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</si>
  <si>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</si>
  <si>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</si>
  <si>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</si>
  <si>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</si>
  <si>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</si>
  <si>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</si>
  <si>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</si>
  <si>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</si>
  <si>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</si>
  <si>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</si>
  <si>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</si>
  <si>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</si>
  <si>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</si>
  <si>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</si>
  <si>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</si>
  <si>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</si>
  <si>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</si>
  <si>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</si>
  <si>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</si>
  <si>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</si>
  <si>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</si>
  <si>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</si>
  <si>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</si>
  <si>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</si>
  <si>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</si>
  <si>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</si>
  <si>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</si>
  <si>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</si>
  <si>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</si>
  <si>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</si>
  <si>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</si>
  <si>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</si>
  <si>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</si>
  <si>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</si>
  <si>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</si>
  <si>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</si>
  <si>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</si>
  <si>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</si>
  <si>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</si>
  <si>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</si>
  <si>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</si>
  <si>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</si>
  <si>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</si>
  <si>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</si>
  <si>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</si>
  <si>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</si>
  <si>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</si>
  <si>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</si>
  <si>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</si>
  <si>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</si>
  <si>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</si>
  <si>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</si>
  <si>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</si>
  <si>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</si>
  <si>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</si>
  <si>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</si>
  <si>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</si>
  <si>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</si>
  <si>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</si>
  <si>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</si>
  <si>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</si>
  <si>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</si>
  <si>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</si>
  <si>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</si>
  <si>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</si>
  <si>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</si>
  <si>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</si>
  <si>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</si>
  <si>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</si>
  <si>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</si>
  <si>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</si>
  <si>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</si>
  <si>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</si>
  <si>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</si>
  <si>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</si>
  <si>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</si>
  <si>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</si>
  <si>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</si>
  <si>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</si>
  <si>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</si>
  <si>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</si>
  <si>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</si>
  <si>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</si>
  <si>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</si>
  <si>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</si>
  <si>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</si>
  <si>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</si>
  <si>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</si>
  <si>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</si>
  <si>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</si>
  <si>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</si>
  <si>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</si>
  <si>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</si>
  <si>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</si>
  <si>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</si>
  <si>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</si>
  <si>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</si>
  <si>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</si>
  <si>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</si>
  <si>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</si>
  <si>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</si>
  <si>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</si>
  <si>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</si>
  <si>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</si>
  <si>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</si>
  <si>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</si>
  <si>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</si>
  <si>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</si>
  <si>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</si>
  <si>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</si>
  <si>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</si>
  <si>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</si>
  <si>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</si>
  <si>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</si>
  <si>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</si>
  <si>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</si>
  <si>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</si>
  <si>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</si>
  <si>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</si>
  <si>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</si>
  <si>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</si>
  <si>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</si>
  <si>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</si>
  <si>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</si>
  <si>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</si>
  <si>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</si>
  <si>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</si>
  <si>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</si>
  <si>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</si>
  <si>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</si>
  <si>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</si>
  <si>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</si>
  <si>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</si>
  <si>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</si>
  <si>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</si>
  <si>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</si>
  <si>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</si>
  <si>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</si>
  <si>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</si>
  <si>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</si>
  <si>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</si>
  <si>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</si>
  <si>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</si>
  <si>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</si>
  <si>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</si>
  <si>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</si>
  <si>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</si>
  <si>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</si>
  <si>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</si>
  <si>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</si>
  <si>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</si>
  <si>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</si>
  <si>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</si>
  <si>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</si>
  <si>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</si>
  <si>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</si>
  <si>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</si>
  <si>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</si>
  <si>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</si>
  <si>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</si>
  <si>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</si>
  <si>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</si>
  <si>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</si>
  <si>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</si>
  <si>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</si>
  <si>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</si>
  <si>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</si>
  <si>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</si>
  <si>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</si>
  <si>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</si>
  <si>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</si>
  <si>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</si>
  <si>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</si>
  <si>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</si>
  <si>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</si>
  <si>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</si>
  <si>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</si>
  <si>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</si>
  <si>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</si>
  <si>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</si>
  <si>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</si>
  <si>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</si>
  <si>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</si>
  <si>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</si>
  <si>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</si>
  <si>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</si>
  <si>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</si>
  <si>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</si>
  <si>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</si>
  <si>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</si>
  <si>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</si>
  <si>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</si>
  <si>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</si>
  <si>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</si>
  <si>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</si>
  <si>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</si>
  <si>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</si>
  <si>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</si>
  <si>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</si>
  <si>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</si>
  <si>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</si>
  <si>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</si>
  <si>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</si>
  <si>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</si>
  <si>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</si>
  <si>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</si>
  <si>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</si>
  <si>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</si>
  <si>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</si>
  <si>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</si>
  <si>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</si>
  <si>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</si>
  <si>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</si>
  <si>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</si>
  <si>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</si>
  <si>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</si>
  <si>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</si>
  <si>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</si>
  <si>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</si>
  <si>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</si>
  <si>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</si>
  <si>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</si>
  <si>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</si>
  <si>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</si>
  <si>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</si>
  <si>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</si>
  <si>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</si>
  <si>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</si>
  <si>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</si>
  <si>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</si>
  <si>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</si>
  <si>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</si>
  <si>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</si>
  <si>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</si>
  <si>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</si>
  <si>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</si>
  <si>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</si>
  <si>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</si>
  <si>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</si>
  <si>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</si>
  <si>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</si>
  <si>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</si>
  <si>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</si>
  <si>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</si>
  <si>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</si>
  <si>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</si>
  <si>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</si>
  <si>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</si>
  <si>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</si>
  <si>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</si>
  <si>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</si>
  <si>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</si>
  <si>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</si>
  <si>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</si>
  <si>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</si>
  <si>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</si>
  <si>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</si>
  <si>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</si>
  <si>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</si>
  <si>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</si>
  <si>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</si>
  <si>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</si>
  <si>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</si>
  <si>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</si>
  <si>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</si>
  <si>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</si>
  <si>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</si>
  <si>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</si>
  <si>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</si>
  <si>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</si>
  <si>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</si>
  <si>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</si>
  <si>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</si>
  <si>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</si>
  <si>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</si>
  <si>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</si>
  <si>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</si>
  <si>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</si>
  <si>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</si>
  <si>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</si>
  <si>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</si>
  <si>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</si>
  <si>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</si>
  <si>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</si>
  <si>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</si>
  <si>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</si>
  <si>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</si>
  <si>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</si>
  <si>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</si>
  <si>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</si>
  <si>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</si>
  <si>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</si>
  <si>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</si>
  <si>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</si>
  <si>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</si>
  <si>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</si>
  <si>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</si>
  <si>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</si>
  <si>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</si>
  <si>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</si>
  <si>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</si>
  <si>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</si>
  <si>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</si>
  <si>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</si>
  <si>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</si>
  <si>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</si>
  <si>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</si>
  <si>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</si>
  <si>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</si>
  <si>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</si>
  <si>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</si>
  <si>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</si>
  <si>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</si>
  <si>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</si>
  <si>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</si>
  <si>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</si>
  <si>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</si>
  <si>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</si>
  <si>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</si>
  <si>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</si>
  <si>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</si>
  <si>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</si>
  <si>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</si>
  <si>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</si>
  <si>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</si>
  <si>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</si>
  <si>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</si>
  <si>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</si>
  <si>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</si>
  <si>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</si>
  <si>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</si>
  <si>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</si>
  <si>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</si>
  <si>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</si>
  <si>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</si>
  <si>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</si>
  <si>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</si>
  <si>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</si>
  <si>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</si>
  <si>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</si>
  <si>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</si>
  <si>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</si>
  <si>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</si>
  <si>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</si>
  <si>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</si>
  <si>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</si>
  <si>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</si>
  <si>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</si>
  <si>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</si>
  <si>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</si>
  <si>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</si>
  <si>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</si>
  <si>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</si>
  <si>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</si>
  <si>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</si>
  <si>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</si>
  <si>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</si>
  <si>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</si>
  <si>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</si>
  <si>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</si>
  <si>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</si>
  <si>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</si>
  <si>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</si>
  <si>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</si>
  <si>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</si>
  <si>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</si>
  <si>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</si>
  <si>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</si>
  <si>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</si>
  <si>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</si>
  <si>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</si>
  <si>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</si>
  <si>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</si>
  <si>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</si>
  <si>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</si>
  <si>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</si>
  <si>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</si>
  <si>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</si>
  <si>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</si>
  <si>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</si>
  <si>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</si>
  <si>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</si>
  <si>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</si>
  <si>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</si>
  <si>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</si>
  <si>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</si>
  <si>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</si>
  <si>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</si>
  <si>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</si>
  <si>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</si>
  <si>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</si>
  <si>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</si>
  <si>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</si>
  <si>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</si>
  <si>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</si>
  <si>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</si>
  <si>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</si>
  <si>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</si>
  <si>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</si>
  <si>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</si>
  <si>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</si>
  <si>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</si>
  <si>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</si>
  <si>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</si>
  <si>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</si>
  <si>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</si>
  <si>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</si>
  <si>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</si>
  <si>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</si>
  <si>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</si>
  <si>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</si>
  <si>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</si>
  <si>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</si>
  <si>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</si>
  <si>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</si>
  <si>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</si>
  <si>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</si>
  <si>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</si>
  <si>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</si>
  <si>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</si>
  <si>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</si>
  <si>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</si>
  <si>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</si>
  <si>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</si>
  <si>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</si>
  <si>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</si>
  <si>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</si>
  <si>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</si>
  <si>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</si>
  <si>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</si>
  <si>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</si>
  <si>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</si>
  <si>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</si>
  <si>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</si>
  <si>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</si>
  <si>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</si>
  <si>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</si>
  <si>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</si>
  <si>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</si>
  <si>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</si>
  <si>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</si>
  <si>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</si>
  <si>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</si>
  <si>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</si>
  <si>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</si>
  <si>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</si>
  <si>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</si>
  <si>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</si>
  <si>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</si>
  <si>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</si>
  <si>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</si>
  <si>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</si>
  <si>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</si>
  <si>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</si>
  <si>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</si>
  <si>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</si>
  <si>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</si>
  <si>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</si>
  <si>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</si>
  <si>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</si>
  <si>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</si>
  <si>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</si>
  <si>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</si>
  <si>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</si>
  <si>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</si>
  <si>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</si>
  <si>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</si>
  <si>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</si>
  <si>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</si>
  <si>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</si>
  <si>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</si>
  <si>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</si>
  <si>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</si>
  <si>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</si>
  <si>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</si>
  <si>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</si>
  <si>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</si>
  <si>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</si>
  <si>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</si>
  <si>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</si>
  <si>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</si>
  <si>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</si>
  <si>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</si>
  <si>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</si>
  <si>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</si>
  <si>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</si>
  <si>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</si>
  <si>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</si>
  <si>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</si>
  <si>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</si>
  <si>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</si>
  <si>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</si>
  <si>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</si>
  <si>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</si>
  <si>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</si>
  <si>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</si>
  <si>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</si>
  <si>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</si>
  <si>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</si>
  <si>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</si>
  <si>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</si>
  <si>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</si>
  <si>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</si>
  <si>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</si>
  <si>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</si>
  <si>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</si>
  <si>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</si>
  <si>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</si>
  <si>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</si>
  <si>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</si>
  <si>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</si>
  <si>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</si>
  <si>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</si>
  <si>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</si>
  <si>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</si>
  <si>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</si>
  <si>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</si>
  <si>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</si>
  <si>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</si>
  <si>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</si>
  <si>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</si>
  <si>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</si>
  <si>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</si>
  <si>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</si>
  <si>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</si>
  <si>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</si>
  <si>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</si>
  <si>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</si>
  <si>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</si>
  <si>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</si>
  <si>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</si>
  <si>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</si>
  <si>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</si>
  <si>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</si>
  <si>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</si>
  <si>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</si>
  <si>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</si>
  <si>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</si>
  <si>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</si>
  <si>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</si>
  <si>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</si>
  <si>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</si>
  <si>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</si>
  <si>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</si>
  <si>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</si>
  <si>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</si>
  <si>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</si>
  <si>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</si>
  <si>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</si>
  <si>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</si>
  <si>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</si>
  <si>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</si>
  <si>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</si>
  <si>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</si>
  <si>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</si>
  <si>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</si>
  <si>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</si>
  <si>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</si>
  <si>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</si>
  <si>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</si>
  <si>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</si>
  <si>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</si>
  <si>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</si>
  <si>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</si>
  <si>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</si>
  <si>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</si>
  <si>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</si>
  <si>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</si>
  <si>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</si>
  <si>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</si>
  <si>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</si>
  <si>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</si>
  <si>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</si>
  <si>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</si>
  <si>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</si>
  <si>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</si>
  <si>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</si>
  <si>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</si>
  <si>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</si>
  <si>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</si>
  <si>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</si>
  <si>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</si>
  <si>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</si>
  <si>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</si>
  <si>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</si>
  <si>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</si>
  <si>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</si>
  <si>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</si>
  <si>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</si>
  <si>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</si>
  <si>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</si>
  <si>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</si>
  <si>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</si>
  <si>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</si>
  <si>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</si>
  <si>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</si>
  <si>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</si>
  <si>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</si>
  <si>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</si>
  <si>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</si>
  <si>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</si>
  <si>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</si>
  <si>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</si>
  <si>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</si>
  <si>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</si>
  <si>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</si>
  <si>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</si>
  <si>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</si>
  <si>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</si>
  <si>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</si>
  <si>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</si>
  <si>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</si>
  <si>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</si>
  <si>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</si>
  <si>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</si>
  <si>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</si>
  <si>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</si>
  <si>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</si>
  <si>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</si>
  <si>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</si>
  <si>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</si>
  <si>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</si>
  <si>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</si>
  <si>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</si>
  <si>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</si>
  <si>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</si>
  <si>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</si>
  <si>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</si>
  <si>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</si>
  <si>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</si>
  <si>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</si>
  <si>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</si>
  <si>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</si>
  <si>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</si>
  <si>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</si>
  <si>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</si>
  <si>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</si>
  <si>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</si>
  <si>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</si>
  <si>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</si>
  <si>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</si>
  <si>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</si>
  <si>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</si>
  <si>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</si>
  <si>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</si>
  <si>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</si>
  <si>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</si>
  <si>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</si>
  <si>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</si>
  <si>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</si>
  <si>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</si>
  <si>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</si>
  <si>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</si>
  <si>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</si>
  <si>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</si>
  <si>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</si>
  <si>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</si>
  <si>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</si>
  <si>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</si>
  <si>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</si>
  <si>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</si>
  <si>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</si>
  <si>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</si>
  <si>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</si>
  <si>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</si>
  <si>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</si>
  <si>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</si>
  <si>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</si>
  <si>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</si>
  <si>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</si>
  <si>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</si>
  <si>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</si>
  <si>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</si>
  <si>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</si>
  <si>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</si>
  <si>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</si>
  <si>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</si>
  <si>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</si>
  <si>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</si>
  <si>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</si>
  <si>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</si>
  <si>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</si>
  <si>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</si>
  <si>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</si>
  <si>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</si>
  <si>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</si>
  <si>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</si>
  <si>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</si>
  <si>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</si>
  <si>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</si>
  <si>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</si>
  <si>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</si>
  <si>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</si>
  <si>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</si>
  <si>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</si>
  <si>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</si>
  <si>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</si>
  <si>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</si>
  <si>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</si>
  <si>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</si>
  <si>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</si>
  <si>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</si>
  <si>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</si>
  <si>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</si>
  <si>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</si>
  <si>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</si>
  <si>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</si>
  <si>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</si>
  <si>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</si>
  <si>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</si>
  <si>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</si>
  <si>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</si>
  <si>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</si>
  <si>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</si>
  <si>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</si>
  <si>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</si>
  <si>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</si>
  <si>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</si>
  <si>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</si>
  <si>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</si>
  <si>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</si>
  <si>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</si>
  <si>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</si>
  <si>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</si>
  <si>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</si>
  <si>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</si>
  <si>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</si>
  <si>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</si>
  <si>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</si>
  <si>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</si>
  <si>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</si>
  <si>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</si>
  <si>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</si>
  <si>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</si>
  <si>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</si>
  <si>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</si>
  <si>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</si>
  <si>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</si>
  <si>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</si>
  <si>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</si>
  <si>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</si>
  <si>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</si>
  <si>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</si>
  <si>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</si>
  <si>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</si>
  <si>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</si>
  <si>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</si>
  <si>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</si>
  <si>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</si>
  <si>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</si>
  <si>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</si>
  <si>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</si>
  <si>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</si>
  <si>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</si>
  <si>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</si>
  <si>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</si>
  <si>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</si>
  <si>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</si>
  <si>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</si>
  <si>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</si>
  <si>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</si>
  <si>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</si>
  <si>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</si>
  <si>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</si>
  <si>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</si>
  <si>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</si>
  <si>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</si>
  <si>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</si>
  <si>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</si>
  <si>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</si>
  <si>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</si>
  <si>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</si>
  <si>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</si>
  <si>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</si>
  <si>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</si>
  <si>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</si>
  <si>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</si>
  <si>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</si>
  <si>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</si>
  <si>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</si>
  <si>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</si>
  <si>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</si>
  <si>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</si>
  <si>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</si>
  <si>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</si>
  <si>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</si>
  <si>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</si>
  <si>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</si>
  <si>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</si>
  <si>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</si>
  <si>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</si>
  <si>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</si>
  <si>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</si>
  <si>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</si>
  <si>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</si>
  <si>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</si>
  <si>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</si>
  <si>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</si>
  <si>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</si>
  <si>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</si>
  <si>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</si>
  <si>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</si>
  <si>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</si>
  <si>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</si>
  <si>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</si>
  <si>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</si>
  <si>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</si>
  <si>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</si>
  <si>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</si>
  <si>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</si>
  <si>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</si>
  <si>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</si>
  <si>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</si>
  <si>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</si>
  <si>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</si>
  <si>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</si>
  <si>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</si>
  <si>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</si>
  <si>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</si>
  <si>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</si>
  <si>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</si>
  <si>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</si>
  <si>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</si>
  <si>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</si>
  <si>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</si>
  <si>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</si>
  <si>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</si>
  <si>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</si>
  <si>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</si>
  <si>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</si>
  <si>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</si>
  <si>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</si>
  <si>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</si>
  <si>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</si>
  <si>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</si>
  <si>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</si>
  <si>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</si>
  <si>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</si>
  <si>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</si>
  <si>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</si>
  <si>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</si>
  <si>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</si>
  <si>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</si>
  <si>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</si>
  <si>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</si>
  <si>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</si>
  <si>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</si>
  <si>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</si>
  <si>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</si>
  <si>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</si>
  <si>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</si>
  <si>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</si>
  <si>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</si>
  <si>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</si>
  <si>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</si>
  <si>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</si>
  <si>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</si>
  <si>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</si>
  <si>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</si>
  <si>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</si>
  <si>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</si>
  <si>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</si>
  <si>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</si>
  <si>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</si>
  <si>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</si>
  <si>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</si>
  <si>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</si>
  <si>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</si>
  <si>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</si>
  <si>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</si>
  <si>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</si>
  <si>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</si>
  <si>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</si>
  <si>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</si>
  <si>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</si>
  <si>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</si>
  <si>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</si>
  <si>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</si>
  <si>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</si>
  <si>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</si>
  <si>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</si>
  <si>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</si>
  <si>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</si>
  <si>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</si>
  <si>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</si>
  <si>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</si>
  <si>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</si>
  <si>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</si>
  <si>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</si>
  <si>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</si>
  <si>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</si>
  <si>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</si>
  <si>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</si>
  <si>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</si>
  <si>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</si>
  <si>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</si>
  <si>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</si>
  <si>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</si>
  <si>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</si>
  <si>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</si>
  <si>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</si>
  <si>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</si>
  <si>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</si>
  <si>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</si>
  <si>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</si>
  <si>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</si>
  <si>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</si>
  <si>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</si>
  <si>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</si>
  <si>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</si>
  <si>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</si>
  <si>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</si>
  <si>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</si>
  <si>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</si>
  <si>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</si>
  <si>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</si>
  <si>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</si>
  <si>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</si>
  <si>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</si>
  <si>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</si>
  <si>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</si>
  <si>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</si>
  <si>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</si>
  <si>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</si>
  <si>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</si>
  <si>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</si>
  <si>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</si>
  <si>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</si>
  <si>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</si>
  <si>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</si>
  <si>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</si>
  <si>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</si>
  <si>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</si>
  <si>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</si>
  <si>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</si>
  <si>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</si>
  <si>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</si>
  <si>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</si>
  <si>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</si>
  <si>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</si>
  <si>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</si>
  <si>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</si>
  <si>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</si>
  <si>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</si>
  <si>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</si>
  <si>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</si>
  <si>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</si>
  <si>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</si>
  <si>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</si>
  <si>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</si>
  <si>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</si>
  <si>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</si>
  <si>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</si>
  <si>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</si>
  <si>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</si>
  <si>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</si>
  <si>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</si>
  <si>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</si>
  <si>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</si>
  <si>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</si>
  <si>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</si>
  <si>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</si>
  <si>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</si>
  <si>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</si>
  <si>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</si>
  <si>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</si>
  <si>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</si>
  <si>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</si>
  <si>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</si>
  <si>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</si>
  <si>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</si>
  <si>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</si>
  <si>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</si>
  <si>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</si>
  <si>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</si>
  <si>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</si>
  <si>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</si>
  <si>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</si>
  <si>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</si>
  <si>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</si>
  <si>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</si>
  <si>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</si>
  <si>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</si>
  <si>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</si>
  <si>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</si>
  <si>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</si>
  <si>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</si>
  <si>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</si>
  <si>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</si>
  <si>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</si>
  <si>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</si>
  <si>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</si>
  <si>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</si>
  <si>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</si>
  <si>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</si>
  <si>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</si>
  <si>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</si>
  <si>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</si>
  <si>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</si>
  <si>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</si>
  <si>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</si>
  <si>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</si>
  <si>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</si>
  <si>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</si>
  <si>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</si>
  <si>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</si>
  <si>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</si>
  <si>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</si>
  <si>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</si>
  <si>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</si>
  <si>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</si>
  <si>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</si>
  <si>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</si>
  <si>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</si>
  <si>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</si>
  <si>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</si>
  <si>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</si>
  <si>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</si>
  <si>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</si>
  <si>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</si>
  <si>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</si>
  <si>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</si>
  <si>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</si>
  <si>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</si>
  <si>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</si>
  <si>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</si>
  <si>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</si>
  <si>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</si>
  <si>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</si>
  <si>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</si>
  <si>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</si>
  <si>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</si>
  <si>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</si>
  <si>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</si>
  <si>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</si>
  <si>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</si>
  <si>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</si>
  <si>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</si>
  <si>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</si>
  <si>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</si>
  <si>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</si>
  <si>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</si>
  <si>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</si>
  <si>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</si>
  <si>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</si>
  <si>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</si>
  <si>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</si>
  <si>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</si>
  <si>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</si>
  <si>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</si>
  <si>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</si>
  <si>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</si>
  <si>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</si>
  <si>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</si>
  <si>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</si>
  <si>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</si>
  <si>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</si>
  <si>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</si>
  <si>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</si>
  <si>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</si>
  <si>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</si>
  <si>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</si>
  <si>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</si>
  <si>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</si>
  <si>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</si>
  <si>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</si>
  <si>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</si>
  <si>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</si>
  <si>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</si>
  <si>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</si>
  <si>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</si>
  <si>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</si>
  <si>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</si>
  <si>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</si>
  <si>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</si>
  <si>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</si>
  <si>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</si>
  <si>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</si>
  <si>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</si>
  <si>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</si>
  <si>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</si>
  <si>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</si>
  <si>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</si>
  <si>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</si>
  <si>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</si>
  <si>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</si>
  <si>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</si>
  <si>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</si>
  <si>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</si>
  <si>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</si>
  <si>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</si>
  <si>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</si>
  <si>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</si>
  <si>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</si>
  <si>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</si>
  <si>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</si>
  <si>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</si>
  <si>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</si>
  <si>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</si>
  <si>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</si>
  <si>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</si>
  <si>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</si>
  <si>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</si>
  <si>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</si>
  <si>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</si>
  <si>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</si>
  <si>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</si>
  <si>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</si>
  <si>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</si>
  <si>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</si>
  <si>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</si>
  <si>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</si>
  <si>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</si>
  <si>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</si>
  <si>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</si>
  <si>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</si>
  <si>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</si>
  <si>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</si>
  <si>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</si>
  <si>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</si>
  <si>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</si>
  <si>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</si>
  <si>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</si>
  <si>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</si>
  <si>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</si>
  <si>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</si>
  <si>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</si>
  <si>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</si>
  <si>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</si>
  <si>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</si>
  <si>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</si>
  <si>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</si>
  <si>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</si>
  <si>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</si>
  <si>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</si>
  <si>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</si>
  <si>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</si>
  <si>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</si>
  <si>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</si>
  <si>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</si>
  <si>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</si>
  <si>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</si>
  <si>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</si>
  <si>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</si>
  <si>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</si>
  <si>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</si>
  <si>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</si>
  <si>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</si>
  <si>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</si>
  <si>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</si>
  <si>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</si>
  <si>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</si>
  <si>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</si>
  <si>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</si>
  <si>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</si>
  <si>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</si>
  <si>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</si>
  <si>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</si>
  <si>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</si>
  <si>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</si>
  <si>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</si>
  <si>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</si>
  <si>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</si>
  <si>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</si>
  <si>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</si>
  <si>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</si>
  <si>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</si>
  <si>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</si>
  <si>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</si>
  <si>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</si>
  <si>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</si>
  <si>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</si>
  <si>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</si>
  <si>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</si>
  <si>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</si>
  <si>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</si>
  <si>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</si>
  <si>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</si>
  <si>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</si>
  <si>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</si>
  <si>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</si>
  <si>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</si>
  <si>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</si>
  <si>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</si>
  <si>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</si>
  <si>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</si>
  <si>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</si>
  <si>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</si>
  <si>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</si>
  <si>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</si>
  <si>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</si>
  <si>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</si>
  <si>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</si>
  <si>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</si>
  <si>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</si>
  <si>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</si>
  <si>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</si>
  <si>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</si>
  <si>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</si>
  <si>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</si>
  <si>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</si>
  <si>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</si>
  <si>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</si>
  <si>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</si>
  <si>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</si>
  <si>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</si>
  <si>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</si>
  <si>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</si>
  <si>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</si>
  <si>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</si>
  <si>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</si>
  <si>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</si>
  <si>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</si>
  <si>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</si>
  <si>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</si>
  <si>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</si>
  <si>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</si>
  <si>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</si>
  <si>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</si>
  <si>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</si>
  <si>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</si>
  <si>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</si>
  <si>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</si>
  <si>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</si>
  <si>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</si>
  <si>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</si>
  <si>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</si>
  <si>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</si>
  <si>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</si>
  <si>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</si>
  <si>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</si>
  <si>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</si>
  <si>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</si>
  <si>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</si>
  <si>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</si>
  <si>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</si>
  <si>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</si>
  <si>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</si>
  <si>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</si>
  <si>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</si>
  <si>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</si>
  <si>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</si>
  <si>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</si>
  <si>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</si>
  <si>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</si>
  <si>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</si>
  <si>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</si>
  <si>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</si>
  <si>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</si>
  <si>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</si>
  <si>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</si>
  <si>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</si>
  <si>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</si>
  <si>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</si>
  <si>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</si>
  <si>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</si>
  <si>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</si>
  <si>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</si>
  <si>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</si>
  <si>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</si>
  <si>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</si>
  <si>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</si>
  <si>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</si>
  <si>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</si>
  <si>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</si>
  <si>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</si>
  <si>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</si>
  <si>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</si>
  <si>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</si>
  <si>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</si>
  <si>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</si>
  <si>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</si>
  <si>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</si>
  <si>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</si>
  <si>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</si>
  <si>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</si>
  <si>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</si>
  <si>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</si>
  <si>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</si>
  <si>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</si>
  <si>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</si>
  <si>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</si>
  <si>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</si>
  <si>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</si>
  <si>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</si>
  <si>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</si>
  <si>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</si>
  <si>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</si>
  <si>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</si>
  <si>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</si>
  <si>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</si>
  <si>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</si>
  <si>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</si>
  <si>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</si>
  <si>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</si>
  <si>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</si>
  <si>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</si>
  <si>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</si>
  <si>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</si>
  <si>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</si>
  <si>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</si>
  <si>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</si>
  <si>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</si>
  <si>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</si>
  <si>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</si>
  <si>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</si>
  <si>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</si>
  <si>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</si>
  <si>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</si>
  <si>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</si>
  <si>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</si>
  <si>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</si>
  <si>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</si>
  <si>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</si>
  <si>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</si>
  <si>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</si>
  <si>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</si>
  <si>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</si>
  <si>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</si>
  <si>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</si>
  <si>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</si>
  <si>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</si>
  <si>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</si>
  <si>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</si>
  <si>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</si>
  <si>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</si>
  <si>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</si>
  <si>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</si>
  <si>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</si>
  <si>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</si>
  <si>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</si>
  <si>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</si>
  <si>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</si>
  <si>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</si>
  <si>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</si>
  <si>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</si>
  <si>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</si>
  <si>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</si>
  <si>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</si>
  <si>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</si>
  <si>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</si>
  <si>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</si>
  <si>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</si>
  <si>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</si>
  <si>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</si>
  <si>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</si>
  <si>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</si>
  <si>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</si>
  <si>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</si>
  <si>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</si>
  <si>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</si>
  <si>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</si>
  <si>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</si>
  <si>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</si>
  <si>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</si>
  <si>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</si>
  <si>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</si>
  <si>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</si>
  <si>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</si>
  <si>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</si>
  <si>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</si>
  <si>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</si>
  <si>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</si>
  <si>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</si>
  <si>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</si>
  <si>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</si>
  <si>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</si>
  <si>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</si>
  <si>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</si>
  <si>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</si>
  <si>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</si>
  <si>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</si>
  <si>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</si>
  <si>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</si>
  <si>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</si>
  <si>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</si>
  <si>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</si>
  <si>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</si>
  <si>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</si>
  <si>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</si>
  <si>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</si>
  <si>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</si>
  <si>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</si>
  <si>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</si>
  <si>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</si>
  <si>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</si>
  <si>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</si>
  <si>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</si>
  <si>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</si>
  <si>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</si>
  <si>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</si>
  <si>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</si>
  <si>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</si>
  <si>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</si>
  <si>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</si>
  <si>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</si>
  <si>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</si>
  <si>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</si>
  <si>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</si>
  <si>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</si>
  <si>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</si>
  <si>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</si>
  <si>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</si>
  <si>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</si>
  <si>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</si>
  <si>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</si>
  <si>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</si>
  <si>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</si>
  <si>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</si>
  <si>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</si>
  <si>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</si>
  <si>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</si>
  <si>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</si>
  <si>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</si>
  <si>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</si>
  <si>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</si>
  <si>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</si>
  <si>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</si>
  <si>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</si>
  <si>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</si>
  <si>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</si>
  <si>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</si>
  <si>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</si>
  <si>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</si>
  <si>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</si>
  <si>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</si>
  <si>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</si>
  <si>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</si>
  <si>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</si>
  <si>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</si>
  <si>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</si>
  <si>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</si>
  <si>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</si>
  <si>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</si>
  <si>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</si>
  <si>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</si>
  <si>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</si>
  <si>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</si>
  <si>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</si>
  <si>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</si>
  <si>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</si>
  <si>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</si>
  <si>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</si>
  <si>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</si>
  <si>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</si>
  <si>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</si>
  <si>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</si>
  <si>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</si>
  <si>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</si>
  <si>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</si>
  <si>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</si>
  <si>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</si>
  <si>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</si>
  <si>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</si>
  <si>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</si>
  <si>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</si>
  <si>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</si>
  <si>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</si>
  <si>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</si>
  <si>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</si>
  <si>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</si>
  <si>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</si>
  <si>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</si>
  <si>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</si>
  <si>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</si>
  <si>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</si>
  <si>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</si>
  <si>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</si>
  <si>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</si>
  <si>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</si>
  <si>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</si>
  <si>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</si>
  <si>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</si>
  <si>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</si>
  <si>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</si>
  <si>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</si>
  <si>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</si>
  <si>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</si>
  <si>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</si>
  <si>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</si>
  <si>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</si>
  <si>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</si>
  <si>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</si>
  <si>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</si>
  <si>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</si>
  <si>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</si>
  <si>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</si>
  <si>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</si>
  <si>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</si>
  <si>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</si>
  <si>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</si>
  <si>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</si>
  <si>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</si>
  <si>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</si>
  <si>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</si>
  <si>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</si>
  <si>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</si>
  <si>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</si>
  <si>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</si>
  <si>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</si>
  <si>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</si>
  <si>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</si>
  <si>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</si>
  <si>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</si>
  <si>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</si>
  <si>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</si>
  <si>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</si>
  <si>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</si>
  <si>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</si>
  <si>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</si>
  <si>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</si>
  <si>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</si>
  <si>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</si>
  <si>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</si>
  <si>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</si>
  <si>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</si>
  <si>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</si>
  <si>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</si>
  <si>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</si>
  <si>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</si>
  <si>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</si>
  <si>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</si>
  <si>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</si>
  <si>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</si>
  <si>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</si>
  <si>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</si>
  <si>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</si>
  <si>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</si>
  <si>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</si>
  <si>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</si>
  <si>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</si>
  <si>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</si>
  <si>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</si>
  <si>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</si>
  <si>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</si>
  <si>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</si>
  <si>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</si>
  <si>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</si>
  <si>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</si>
  <si>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</si>
  <si>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</si>
  <si>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</si>
  <si>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</si>
  <si>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</si>
  <si>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</si>
  <si>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</si>
  <si>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</si>
  <si>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</si>
  <si>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</si>
  <si>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</si>
  <si>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</si>
  <si>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</si>
  <si>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</si>
  <si>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</si>
  <si>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</si>
  <si>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</si>
  <si>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</si>
  <si>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</si>
  <si>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</si>
  <si>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</si>
  <si>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</si>
  <si>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</si>
  <si>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</si>
  <si>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</si>
  <si>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</si>
  <si>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</si>
  <si>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</si>
  <si>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</si>
  <si>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</si>
  <si>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</si>
  <si>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</si>
  <si>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</si>
  <si>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</si>
  <si>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</si>
  <si>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</si>
  <si>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</si>
  <si>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</si>
  <si>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</si>
  <si>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</si>
  <si>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</si>
  <si>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</si>
  <si>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</si>
  <si>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</si>
  <si>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</si>
  <si>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</si>
  <si>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</si>
  <si>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</si>
  <si>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</si>
  <si>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</si>
  <si>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</si>
  <si>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</si>
  <si>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</si>
  <si>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</si>
  <si>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</si>
  <si>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</si>
  <si>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</si>
  <si>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</si>
  <si>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</si>
  <si>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</si>
  <si>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</si>
  <si>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</si>
  <si>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</si>
  <si>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</si>
  <si>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</si>
  <si>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</si>
  <si>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</si>
  <si>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</si>
  <si>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</si>
  <si>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</si>
  <si>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</si>
  <si>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</si>
  <si>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</si>
  <si>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</si>
  <si>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</si>
  <si>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</si>
  <si>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</si>
  <si>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</si>
  <si>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</si>
  <si>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</si>
  <si>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</si>
  <si>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</si>
  <si>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</si>
  <si>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</si>
  <si>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</si>
  <si>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</si>
  <si>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</si>
  <si>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</si>
  <si>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</si>
  <si>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</si>
  <si>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</si>
  <si>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</si>
  <si>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</si>
  <si>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</si>
  <si>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</si>
  <si>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</si>
  <si>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</si>
  <si>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</si>
  <si>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</si>
  <si>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</si>
  <si>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</si>
  <si>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</si>
  <si>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</si>
  <si>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</si>
  <si>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</si>
  <si>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</si>
  <si>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</si>
  <si>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</si>
  <si>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</si>
  <si>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</si>
  <si>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</si>
  <si>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</si>
  <si>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</si>
  <si>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</si>
  <si>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</si>
  <si>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</si>
  <si>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</si>
  <si>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</si>
  <si>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</si>
  <si>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</si>
  <si>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</si>
  <si>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</si>
  <si>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</si>
  <si>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</si>
  <si>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</si>
  <si>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</si>
  <si>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</si>
  <si>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</si>
  <si>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</si>
  <si>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</si>
  <si>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</si>
  <si>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</si>
  <si>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</si>
  <si>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</si>
  <si>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</si>
  <si>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</si>
  <si>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</si>
  <si>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</si>
  <si>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</si>
  <si>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</si>
  <si>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</si>
  <si>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</si>
  <si>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</si>
  <si>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</si>
  <si>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</si>
  <si>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</si>
  <si>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</si>
  <si>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</si>
  <si>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</si>
  <si>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</si>
  <si>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</si>
  <si>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</si>
  <si>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</si>
  <si>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</si>
  <si>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</si>
  <si>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</si>
  <si>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</si>
  <si>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</si>
  <si>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</si>
  <si>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</si>
  <si>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</si>
  <si>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</si>
  <si>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</si>
  <si>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</si>
  <si>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</si>
  <si>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</si>
  <si>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</si>
  <si>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</si>
  <si>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</si>
  <si>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</si>
  <si>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</si>
  <si>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</si>
  <si>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</si>
  <si>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</si>
  <si>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</si>
  <si>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</si>
  <si>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</si>
  <si>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</si>
  <si>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</si>
  <si>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</si>
  <si>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</si>
  <si>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</si>
  <si>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</si>
  <si>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</si>
  <si>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</si>
  <si>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</si>
  <si>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</si>
  <si>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</si>
  <si>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</si>
  <si>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</si>
  <si>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</si>
  <si>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</si>
  <si>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</si>
  <si>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</si>
  <si>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</si>
  <si>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</si>
  <si>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</si>
  <si>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</si>
  <si>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</si>
  <si>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</si>
  <si>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</si>
  <si>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</si>
  <si>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</si>
  <si>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</si>
  <si>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</si>
  <si>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</si>
  <si>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</si>
  <si>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</si>
  <si>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</si>
  <si>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</si>
  <si>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</si>
  <si>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</si>
  <si>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</si>
  <si>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</si>
  <si>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</si>
  <si>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</si>
  <si>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</si>
  <si>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</si>
  <si>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</si>
  <si>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</si>
  <si>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</si>
  <si>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</si>
  <si>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</si>
  <si>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</si>
  <si>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</si>
  <si>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</si>
  <si>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</si>
  <si>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</si>
  <si>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</si>
  <si>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</si>
  <si>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</si>
  <si>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</si>
  <si>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</si>
  <si>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</si>
  <si>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</si>
  <si>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</si>
  <si>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</si>
  <si>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</si>
  <si>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</si>
  <si>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</si>
  <si>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</si>
  <si>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</si>
  <si>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</si>
  <si>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</si>
  <si>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</si>
  <si>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</si>
  <si>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</si>
  <si>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</si>
  <si>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</si>
  <si>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</si>
  <si>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</si>
  <si>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</si>
  <si>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</si>
  <si>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</si>
  <si>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</si>
  <si>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</si>
  <si>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</si>
  <si>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</si>
  <si>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</si>
  <si>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</si>
  <si>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</si>
  <si>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</si>
  <si>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</si>
  <si>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</si>
  <si>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</si>
  <si>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</si>
  <si>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</si>
  <si>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</si>
  <si>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</si>
  <si>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</si>
  <si>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</si>
  <si>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</si>
  <si>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</si>
  <si>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</si>
  <si>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</si>
  <si>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</si>
  <si>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</si>
  <si>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</si>
  <si>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</si>
  <si>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</si>
  <si>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</si>
  <si>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</si>
  <si>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</si>
  <si>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</si>
  <si>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</si>
  <si>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</si>
  <si>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</si>
  <si>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</si>
  <si>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</si>
  <si>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</si>
  <si>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</si>
  <si>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</si>
  <si>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</si>
  <si>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</si>
  <si>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</si>
  <si>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</si>
  <si>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</si>
  <si>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</si>
  <si>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</si>
  <si>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</si>
  <si>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</si>
  <si>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</si>
  <si>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</si>
  <si>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</si>
  <si>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</si>
  <si>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</si>
  <si>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</si>
  <si>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</si>
  <si>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</si>
  <si>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</si>
  <si>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</si>
  <si>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</si>
  <si>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</si>
  <si>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</si>
  <si>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</si>
  <si>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</si>
  <si>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</si>
  <si>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</si>
  <si>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</si>
  <si>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</si>
  <si>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</si>
  <si>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</si>
  <si>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</si>
  <si>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</si>
  <si>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</si>
  <si>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</si>
  <si>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</si>
  <si>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</si>
  <si>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</si>
  <si>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</si>
  <si>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</si>
  <si>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</si>
  <si>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</si>
  <si>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</si>
  <si>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</si>
  <si>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</si>
  <si>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</si>
  <si>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</si>
  <si>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</si>
  <si>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</si>
  <si>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</si>
  <si>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</si>
  <si>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</si>
  <si>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</si>
  <si>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</si>
  <si>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</si>
  <si>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</si>
  <si>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</si>
  <si>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</si>
  <si>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</si>
  <si>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</si>
  <si>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</si>
  <si>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</si>
  <si>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</si>
  <si>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</si>
  <si>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</si>
  <si>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</si>
  <si>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</si>
  <si>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</si>
  <si>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</si>
  <si>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</si>
  <si>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</si>
  <si>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</si>
  <si>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</si>
  <si>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</si>
  <si>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</si>
  <si>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</si>
  <si>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</si>
  <si>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</si>
  <si>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</si>
  <si>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</si>
  <si>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</si>
  <si>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</si>
  <si>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</si>
  <si>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</si>
  <si>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</si>
  <si>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</si>
  <si>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</si>
  <si>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</si>
  <si>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</si>
  <si>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</si>
  <si>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</si>
  <si>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</si>
  <si>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</si>
  <si>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</si>
  <si>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</si>
  <si>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</si>
  <si>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</si>
  <si>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</si>
  <si>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</si>
  <si>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</si>
  <si>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</si>
  <si>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</si>
  <si>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</si>
  <si>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</si>
  <si>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</si>
  <si>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</si>
  <si>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</si>
  <si>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</si>
  <si>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</si>
  <si>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</si>
  <si>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</si>
  <si>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</si>
  <si>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</si>
  <si>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</si>
  <si>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</si>
  <si>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</si>
  <si>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</si>
  <si>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</si>
  <si>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</si>
  <si>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</si>
  <si>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</si>
  <si>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</si>
  <si>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</si>
  <si>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</si>
  <si>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</si>
  <si>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</si>
  <si>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</si>
  <si>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</si>
  <si>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</si>
  <si>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</si>
  <si>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</si>
  <si>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</si>
  <si>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</si>
  <si>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</si>
  <si>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</si>
  <si>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</si>
  <si>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</si>
  <si>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</si>
  <si>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</si>
  <si>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</si>
  <si>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</si>
  <si>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</si>
  <si>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</si>
  <si>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</si>
  <si>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</si>
  <si>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</si>
  <si>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</si>
  <si>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</si>
  <si>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</si>
  <si>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</si>
  <si>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</si>
  <si>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</si>
  <si>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</si>
  <si>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</si>
  <si>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</si>
  <si>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</si>
  <si>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</si>
  <si>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</si>
  <si>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</si>
  <si>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</si>
  <si>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</si>
  <si>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</si>
  <si>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</si>
  <si>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</si>
  <si>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</si>
  <si>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</si>
  <si>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</si>
  <si>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</si>
  <si>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</si>
  <si>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</si>
  <si>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</si>
  <si>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</si>
  <si>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</si>
  <si>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</si>
  <si>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</si>
  <si>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</si>
  <si>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</si>
  <si>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</si>
  <si>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</si>
  <si>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</si>
  <si>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</si>
  <si>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</si>
  <si>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</si>
  <si>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</si>
  <si>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</si>
  <si>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</si>
  <si>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</si>
  <si>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</si>
  <si>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</si>
  <si>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</si>
  <si>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</si>
  <si>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</si>
  <si>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</si>
  <si>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</si>
  <si>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</si>
  <si>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</si>
  <si>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</si>
  <si>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</si>
  <si>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</si>
  <si>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</si>
  <si>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</si>
  <si>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</si>
  <si>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</si>
  <si>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</si>
  <si>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</si>
  <si>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</si>
  <si>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</si>
  <si>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</si>
  <si>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</si>
  <si>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</si>
  <si>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</si>
  <si>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</si>
  <si>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</si>
  <si>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</si>
  <si>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</si>
  <si>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</si>
  <si>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</si>
  <si>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</si>
  <si>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</si>
  <si>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</si>
  <si>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</si>
  <si>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</si>
  <si>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</si>
  <si>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</si>
  <si>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</si>
  <si>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</si>
  <si>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</si>
  <si>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</si>
  <si>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</si>
  <si>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</si>
  <si>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</si>
  <si>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</si>
  <si>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</si>
  <si>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</si>
  <si>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</si>
  <si>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</si>
  <si>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</si>
  <si>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</si>
  <si>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</si>
  <si>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</si>
  <si>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</si>
  <si>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</si>
  <si>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</si>
  <si>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</si>
  <si>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</si>
  <si>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</si>
  <si>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</si>
  <si>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</si>
  <si>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</si>
  <si>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</si>
  <si>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</si>
  <si>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</si>
  <si>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</si>
  <si>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</si>
  <si>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</si>
  <si>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</si>
  <si>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</si>
  <si>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</si>
  <si>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</si>
  <si>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</si>
  <si>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</si>
  <si>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</si>
  <si>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</si>
  <si>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</si>
  <si>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</si>
  <si>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</si>
  <si>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</si>
  <si>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</si>
  <si>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</si>
  <si>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</si>
  <si>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</si>
  <si>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</si>
  <si>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</si>
  <si>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</si>
  <si>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</si>
  <si>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</si>
  <si>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</si>
  <si>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</si>
  <si>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</si>
  <si>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</si>
  <si>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</si>
  <si>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</si>
  <si>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</si>
  <si>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</si>
  <si>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</si>
  <si>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</si>
  <si>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</si>
  <si>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</si>
  <si>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</si>
  <si>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</si>
  <si>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</si>
  <si>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</si>
  <si>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</si>
  <si>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</si>
  <si>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</si>
  <si>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</si>
  <si>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</si>
  <si>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</si>
  <si>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</si>
  <si>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</si>
  <si>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</si>
  <si>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</si>
  <si>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</si>
  <si>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</si>
  <si>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</si>
  <si>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</si>
  <si>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</si>
  <si>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</si>
  <si>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</si>
  <si>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</si>
  <si>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</si>
  <si>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</si>
  <si>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</si>
  <si>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</si>
  <si>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</si>
  <si>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</si>
  <si>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</si>
  <si>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</si>
  <si>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</si>
  <si>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</si>
  <si>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</si>
  <si>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</si>
  <si>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</si>
  <si>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</si>
  <si>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</si>
  <si>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</si>
  <si>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</si>
  <si>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</si>
  <si>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</si>
  <si>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</si>
  <si>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</si>
  <si>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</si>
  <si>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</si>
  <si>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</si>
  <si>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</si>
  <si>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</si>
  <si>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</si>
  <si>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</si>
  <si>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</si>
  <si>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</si>
  <si>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</si>
  <si>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</si>
  <si>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</si>
  <si>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</si>
  <si>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</si>
  <si>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</si>
  <si>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</si>
  <si>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</si>
  <si>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</si>
  <si>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</si>
  <si>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</si>
  <si>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</si>
  <si>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</si>
  <si>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</si>
  <si>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</si>
  <si>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</si>
  <si>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</si>
  <si>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</si>
  <si>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</si>
  <si>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</si>
  <si>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</si>
  <si>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</si>
  <si>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</si>
  <si>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</si>
  <si>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</si>
  <si>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</si>
  <si>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</si>
  <si>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</si>
  <si>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</si>
  <si>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</si>
  <si>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</si>
  <si>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</si>
  <si>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</si>
  <si>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</si>
  <si>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</si>
  <si>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</si>
  <si>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</si>
  <si>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</si>
  <si>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</si>
  <si>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</si>
  <si>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</si>
  <si>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</si>
  <si>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</si>
  <si>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</si>
  <si>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</si>
  <si>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</si>
  <si>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</si>
  <si>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</si>
  <si>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</si>
  <si>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</si>
  <si>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</si>
  <si>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</si>
  <si>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</si>
  <si>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</si>
  <si>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</si>
  <si>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</si>
  <si>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</si>
  <si>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</si>
  <si>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</si>
  <si>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</si>
  <si>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</si>
  <si>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</si>
  <si>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</si>
  <si>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</si>
  <si>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</si>
  <si>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</si>
  <si>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</si>
  <si>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</si>
  <si>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</si>
  <si>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</si>
  <si>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</si>
  <si>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</si>
  <si>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</si>
  <si>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</si>
  <si>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</si>
  <si>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</si>
  <si>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</si>
  <si>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</si>
  <si>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</si>
  <si>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</si>
  <si>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</si>
  <si>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</si>
  <si>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</si>
  <si>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</si>
  <si>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</si>
  <si>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</si>
  <si>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</si>
  <si>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</si>
  <si>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</si>
  <si>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</si>
  <si>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</si>
  <si>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</si>
  <si>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</si>
  <si>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</si>
  <si>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</si>
  <si>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</si>
  <si>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</si>
  <si>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</si>
  <si>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</si>
  <si>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</si>
  <si>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</si>
  <si>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</si>
  <si>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</si>
  <si>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</si>
  <si>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</si>
  <si>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</si>
  <si>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</si>
  <si>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</si>
  <si>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</si>
  <si>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</si>
  <si>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</si>
  <si>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</si>
  <si>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</si>
  <si>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</si>
  <si>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</si>
  <si>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</si>
  <si>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</si>
  <si>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</si>
  <si>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</si>
  <si>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</si>
  <si>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</si>
  <si>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</si>
  <si>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</si>
  <si>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</si>
  <si>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</si>
  <si>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</si>
  <si>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</si>
  <si>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</si>
  <si>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</si>
  <si>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</si>
  <si>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</si>
  <si>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</si>
  <si>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</si>
  <si>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</si>
  <si>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</si>
  <si>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</si>
  <si>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</si>
  <si>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</si>
  <si>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</si>
  <si>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</si>
  <si>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</si>
  <si>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</si>
  <si>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</si>
  <si>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</si>
  <si>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</si>
  <si>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</si>
  <si>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</si>
  <si>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</si>
  <si>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</si>
  <si>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</si>
  <si>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</si>
  <si>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</si>
  <si>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</si>
  <si>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</si>
  <si>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</si>
  <si>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</si>
  <si>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</si>
  <si>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</si>
  <si>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</si>
  <si>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</si>
  <si>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</si>
  <si>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</si>
  <si>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</si>
  <si>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</si>
  <si>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</si>
  <si>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</si>
  <si>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</si>
  <si>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</si>
  <si>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</si>
  <si>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</si>
  <si>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</si>
  <si>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</si>
  <si>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</si>
  <si>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</si>
  <si>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</si>
  <si>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</si>
  <si>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</si>
  <si>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</si>
  <si>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</si>
  <si>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</si>
  <si>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</si>
  <si>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</si>
  <si>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</si>
  <si>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</si>
  <si>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</si>
  <si>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</si>
  <si>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</si>
  <si>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</si>
  <si>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</si>
  <si>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</si>
  <si>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</si>
  <si>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</si>
  <si>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</si>
  <si>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</si>
  <si>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</si>
  <si>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</si>
  <si>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</si>
  <si>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</si>
  <si>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</si>
  <si>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</si>
  <si>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</si>
  <si>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</si>
  <si>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</si>
  <si>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</si>
  <si>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</si>
  <si>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</si>
  <si>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</si>
  <si>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</si>
  <si>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</si>
  <si>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</si>
  <si>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</si>
  <si>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</si>
  <si>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</si>
  <si>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</si>
  <si>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</si>
  <si>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</si>
  <si>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</si>
  <si>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</si>
  <si>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</si>
  <si>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</si>
  <si>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</si>
  <si>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</si>
  <si>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</si>
  <si>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</si>
  <si>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</si>
  <si>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</si>
  <si>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</si>
  <si>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</si>
  <si>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</si>
  <si>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</si>
  <si>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</si>
  <si>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</si>
  <si>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</si>
  <si>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</si>
  <si>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</si>
  <si>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</si>
  <si>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</si>
  <si>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</si>
  <si>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</si>
  <si>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</si>
  <si>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</si>
  <si>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</si>
  <si>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</si>
  <si>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</si>
  <si>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</si>
  <si>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</si>
  <si>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</si>
  <si>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</si>
  <si>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</si>
  <si>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</si>
  <si>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</si>
  <si>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</si>
  <si>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</si>
  <si>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</si>
  <si>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</si>
  <si>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</si>
  <si>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</si>
  <si>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</si>
  <si>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</si>
  <si>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</si>
  <si>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</si>
  <si>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</si>
  <si>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</si>
  <si>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</si>
  <si>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</si>
  <si>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</si>
  <si>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</si>
  <si>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</si>
  <si>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</si>
  <si>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</si>
  <si>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</si>
  <si>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</si>
  <si>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</si>
  <si>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</si>
  <si>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</si>
  <si>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</si>
  <si>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</si>
  <si>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</si>
  <si>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</si>
  <si>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</si>
  <si>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</si>
  <si>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</si>
  <si>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</si>
  <si>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</si>
  <si>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</si>
  <si>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</si>
  <si>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</si>
  <si>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</si>
  <si>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</si>
  <si>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</si>
  <si>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</si>
  <si>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</si>
  <si>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</si>
  <si>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</si>
  <si>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</si>
  <si>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</si>
  <si>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</si>
  <si>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</si>
  <si>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</si>
  <si>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</si>
  <si>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</si>
  <si>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</si>
  <si>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</si>
  <si>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</si>
  <si>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</si>
  <si>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</si>
  <si>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</si>
  <si>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</si>
  <si>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</si>
  <si>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</si>
  <si>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</si>
  <si>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</si>
  <si>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</si>
  <si>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</si>
  <si>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</si>
  <si>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</si>
  <si>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</si>
  <si>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</si>
  <si>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</si>
  <si>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</si>
  <si>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</si>
  <si>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</si>
  <si>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</si>
  <si>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</si>
  <si>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</si>
  <si>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</si>
  <si>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</si>
  <si>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</si>
  <si>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</si>
  <si>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</si>
  <si>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</si>
  <si>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</si>
  <si>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</si>
  <si>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</si>
  <si>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</si>
  <si>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</si>
  <si>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</si>
  <si>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</si>
  <si>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</si>
  <si>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</si>
  <si>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</si>
  <si>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</si>
  <si>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</si>
  <si>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</si>
  <si>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</si>
  <si>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</si>
  <si>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</si>
  <si>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</si>
  <si>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</si>
  <si>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</si>
  <si>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</si>
  <si>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</si>
  <si>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</si>
  <si>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</si>
  <si>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</si>
  <si>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</si>
  <si>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</si>
  <si>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</si>
  <si>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</si>
  <si>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</si>
  <si>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</si>
  <si>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</si>
  <si>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</si>
  <si>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</si>
  <si>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</si>
  <si>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</si>
  <si>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</si>
  <si>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</si>
  <si>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</si>
  <si>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</si>
  <si>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</si>
  <si>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</si>
  <si>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</si>
  <si>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</si>
  <si>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</si>
  <si>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</si>
  <si>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</si>
  <si>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</si>
  <si>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</si>
  <si>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</si>
  <si>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</si>
  <si>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</si>
  <si>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</si>
  <si>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</si>
  <si>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</si>
  <si>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</si>
  <si>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</si>
  <si>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</si>
  <si>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</si>
  <si>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</si>
  <si>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</si>
  <si>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</si>
  <si>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</si>
  <si>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</si>
  <si>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</si>
  <si>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</si>
  <si>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</si>
  <si>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</si>
  <si>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</si>
  <si>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</si>
  <si>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</si>
  <si>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</si>
  <si>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</si>
  <si>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</si>
  <si>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</si>
  <si>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</si>
  <si>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</si>
  <si>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</si>
  <si>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</si>
  <si>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</si>
  <si>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</si>
  <si>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</si>
  <si>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</si>
  <si>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</si>
  <si>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</si>
  <si>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</si>
  <si>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</si>
  <si>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</si>
  <si>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</si>
  <si>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</si>
  <si>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</si>
  <si>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</si>
  <si>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</si>
  <si>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</si>
  <si>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</si>
  <si>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</si>
  <si>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</si>
  <si>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</si>
  <si>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</si>
  <si>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</si>
  <si>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</si>
  <si>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</si>
  <si>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</si>
  <si>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</si>
  <si>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</si>
  <si>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</si>
  <si>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</si>
  <si>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</si>
  <si>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</si>
  <si>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</si>
  <si>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</si>
  <si>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</si>
  <si>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</si>
  <si>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</si>
  <si>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</si>
  <si>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</si>
  <si>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</si>
  <si>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</si>
  <si>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</si>
  <si>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</si>
  <si>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</si>
  <si>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</si>
  <si>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</si>
  <si>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</si>
  <si>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</si>
  <si>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</si>
  <si>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</si>
  <si>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</si>
  <si>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</si>
  <si>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</si>
  <si>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</si>
  <si>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</si>
  <si>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</si>
  <si>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</si>
  <si>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</si>
  <si>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</si>
  <si>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</si>
  <si>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</si>
  <si>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</si>
  <si>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</si>
  <si>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</si>
  <si>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</si>
  <si>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</si>
  <si>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</si>
  <si>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</si>
  <si>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</si>
  <si>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</si>
  <si>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</si>
  <si>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</si>
  <si>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</si>
  <si>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</si>
  <si>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</si>
  <si>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</si>
  <si>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</si>
  <si>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</si>
  <si>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</si>
  <si>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</si>
  <si>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</si>
  <si>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</si>
  <si>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</si>
  <si>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</si>
  <si>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</si>
  <si>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</si>
  <si>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</si>
  <si>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</si>
  <si>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</si>
  <si>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</si>
  <si>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</si>
  <si>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</si>
  <si>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</si>
  <si>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</si>
  <si>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</si>
  <si>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</si>
  <si>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</si>
  <si>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</si>
  <si>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</si>
  <si>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</si>
  <si>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</si>
  <si>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</si>
  <si>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</si>
  <si>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</si>
  <si>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</si>
  <si>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</si>
  <si>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</si>
  <si>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</si>
  <si>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</si>
  <si>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</si>
  <si>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</si>
  <si>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</si>
  <si>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</si>
  <si>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</si>
  <si>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</si>
  <si>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</si>
  <si>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</si>
  <si>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</si>
  <si>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</si>
  <si>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</si>
  <si>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</si>
  <si>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</si>
  <si>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</si>
  <si>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</si>
  <si>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</si>
  <si>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</si>
  <si>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</si>
  <si>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</si>
  <si>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</si>
  <si>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</si>
  <si>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</si>
  <si>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</si>
  <si>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</si>
  <si>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</si>
  <si>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</si>
  <si>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</si>
  <si>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</si>
  <si>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</si>
  <si>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</si>
  <si>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</si>
  <si>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</si>
  <si>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</si>
  <si>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</si>
  <si>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</si>
  <si>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</si>
  <si>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</si>
  <si>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</si>
  <si>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</si>
  <si>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</si>
  <si>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</si>
  <si>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</si>
  <si>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</si>
  <si>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</si>
  <si>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</si>
  <si>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</si>
  <si>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</si>
  <si>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</si>
  <si>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</si>
  <si>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</si>
  <si>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</si>
  <si>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</si>
  <si>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</si>
  <si>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</si>
  <si>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</si>
  <si>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</si>
  <si>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</si>
  <si>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</si>
  <si>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</si>
  <si>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</si>
  <si>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</si>
  <si>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</si>
  <si>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</si>
  <si>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</si>
  <si>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</si>
  <si>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</si>
  <si>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</si>
  <si>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</si>
  <si>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</si>
  <si>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</si>
  <si>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</si>
  <si>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</si>
  <si>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</si>
  <si>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</si>
  <si>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</si>
  <si>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</si>
  <si>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</si>
  <si>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</si>
  <si>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</si>
  <si>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</si>
  <si>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</si>
  <si>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</si>
  <si>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</si>
  <si>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</si>
  <si>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</si>
  <si>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</si>
  <si>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</si>
  <si>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</si>
  <si>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</si>
  <si>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</si>
  <si>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</si>
  <si>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</si>
  <si>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</si>
  <si>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</si>
  <si>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</si>
  <si>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</si>
  <si>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</si>
  <si>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</si>
  <si>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</si>
  <si>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</si>
  <si>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</si>
  <si>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</si>
  <si>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</si>
  <si>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</si>
  <si>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</si>
  <si>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</si>
  <si>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</si>
  <si>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</si>
  <si>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</si>
  <si>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</si>
  <si>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</si>
  <si>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</si>
  <si>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</si>
  <si>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</si>
  <si>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</si>
  <si>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</si>
  <si>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</si>
  <si>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</si>
  <si>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</si>
  <si>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</si>
  <si>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</si>
  <si>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</si>
  <si>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</si>
  <si>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</si>
  <si>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</si>
  <si>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</si>
  <si>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</si>
  <si>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</si>
  <si>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</si>
  <si>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</si>
  <si>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</si>
  <si>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</si>
  <si>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</si>
  <si>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</si>
  <si>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</si>
  <si>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</si>
  <si>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</si>
  <si>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</si>
  <si>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</si>
  <si>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</si>
  <si>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</si>
  <si>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</si>
  <si>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</si>
  <si>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</si>
  <si>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</si>
  <si>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</si>
  <si>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</si>
  <si>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</si>
  <si>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</si>
  <si>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</si>
  <si>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</si>
  <si>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</si>
  <si>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</si>
  <si>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</si>
  <si>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</si>
  <si>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</si>
  <si>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</si>
  <si>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</si>
  <si>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</si>
  <si>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</si>
  <si>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</si>
  <si>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</si>
  <si>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</si>
  <si>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</si>
  <si>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</si>
  <si>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</si>
  <si>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</si>
  <si>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</si>
  <si>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</si>
  <si>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</si>
  <si>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</si>
  <si>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</si>
  <si>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</si>
  <si>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</si>
  <si>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</si>
  <si>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</si>
  <si>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</si>
  <si>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</si>
  <si>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</si>
  <si>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</si>
  <si>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</si>
  <si>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</si>
  <si>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</si>
  <si>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</si>
  <si>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</si>
  <si>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</si>
  <si>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</si>
  <si>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</si>
  <si>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</si>
  <si>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</si>
  <si>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</si>
  <si>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</si>
  <si>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</si>
  <si>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</si>
  <si>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</si>
  <si>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</si>
  <si>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</si>
  <si>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</si>
  <si>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</si>
  <si>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</si>
  <si>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</si>
  <si>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</si>
  <si>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</si>
  <si>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</si>
  <si>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</si>
  <si>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</si>
  <si>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</si>
  <si>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</si>
  <si>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</si>
  <si>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</si>
  <si>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</si>
  <si>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</si>
  <si>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</si>
  <si>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</si>
  <si>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</si>
  <si>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</si>
  <si>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</si>
  <si>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</si>
  <si>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</si>
  <si>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</si>
  <si>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</si>
  <si>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</si>
  <si>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</si>
  <si>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</si>
  <si>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</si>
  <si>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</si>
  <si>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</si>
  <si>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</si>
  <si>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</si>
  <si>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</si>
  <si>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</si>
  <si>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</si>
  <si>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</si>
  <si>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</si>
  <si>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</si>
  <si>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</si>
  <si>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</si>
  <si>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</si>
  <si>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</si>
  <si>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</si>
  <si>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</si>
  <si>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</si>
  <si>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</si>
  <si>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</si>
  <si>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</si>
  <si>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</si>
  <si>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</si>
  <si>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</si>
  <si>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</si>
  <si>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</si>
  <si>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</si>
  <si>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</si>
  <si>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</si>
  <si>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</si>
  <si>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</si>
  <si>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</si>
  <si>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</si>
  <si>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</si>
  <si>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</si>
  <si>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</si>
  <si>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</si>
  <si>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</si>
  <si>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</si>
  <si>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</si>
  <si>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</si>
  <si>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</si>
  <si>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</si>
  <si>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</si>
  <si>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</si>
  <si>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</si>
  <si>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</si>
  <si>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</si>
  <si>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</si>
  <si>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</si>
  <si>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</si>
  <si>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</si>
  <si>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</si>
  <si>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</si>
  <si>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</si>
  <si>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</si>
  <si>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</si>
  <si>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</si>
  <si>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</si>
  <si>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</si>
  <si>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</si>
  <si>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</si>
  <si>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</si>
  <si>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</si>
  <si>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</si>
  <si>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</si>
  <si>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</si>
  <si>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</si>
  <si>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</si>
  <si>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</si>
  <si>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</si>
  <si>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</si>
  <si>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</si>
  <si>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</si>
  <si>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</si>
  <si>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</si>
  <si>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</si>
  <si>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</si>
  <si>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</si>
  <si>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</si>
  <si>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</si>
  <si>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</si>
  <si>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</si>
  <si>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</si>
  <si>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</si>
  <si>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</si>
  <si>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</si>
  <si>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</si>
  <si>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</si>
  <si>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</si>
  <si>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</si>
  <si>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</si>
  <si>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</si>
  <si>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</si>
  <si>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</si>
  <si>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</si>
  <si>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</si>
  <si>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</si>
  <si>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</si>
  <si>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</si>
  <si>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</si>
  <si>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</si>
  <si>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</si>
  <si>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</si>
  <si>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</si>
  <si>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</si>
  <si>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</si>
  <si>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</si>
  <si>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</si>
  <si>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</si>
  <si>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</si>
  <si>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</si>
  <si>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</si>
  <si>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</si>
  <si>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</si>
  <si>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</si>
  <si>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</si>
  <si>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</si>
  <si>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</si>
  <si>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</si>
  <si>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</si>
  <si>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</si>
  <si>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</si>
  <si>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</si>
  <si>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</si>
  <si>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</si>
  <si>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</si>
  <si>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</si>
  <si>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</si>
  <si>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</si>
  <si>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</si>
  <si>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</si>
  <si>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</si>
  <si>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</si>
  <si>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</si>
  <si>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</si>
  <si>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</si>
  <si>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</si>
  <si>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</si>
  <si>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</si>
  <si>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</si>
  <si>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</si>
  <si>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</si>
  <si>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</si>
  <si>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</si>
  <si>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</si>
  <si>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</si>
  <si>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</si>
  <si>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</si>
  <si>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</si>
  <si>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</si>
  <si>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</si>
  <si>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</si>
  <si>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</si>
  <si>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</si>
  <si>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</si>
  <si>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</si>
  <si>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</si>
  <si>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</si>
  <si>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</si>
  <si>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</si>
  <si>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</si>
  <si>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</si>
  <si>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</si>
  <si>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</si>
  <si>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</si>
  <si>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</si>
  <si>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</si>
  <si>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</si>
  <si>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</si>
  <si>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</si>
  <si>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</si>
  <si>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</si>
  <si>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</si>
  <si>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</si>
  <si>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</si>
  <si>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</si>
  <si>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</si>
  <si>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</si>
  <si>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</si>
  <si>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</si>
  <si>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</si>
  <si>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</si>
  <si>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</si>
  <si>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</si>
  <si>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</si>
  <si>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</si>
  <si>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</si>
  <si>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</si>
  <si>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</si>
  <si>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</si>
  <si>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</si>
  <si>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</si>
  <si>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</si>
  <si>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</si>
  <si>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</si>
  <si>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</si>
  <si>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</si>
  <si>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</si>
  <si>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</si>
  <si>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</si>
  <si>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</si>
  <si>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</si>
  <si>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</si>
  <si>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</si>
  <si>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</si>
  <si>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</si>
  <si>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</si>
  <si>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</si>
  <si>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</si>
  <si>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</si>
  <si>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</si>
  <si>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</si>
  <si>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</si>
  <si>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</si>
  <si>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</si>
  <si>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</si>
  <si>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</si>
  <si>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</si>
  <si>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</si>
  <si>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</si>
  <si>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</si>
  <si>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</si>
  <si>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</si>
  <si>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</si>
  <si>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</si>
  <si>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</si>
  <si>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</si>
  <si>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</si>
  <si>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</si>
  <si>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</si>
  <si>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</si>
  <si>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</si>
  <si>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</si>
  <si>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</si>
  <si>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</si>
  <si>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</si>
  <si>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</si>
  <si>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</si>
  <si>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</si>
  <si>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</si>
  <si>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</si>
  <si>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</si>
  <si>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</si>
  <si>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</si>
  <si>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</si>
  <si>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</si>
  <si>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</si>
  <si>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</si>
  <si>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</si>
  <si>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</si>
  <si>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</si>
  <si>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</si>
  <si>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</si>
  <si>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</si>
  <si>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</si>
  <si>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</si>
  <si>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</si>
  <si>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</si>
  <si>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</si>
  <si>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</si>
  <si>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</si>
  <si>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</si>
  <si>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</si>
  <si>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</si>
  <si>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</si>
  <si>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</si>
  <si>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</si>
  <si>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</si>
  <si>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</si>
  <si>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</si>
  <si>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</si>
  <si>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</si>
  <si>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</si>
  <si>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</si>
  <si>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</si>
  <si>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</si>
  <si>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</si>
  <si>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</si>
  <si>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</si>
  <si>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</si>
  <si>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</si>
  <si>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</si>
  <si>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</si>
  <si>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</si>
  <si>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</si>
  <si>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</si>
  <si>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</si>
  <si>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</si>
  <si>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</si>
  <si>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</si>
  <si>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</si>
  <si>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</si>
  <si>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</si>
  <si>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</si>
  <si>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</si>
  <si>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</si>
  <si>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</si>
  <si>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</si>
  <si>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</si>
  <si>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</si>
  <si>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</si>
  <si>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</si>
  <si>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</si>
  <si>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</si>
  <si>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</si>
  <si>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</si>
  <si>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</si>
  <si>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</si>
  <si>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</si>
  <si>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</si>
  <si>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</si>
  <si>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</si>
  <si>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</si>
  <si>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</si>
  <si>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</si>
  <si>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</si>
  <si>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</si>
  <si>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</si>
  <si>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</si>
  <si>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</si>
  <si>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</si>
  <si>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</si>
  <si>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</si>
  <si>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</si>
  <si>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</si>
  <si>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</si>
  <si>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</si>
  <si>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</si>
  <si>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</si>
  <si>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</si>
  <si>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</si>
  <si>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</si>
  <si>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</si>
  <si>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</si>
  <si>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</si>
  <si>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</si>
  <si>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</si>
  <si>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</si>
  <si>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</si>
  <si>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</si>
  <si>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</si>
  <si>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</si>
  <si>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</si>
  <si>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</si>
  <si>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</si>
  <si>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</si>
  <si>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</si>
  <si>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</si>
  <si>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</si>
  <si>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</si>
  <si>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</si>
  <si>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</si>
  <si>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</si>
  <si>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</si>
  <si>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</si>
  <si>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</si>
  <si>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</si>
  <si>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</si>
  <si>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</si>
  <si>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</si>
  <si>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</si>
  <si>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</si>
  <si>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</si>
  <si>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</si>
  <si>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</si>
  <si>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</si>
  <si>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</si>
  <si>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</si>
  <si>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</si>
  <si>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</si>
  <si>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</si>
  <si>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</si>
  <si>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</si>
  <si>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</si>
  <si>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</si>
  <si>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</si>
  <si>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</si>
  <si>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</si>
  <si>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</si>
  <si>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</si>
  <si>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</si>
  <si>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</si>
  <si>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</si>
  <si>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</si>
  <si>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</si>
  <si>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</si>
  <si>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</si>
  <si>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</si>
  <si>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</si>
  <si>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</si>
  <si>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</si>
  <si>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</si>
  <si>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</si>
  <si>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</si>
  <si>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</si>
  <si>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</si>
  <si>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</si>
  <si>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</si>
  <si>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</si>
  <si>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</si>
  <si>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</si>
  <si>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</si>
  <si>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</si>
  <si>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</si>
  <si>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</si>
  <si>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</si>
  <si>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</si>
  <si>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</si>
  <si>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</si>
  <si>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</si>
  <si>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</si>
  <si>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</si>
  <si>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</si>
  <si>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</si>
  <si>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</si>
  <si>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</si>
  <si>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</si>
  <si>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</si>
  <si>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</si>
  <si>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</si>
  <si>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</si>
  <si>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</si>
  <si>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</si>
  <si>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</si>
  <si>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</si>
  <si>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</si>
  <si>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</si>
  <si>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</si>
  <si>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</si>
  <si>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</si>
  <si>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</si>
  <si>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</si>
  <si>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</si>
  <si>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</si>
  <si>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</si>
  <si>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</si>
  <si>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</si>
  <si>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</si>
  <si>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</si>
  <si>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</si>
  <si>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</si>
  <si>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</si>
  <si>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</si>
  <si>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</si>
  <si>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</si>
  <si>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</si>
  <si>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</si>
  <si>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</si>
  <si>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</si>
  <si>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</si>
  <si>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</si>
  <si>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</si>
  <si>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</si>
  <si>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</si>
  <si>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</si>
  <si>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</si>
  <si>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</si>
  <si>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</si>
  <si>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</si>
  <si>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</si>
  <si>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</si>
  <si>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</si>
  <si>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</si>
  <si>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</si>
  <si>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</si>
  <si>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</si>
  <si>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</si>
  <si>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</si>
  <si>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</si>
  <si>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</si>
  <si>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</si>
  <si>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</si>
  <si>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</si>
  <si>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</si>
  <si>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</si>
  <si>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</si>
  <si>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</si>
  <si>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</si>
  <si>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</si>
  <si>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</si>
  <si>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</si>
  <si>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</si>
  <si>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</si>
  <si>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</si>
  <si>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</si>
  <si>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</si>
  <si>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</si>
  <si>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</si>
  <si>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</si>
  <si>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</si>
  <si>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</si>
  <si>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</si>
  <si>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</si>
  <si>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</si>
  <si>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</si>
  <si>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</si>
  <si>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</si>
  <si>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</si>
  <si>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</si>
  <si>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</si>
  <si>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</si>
  <si>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</si>
  <si>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</si>
  <si>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</si>
  <si>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</si>
  <si>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</si>
  <si>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</si>
  <si>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</si>
  <si>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</si>
  <si>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</si>
  <si>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</si>
  <si>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</si>
  <si>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</si>
  <si>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</si>
  <si>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</si>
  <si>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</si>
  <si>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</si>
  <si>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</si>
  <si>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</si>
  <si>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</si>
  <si>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</si>
  <si>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</si>
  <si>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</si>
  <si>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</si>
  <si>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</si>
  <si>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</si>
  <si>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</si>
  <si>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</si>
  <si>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</si>
  <si>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</si>
  <si>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</si>
  <si>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</si>
  <si>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</si>
  <si>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</si>
  <si>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</si>
  <si>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</si>
  <si>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</si>
  <si>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</si>
  <si>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</si>
  <si>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</si>
  <si>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</si>
  <si>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</si>
  <si>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</si>
  <si>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</si>
  <si>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</si>
  <si>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</si>
  <si>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</si>
  <si>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</si>
  <si>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</si>
  <si>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</si>
  <si>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</si>
  <si>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</si>
  <si>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</si>
  <si>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</si>
  <si>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</si>
  <si>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</si>
  <si>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</si>
  <si>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</si>
  <si>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</si>
  <si>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</si>
  <si>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</si>
  <si>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</si>
  <si>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</si>
  <si>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</si>
  <si>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</si>
  <si>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</si>
  <si>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</si>
  <si>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</si>
  <si>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</si>
  <si>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</si>
  <si>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</si>
  <si>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</si>
  <si>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</si>
  <si>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</si>
  <si>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</si>
  <si>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</si>
  <si>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</si>
  <si>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</si>
  <si>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</si>
  <si>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</si>
  <si>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</si>
  <si>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</si>
  <si>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</si>
  <si>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</si>
  <si>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</si>
  <si>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</si>
  <si>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</si>
  <si>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</si>
  <si>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</si>
  <si>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</si>
  <si>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</si>
  <si>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</si>
  <si>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</si>
  <si>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</si>
  <si>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</si>
  <si>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</si>
  <si>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</si>
  <si>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</si>
  <si>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</si>
  <si>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</si>
  <si>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</si>
  <si>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</si>
  <si>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</si>
  <si>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</si>
  <si>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</si>
  <si>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</si>
  <si>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</si>
  <si>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</si>
  <si>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</si>
  <si>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</si>
  <si>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</si>
  <si>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</si>
  <si>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</si>
  <si>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</si>
  <si>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</si>
  <si>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</si>
  <si>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</si>
  <si>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</si>
  <si>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</si>
  <si>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</si>
  <si>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</si>
  <si>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</si>
  <si>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</si>
  <si>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</si>
  <si>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</si>
  <si>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</si>
  <si>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</si>
  <si>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</si>
  <si>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</si>
  <si>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</si>
  <si>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</si>
  <si>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</si>
  <si>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</si>
  <si>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</si>
  <si>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</si>
  <si>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</si>
  <si>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</si>
  <si>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</si>
  <si>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</si>
  <si>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</si>
  <si>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</si>
  <si>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</si>
  <si>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</si>
  <si>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</si>
  <si>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</si>
  <si>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</si>
  <si>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</si>
  <si>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</si>
  <si>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</si>
  <si>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</si>
  <si>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</si>
  <si>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</si>
  <si>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</si>
  <si>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</si>
  <si>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</si>
  <si>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</si>
  <si>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</si>
  <si>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</si>
  <si>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</si>
  <si>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</si>
  <si>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</si>
  <si>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</si>
  <si>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</si>
  <si>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</si>
  <si>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</si>
  <si>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</si>
  <si>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</si>
  <si>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</si>
  <si>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</si>
  <si>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</si>
  <si>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</si>
  <si>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</si>
  <si>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</si>
  <si>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</si>
  <si>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</si>
  <si>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</si>
  <si>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</si>
  <si>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</si>
  <si>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</si>
  <si>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</si>
  <si>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</si>
  <si>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</si>
  <si>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</si>
  <si>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</si>
  <si>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</si>
  <si>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</si>
  <si>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</si>
  <si>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</si>
  <si>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</si>
  <si>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</si>
  <si>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</si>
  <si>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</si>
  <si>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</si>
  <si>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</si>
  <si>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</si>
  <si>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</si>
  <si>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</si>
  <si>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</si>
  <si>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</si>
  <si>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</si>
  <si>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</si>
  <si>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</si>
  <si>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</si>
  <si>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</si>
  <si>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</si>
  <si>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</si>
  <si>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</si>
  <si>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</si>
  <si>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</si>
  <si>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</si>
  <si>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</si>
  <si>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</si>
  <si>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</si>
  <si>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</si>
  <si>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</si>
  <si>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</si>
  <si>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</si>
  <si>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</si>
  <si>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</si>
  <si>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</si>
  <si>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</si>
  <si>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</si>
  <si>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</si>
  <si>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</si>
  <si>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</si>
  <si>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</si>
  <si>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</si>
  <si>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</si>
  <si>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</si>
  <si>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</si>
  <si>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</si>
  <si>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</si>
  <si>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</si>
  <si>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</si>
  <si>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</si>
  <si>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</si>
  <si>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</si>
  <si>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</si>
  <si>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</si>
  <si>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</si>
  <si>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</si>
  <si>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</si>
  <si>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</si>
  <si>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</si>
  <si>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</si>
  <si>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</si>
  <si>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</si>
  <si>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</si>
  <si>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</si>
  <si>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</si>
  <si>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</si>
  <si>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</si>
  <si>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</si>
  <si>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</si>
  <si>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</si>
  <si>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</si>
  <si>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</si>
  <si>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</si>
  <si>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</si>
  <si>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</si>
  <si>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</si>
  <si>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</si>
  <si>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</si>
  <si>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</si>
  <si>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</si>
  <si>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</si>
  <si>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</si>
  <si>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</si>
  <si>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</si>
  <si>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</si>
  <si>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</si>
  <si>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</si>
  <si>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</si>
  <si>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</si>
  <si>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</si>
  <si>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</si>
  <si>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</si>
  <si>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</si>
  <si>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</si>
  <si>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</si>
  <si>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</si>
  <si>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</si>
  <si>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</si>
  <si>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</si>
  <si>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</si>
  <si>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</si>
  <si>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</si>
  <si>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</si>
  <si>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</si>
  <si>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</si>
  <si>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</si>
  <si>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</si>
  <si>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</si>
  <si>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</si>
  <si>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</si>
  <si>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</si>
  <si>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</si>
  <si>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</si>
  <si>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</si>
  <si>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</si>
  <si>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</si>
  <si>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</si>
  <si>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</si>
  <si>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</si>
  <si>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</si>
  <si>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</si>
  <si>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</si>
  <si>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</si>
  <si>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</si>
  <si>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</si>
  <si>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</si>
  <si>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</si>
  <si>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</si>
  <si>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</si>
  <si>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</si>
  <si>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</si>
  <si>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</si>
  <si>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</si>
  <si>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</si>
  <si>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</si>
  <si>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</si>
  <si>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</si>
  <si>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</si>
  <si>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</si>
  <si>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</si>
  <si>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</si>
  <si>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</si>
  <si>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</si>
  <si>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</si>
  <si>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</si>
  <si>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</si>
  <si>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</si>
  <si>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</si>
  <si>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</si>
  <si>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</si>
  <si>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</si>
  <si>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</si>
  <si>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</si>
  <si>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</si>
  <si>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</si>
  <si>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</si>
  <si>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</si>
  <si>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</si>
  <si>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</si>
  <si>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</si>
  <si>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</si>
  <si>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</si>
  <si>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</si>
  <si>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</si>
  <si>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</si>
  <si>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</si>
  <si>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</si>
  <si>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</si>
  <si>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</si>
  <si>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</si>
  <si>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</si>
  <si>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</si>
  <si>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</si>
  <si>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</si>
  <si>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</si>
  <si>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</si>
  <si>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</si>
  <si>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</si>
  <si>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</si>
  <si>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</si>
  <si>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</si>
  <si>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</si>
  <si>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</si>
  <si>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</si>
  <si>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</si>
  <si>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</si>
  <si>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</si>
  <si>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</si>
  <si>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</si>
  <si>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</si>
  <si>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</si>
  <si>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</si>
  <si>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</si>
  <si>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</si>
  <si>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</si>
  <si>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</si>
  <si>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</si>
  <si>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</si>
  <si>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</si>
  <si>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</si>
  <si>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</si>
  <si>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</si>
  <si>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</si>
  <si>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</si>
  <si>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</si>
  <si>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</si>
  <si>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</si>
  <si>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</si>
  <si>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</si>
  <si>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</si>
  <si>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</si>
  <si>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</si>
  <si>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</si>
  <si>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</si>
  <si>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</si>
  <si>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</si>
  <si>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</si>
  <si>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</si>
  <si>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</si>
  <si>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</si>
  <si>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</si>
  <si>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</si>
  <si>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</si>
  <si>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</si>
  <si>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</si>
  <si>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</si>
  <si>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</si>
  <si>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</si>
  <si>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</si>
  <si>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</si>
  <si>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</si>
  <si>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</si>
  <si>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</si>
  <si>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</si>
  <si>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</si>
  <si>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</si>
  <si>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</si>
  <si>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</si>
  <si>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</si>
  <si>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</si>
  <si>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</si>
  <si>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</si>
  <si>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</si>
  <si>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</si>
  <si>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</si>
  <si>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</si>
  <si>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</si>
  <si>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</si>
  <si>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</si>
  <si>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</si>
  <si>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</si>
  <si>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</si>
  <si>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</si>
  <si>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</si>
  <si>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</si>
  <si>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</si>
  <si>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</si>
  <si>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</si>
  <si>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</si>
  <si>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</si>
  <si>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</si>
  <si>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</si>
  <si>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</si>
  <si>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</si>
  <si>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</si>
  <si>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</si>
  <si>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</si>
  <si>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</si>
  <si>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</si>
  <si>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</si>
  <si>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</si>
  <si>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</si>
  <si>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</si>
  <si>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</si>
  <si>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</si>
  <si>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</si>
  <si>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</si>
  <si>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</si>
  <si>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</si>
  <si>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</si>
  <si>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</si>
  <si>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</si>
  <si>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</si>
  <si>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</si>
  <si>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</si>
  <si>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</si>
  <si>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</si>
  <si>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</si>
  <si>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</si>
  <si>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</si>
  <si>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</si>
  <si>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</si>
  <si>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</si>
  <si>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</si>
  <si>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</si>
  <si>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</si>
  <si>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</si>
  <si>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</si>
  <si>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</si>
  <si>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</si>
  <si>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</si>
  <si>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</si>
  <si>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</si>
  <si>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</si>
  <si>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</si>
  <si>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</si>
  <si>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</si>
  <si>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</si>
  <si>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</si>
  <si>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</si>
  <si>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</si>
  <si>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</si>
  <si>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</si>
  <si>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</si>
  <si>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</si>
  <si>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</si>
  <si>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</si>
  <si>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</si>
  <si>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</si>
  <si>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</si>
  <si>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</si>
  <si>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</si>
  <si>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</si>
  <si>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</si>
  <si>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</si>
  <si>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</si>
  <si>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</si>
  <si>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</si>
  <si>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</si>
  <si>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</si>
  <si>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</si>
  <si>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</si>
  <si>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</si>
  <si>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</si>
  <si>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</si>
  <si>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</si>
  <si>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</si>
  <si>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</si>
  <si>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</si>
  <si>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</si>
  <si>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</si>
  <si>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</si>
  <si>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</si>
  <si>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</si>
  <si>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</si>
  <si>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</si>
  <si>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</si>
  <si>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</si>
  <si>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</si>
  <si>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</si>
  <si>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</si>
  <si>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</si>
  <si>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</si>
  <si>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</si>
  <si>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</si>
  <si>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</si>
  <si>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</si>
  <si>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</si>
  <si>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</si>
  <si>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</si>
  <si>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</si>
  <si>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</si>
  <si>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</si>
  <si>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</si>
  <si>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</si>
  <si>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</si>
  <si>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</si>
  <si>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</si>
  <si>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</si>
  <si>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</si>
  <si>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</si>
  <si>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</si>
  <si>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</si>
  <si>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</si>
  <si>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</si>
  <si>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</si>
  <si>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</si>
  <si>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</si>
  <si>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</si>
  <si>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</si>
  <si>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</si>
  <si>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</si>
  <si>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</si>
  <si>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</si>
  <si>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</si>
  <si>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</si>
  <si>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</si>
  <si>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</si>
  <si>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</si>
  <si>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</si>
  <si>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</si>
  <si>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</si>
  <si>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</si>
  <si>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</si>
  <si>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</si>
  <si>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</si>
  <si>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</si>
  <si>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</si>
  <si>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</si>
  <si>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</si>
  <si>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</si>
  <si>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</si>
  <si>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</si>
  <si>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</si>
  <si>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</si>
  <si>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</si>
  <si>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</si>
  <si>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</si>
  <si>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</si>
  <si>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</si>
  <si>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</si>
  <si>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</si>
  <si>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</si>
  <si>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</si>
  <si>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</si>
  <si>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</si>
  <si>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</si>
  <si>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</si>
  <si>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</si>
  <si>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</si>
  <si>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</si>
  <si>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</si>
  <si>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</si>
  <si>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</si>
  <si>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</si>
  <si>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</si>
  <si>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</si>
  <si>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</si>
  <si>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</si>
  <si>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</si>
  <si>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</si>
  <si>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</si>
  <si>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</si>
  <si>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</si>
  <si>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</si>
  <si>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</si>
  <si>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</si>
  <si>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</si>
  <si>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</si>
  <si>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</si>
  <si>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</si>
  <si>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</si>
  <si>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</si>
  <si>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</si>
  <si>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</si>
  <si>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</si>
  <si>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</si>
  <si>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</si>
  <si>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</si>
  <si>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</si>
  <si>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</si>
  <si>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</si>
  <si>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</si>
  <si>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</si>
  <si>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</si>
  <si>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</si>
  <si>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</si>
  <si>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</si>
  <si>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</si>
  <si>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</si>
  <si>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</si>
  <si>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</si>
  <si>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</si>
  <si>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</si>
  <si>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</si>
  <si>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</si>
  <si>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</si>
  <si>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</si>
  <si>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</si>
  <si>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</si>
  <si>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</si>
  <si>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</si>
  <si>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</si>
  <si>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</si>
  <si>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</si>
  <si>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</si>
  <si>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</si>
  <si>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</si>
  <si>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</si>
  <si>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</si>
  <si>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</si>
  <si>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</si>
  <si>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</si>
  <si>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</si>
  <si>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</si>
  <si>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</si>
  <si>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</si>
  <si>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</si>
  <si>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</si>
  <si>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</si>
  <si>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</si>
  <si>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</si>
  <si>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</si>
  <si>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</si>
  <si>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</si>
  <si>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</si>
  <si>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</si>
  <si>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</si>
  <si>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</si>
  <si>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</si>
  <si>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</si>
  <si>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</si>
  <si>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</si>
  <si>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</si>
  <si>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</si>
  <si>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</si>
  <si>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</si>
  <si>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</si>
  <si>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</si>
  <si>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</si>
  <si>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</si>
  <si>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</si>
  <si>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</si>
  <si>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</si>
  <si>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</si>
  <si>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</si>
  <si>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</si>
  <si>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</si>
  <si>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</si>
  <si>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</si>
  <si>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</si>
  <si>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</si>
  <si>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</si>
  <si>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</si>
  <si>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</si>
  <si>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</si>
  <si>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</si>
  <si>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</si>
  <si>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</si>
  <si>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</si>
  <si>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</si>
  <si>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</si>
  <si>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</si>
  <si>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</si>
  <si>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</si>
  <si>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</si>
  <si>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</si>
  <si>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</si>
  <si>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</si>
  <si>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</si>
  <si>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</si>
  <si>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</si>
  <si>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</si>
  <si>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</si>
  <si>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</si>
  <si>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</si>
  <si>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</si>
  <si>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</si>
  <si>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</si>
  <si>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</si>
  <si>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</si>
  <si>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</si>
  <si>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</si>
  <si>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</si>
  <si>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</si>
  <si>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</si>
  <si>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</si>
  <si>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</si>
  <si>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</si>
  <si>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</si>
  <si>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</si>
  <si>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</si>
  <si>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</si>
  <si>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</si>
  <si>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</si>
  <si>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</si>
  <si>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</si>
  <si>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</si>
  <si>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</si>
  <si>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</si>
  <si>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</si>
  <si>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</si>
  <si>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</si>
  <si>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</si>
  <si>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</si>
  <si>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</si>
  <si>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</si>
  <si>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</si>
  <si>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</si>
  <si>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</si>
  <si>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</si>
  <si>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</si>
  <si>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</si>
  <si>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</si>
  <si>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</si>
  <si>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</si>
  <si>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</si>
  <si>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</si>
  <si>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</si>
  <si>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</si>
  <si>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</si>
  <si>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</si>
  <si>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</si>
  <si>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</si>
  <si>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</si>
  <si>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</si>
  <si>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</si>
  <si>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</si>
  <si>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</si>
  <si>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</si>
  <si>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</si>
  <si>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</si>
  <si>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</si>
  <si>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</si>
  <si>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</si>
  <si>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</si>
  <si>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</si>
  <si>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</si>
  <si>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</si>
  <si>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</si>
  <si>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</si>
  <si>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</si>
  <si>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</si>
  <si>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</si>
  <si>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</si>
  <si>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</si>
  <si>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</si>
  <si>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</si>
  <si>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</si>
  <si>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</si>
  <si>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</si>
  <si>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</si>
  <si>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</si>
  <si>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</si>
  <si>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</si>
  <si>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</si>
  <si>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</si>
  <si>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</si>
  <si>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</si>
  <si>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</si>
  <si>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</si>
  <si>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</si>
  <si>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</si>
  <si>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</si>
  <si>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</si>
  <si>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</si>
  <si>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</si>
  <si>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</si>
  <si>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</si>
  <si>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</si>
  <si>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</si>
  <si>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</si>
  <si>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</si>
  <si>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</si>
  <si>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</si>
  <si>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</si>
  <si>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</si>
  <si>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</si>
  <si>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</si>
  <si>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</si>
  <si>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</si>
  <si>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</si>
  <si>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</si>
  <si>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</si>
  <si>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</si>
  <si>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</si>
  <si>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</si>
  <si>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</si>
  <si>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</si>
  <si>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</si>
  <si>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</si>
  <si>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</si>
  <si>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</si>
  <si>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</si>
  <si>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</si>
  <si>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</si>
  <si>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</si>
  <si>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</si>
  <si>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</si>
  <si>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</si>
  <si>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</si>
  <si>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</si>
  <si>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</si>
  <si>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</si>
  <si>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</si>
  <si>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</si>
  <si>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</si>
  <si>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</si>
  <si>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</si>
  <si>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</si>
  <si>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</si>
  <si>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</si>
  <si>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</si>
  <si>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</si>
  <si>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</si>
  <si>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</si>
  <si>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</si>
  <si>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</si>
  <si>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</si>
  <si>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</si>
  <si>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</si>
  <si>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</si>
  <si>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</si>
  <si>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</si>
  <si>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</si>
  <si>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</si>
  <si>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</si>
  <si>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</si>
  <si>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</si>
  <si>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</si>
  <si>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</si>
  <si>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</si>
  <si>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</si>
  <si>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</si>
  <si>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</si>
  <si>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</si>
  <si>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</si>
  <si>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</si>
  <si>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</si>
  <si>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</si>
  <si>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</si>
  <si>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</si>
  <si>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</si>
  <si>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</si>
  <si>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</si>
  <si>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</si>
  <si>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</si>
  <si>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</si>
  <si>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</si>
  <si>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</si>
  <si>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</si>
  <si>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</si>
  <si>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</si>
  <si>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</si>
  <si>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</si>
  <si>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</si>
  <si>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</si>
  <si>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</si>
  <si>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</si>
  <si>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</si>
  <si>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</si>
  <si>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</si>
  <si>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</si>
  <si>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</si>
  <si>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</si>
  <si>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</si>
  <si>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</si>
  <si>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</si>
  <si>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</si>
  <si>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</si>
  <si>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</si>
  <si>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</si>
  <si>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</si>
  <si>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</si>
  <si>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</si>
  <si>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</si>
  <si>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</si>
  <si>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</si>
  <si>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</si>
  <si>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</si>
  <si>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</si>
  <si>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</si>
  <si>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</si>
  <si>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</si>
  <si>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</si>
  <si>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</si>
  <si>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</si>
  <si>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</si>
  <si>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</si>
  <si>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</si>
  <si>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</si>
  <si>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</si>
  <si>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</si>
  <si>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</si>
  <si>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</si>
  <si>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</si>
  <si>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</si>
  <si>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</si>
  <si>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</si>
  <si>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</si>
  <si>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</si>
  <si>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</si>
  <si>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</si>
  <si>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</si>
  <si>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</si>
  <si>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</si>
  <si>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</si>
  <si>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</si>
  <si>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</si>
  <si>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</si>
  <si>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</si>
  <si>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</si>
  <si>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</si>
  <si>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</si>
  <si>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</si>
  <si>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</si>
  <si>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</si>
  <si>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</si>
  <si>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</si>
  <si>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</si>
  <si>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</si>
  <si>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</si>
  <si>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</si>
  <si>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</si>
  <si>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</si>
  <si>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</si>
  <si>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</si>
  <si>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</si>
  <si>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</si>
  <si>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</si>
  <si>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</si>
  <si>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</si>
  <si>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</si>
  <si>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</si>
  <si>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</si>
  <si>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</si>
  <si>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</si>
  <si>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</si>
  <si>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</si>
  <si>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</si>
  <si>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</si>
  <si>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</si>
  <si>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</si>
  <si>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</si>
  <si>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</si>
  <si>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</si>
  <si>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</si>
  <si>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</si>
  <si>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</si>
  <si>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</si>
  <si>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</si>
  <si>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</si>
  <si>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</si>
  <si>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</si>
  <si>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</si>
  <si>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</si>
  <si>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</si>
  <si>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</si>
  <si>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</si>
  <si>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</si>
  <si>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</si>
  <si>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</si>
  <si>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</si>
  <si>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</si>
  <si>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</si>
  <si>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</si>
  <si>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</si>
  <si>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</si>
  <si>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</si>
  <si>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</si>
  <si>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</si>
  <si>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</si>
  <si>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</si>
  <si>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</si>
  <si>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</si>
  <si>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</si>
  <si>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</si>
  <si>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</si>
  <si>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</si>
  <si>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</si>
  <si>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</si>
  <si>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</si>
  <si>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</si>
  <si>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</si>
  <si>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</si>
  <si>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</si>
  <si>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</si>
  <si>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</si>
  <si>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</si>
  <si>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</si>
  <si>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</si>
  <si>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</si>
  <si>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</si>
  <si>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</si>
  <si>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</si>
  <si>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</si>
  <si>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</si>
  <si>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</si>
  <si>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</si>
  <si>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</si>
  <si>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</si>
  <si>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</si>
  <si>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</si>
  <si>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</si>
  <si>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</si>
  <si>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</si>
  <si>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</si>
  <si>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</si>
  <si>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</si>
  <si>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</si>
  <si>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</si>
  <si>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</si>
  <si>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</si>
  <si>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</si>
  <si>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</si>
  <si>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</si>
  <si>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</si>
  <si>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</si>
  <si>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</si>
  <si>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</si>
  <si>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</si>
  <si>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</si>
  <si>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</si>
  <si>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</si>
  <si>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</si>
  <si>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</si>
  <si>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</si>
  <si>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</si>
  <si>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</si>
  <si>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</si>
  <si>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</si>
  <si>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</si>
  <si>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</si>
  <si>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</si>
  <si>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</si>
  <si>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</si>
  <si>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</si>
  <si>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</si>
  <si>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</si>
  <si>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</si>
  <si>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</si>
  <si>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</si>
  <si>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</si>
  <si>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</si>
  <si>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</si>
  <si>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</si>
  <si>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</si>
  <si>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</si>
  <si>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</si>
  <si>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</si>
  <si>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</si>
  <si>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</si>
  <si>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</si>
  <si>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</si>
  <si>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</si>
  <si>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</si>
  <si>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</si>
  <si>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</si>
  <si>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</si>
  <si>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</si>
  <si>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</si>
  <si>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</si>
  <si>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</si>
  <si>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</si>
  <si>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</si>
  <si>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</si>
  <si>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</si>
  <si>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</si>
  <si>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</si>
  <si>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</si>
  <si>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</si>
  <si>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</si>
  <si>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</si>
  <si>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</si>
  <si>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</si>
  <si>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</si>
  <si>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</si>
  <si>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</si>
  <si>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</si>
  <si>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</si>
  <si>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</si>
  <si>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</si>
  <si>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</si>
  <si>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</si>
  <si>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</si>
  <si>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</si>
  <si>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</si>
  <si>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</si>
  <si>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</si>
  <si>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</si>
  <si>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</si>
  <si>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</si>
  <si>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</si>
  <si>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</si>
  <si>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</si>
  <si>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</si>
  <si>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</si>
  <si>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</si>
  <si>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</si>
  <si>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</si>
  <si>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</si>
  <si>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</si>
  <si>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</si>
  <si>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</si>
  <si>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</si>
  <si>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</si>
  <si>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</si>
  <si>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</si>
  <si>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</si>
  <si>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</si>
  <si>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</si>
  <si>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</si>
  <si>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</si>
  <si>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</si>
  <si>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</si>
  <si>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</si>
  <si>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</si>
  <si>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</si>
  <si>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</si>
  <si>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</si>
  <si>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</si>
  <si>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</si>
  <si>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</si>
  <si>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</si>
  <si>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</si>
  <si>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</si>
  <si>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</si>
  <si>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</si>
  <si>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</si>
  <si>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</si>
  <si>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</si>
  <si>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</si>
  <si>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</si>
  <si>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</si>
  <si>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</si>
  <si>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</si>
  <si>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</si>
  <si>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</si>
  <si>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</si>
  <si>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</si>
  <si>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</si>
  <si>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</si>
  <si>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</si>
  <si>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</si>
  <si>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</si>
  <si>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</si>
  <si>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</si>
  <si>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</si>
  <si>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</si>
  <si>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</si>
  <si>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</si>
  <si>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</si>
  <si>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</si>
  <si>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</si>
  <si>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</si>
  <si>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</si>
  <si>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</si>
  <si>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</si>
  <si>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</si>
  <si>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</si>
  <si>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</si>
  <si>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</si>
  <si>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</si>
  <si>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</si>
  <si>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</si>
  <si>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</si>
  <si>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</si>
  <si>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</si>
  <si>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</si>
  <si>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</si>
  <si>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</si>
  <si>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</si>
  <si>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</si>
  <si>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</si>
  <si>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</si>
  <si>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</si>
  <si>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</si>
  <si>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</si>
  <si>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</si>
  <si>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</si>
  <si>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</si>
  <si>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</si>
  <si>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</si>
  <si>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</si>
  <si>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</si>
  <si>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</si>
  <si>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</si>
  <si>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</si>
  <si>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</si>
  <si>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</si>
  <si>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</si>
  <si>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</si>
  <si>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</si>
  <si>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</si>
  <si>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</si>
  <si>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</si>
  <si>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</si>
  <si>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</si>
  <si>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</si>
  <si>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</si>
  <si>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</si>
  <si>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</si>
  <si>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</si>
  <si>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</si>
  <si>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</si>
  <si>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</si>
  <si>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</si>
  <si>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</si>
  <si>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</si>
  <si>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</si>
  <si>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</si>
  <si>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</si>
  <si>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</si>
  <si>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</si>
  <si>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</si>
  <si>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</si>
  <si>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</si>
  <si>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</si>
  <si>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</si>
  <si>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</si>
  <si>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</si>
  <si>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</si>
  <si>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</si>
  <si>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</si>
  <si>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</si>
  <si>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</si>
  <si>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</si>
  <si>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</si>
  <si>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</si>
  <si>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</si>
  <si>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</si>
  <si>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</si>
  <si>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</si>
  <si>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</si>
  <si>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</si>
  <si>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</si>
  <si>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</si>
  <si>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</si>
  <si>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</si>
  <si>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</si>
  <si>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</si>
  <si>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</si>
  <si>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</si>
  <si>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</si>
  <si>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</si>
  <si>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</si>
  <si>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</si>
  <si>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</si>
  <si>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</si>
  <si>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</si>
  <si>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</si>
  <si>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</si>
  <si>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</si>
  <si>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</si>
  <si>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</si>
  <si>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</si>
  <si>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</si>
  <si>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</si>
  <si>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</si>
  <si>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</si>
  <si>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</si>
  <si>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</si>
  <si>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</si>
  <si>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</si>
  <si>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</si>
  <si>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</si>
  <si>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</si>
  <si>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</si>
  <si>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</si>
  <si>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</si>
  <si>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</si>
  <si>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</si>
  <si>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</si>
  <si>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</si>
  <si>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</si>
  <si>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</si>
  <si>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</si>
  <si>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</si>
  <si>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</si>
  <si>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</si>
  <si>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</si>
  <si>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</si>
  <si>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</si>
  <si>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</si>
  <si>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</si>
  <si>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</si>
  <si>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</si>
  <si>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</si>
  <si>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</si>
  <si>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</si>
  <si>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</si>
  <si>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</si>
  <si>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</si>
  <si>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</si>
  <si>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</si>
  <si>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</si>
  <si>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</si>
  <si>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</si>
  <si>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</si>
  <si>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</si>
  <si>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</si>
  <si>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</si>
  <si>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</si>
  <si>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</si>
  <si>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</si>
  <si>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</si>
  <si>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</si>
  <si>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</si>
  <si>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</si>
  <si>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</si>
  <si>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</si>
  <si>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</si>
  <si>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</si>
  <si>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</si>
  <si>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</si>
  <si>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</si>
  <si>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</si>
  <si>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</si>
  <si>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</si>
  <si>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</si>
  <si>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</si>
  <si>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</si>
  <si>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</si>
  <si>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</si>
  <si>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</si>
  <si>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</si>
  <si>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</si>
  <si>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</si>
  <si>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</si>
  <si>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</si>
  <si>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</si>
  <si>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</si>
  <si>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</si>
  <si>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</si>
  <si>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</si>
  <si>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</si>
  <si>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</si>
  <si>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</si>
  <si>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</si>
  <si>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</si>
  <si>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</si>
  <si>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</si>
  <si>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</si>
  <si>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</si>
  <si>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</si>
  <si>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</si>
  <si>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</si>
  <si>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</si>
  <si>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</si>
  <si>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</si>
  <si>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</si>
  <si>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</si>
  <si>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</si>
  <si>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</si>
  <si>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</si>
  <si>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</si>
  <si>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</si>
  <si>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</si>
  <si>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</si>
  <si>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</si>
  <si>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</si>
  <si>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</si>
  <si>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</si>
  <si>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</si>
  <si>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</si>
  <si>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</si>
  <si>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</si>
  <si>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</si>
  <si>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</si>
  <si>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</si>
  <si>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</si>
  <si>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</si>
  <si>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</si>
  <si>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</si>
  <si>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</si>
  <si>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</si>
  <si>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</si>
  <si>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</si>
  <si>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</si>
  <si>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</si>
  <si>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</si>
  <si>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</si>
  <si>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</si>
  <si>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</si>
  <si>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</si>
  <si>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</si>
  <si>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</si>
  <si>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</si>
  <si>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</si>
  <si>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</si>
  <si>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</si>
  <si>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</si>
  <si>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</si>
  <si>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</si>
  <si>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</si>
  <si>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</si>
  <si>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</si>
  <si>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</si>
  <si>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</si>
  <si>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</si>
  <si>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</si>
  <si>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</si>
  <si>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</si>
  <si>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</si>
  <si>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</si>
  <si>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</si>
  <si>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</si>
  <si>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</si>
  <si>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</si>
  <si>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</si>
  <si>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</si>
  <si>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</si>
  <si>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</si>
  <si>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</si>
  <si>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</si>
  <si>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</si>
  <si>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</si>
  <si>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</si>
  <si>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</si>
  <si>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</si>
  <si>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</si>
  <si>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</si>
  <si>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</si>
  <si>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</si>
  <si>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</si>
  <si>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</si>
  <si>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</si>
  <si>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</si>
  <si>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</si>
  <si>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</si>
  <si>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</si>
  <si>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</si>
  <si>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</si>
  <si>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</si>
  <si>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</si>
  <si>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</si>
  <si>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</si>
  <si>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</si>
  <si>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</si>
  <si>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</si>
  <si>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</si>
  <si>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</si>
  <si>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</si>
  <si>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</si>
  <si>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</si>
  <si>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</si>
  <si>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</si>
  <si>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</si>
  <si>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</si>
  <si>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</si>
  <si>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</si>
  <si>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</si>
  <si>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</si>
  <si>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</si>
  <si>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</si>
  <si>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</si>
  <si>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</si>
  <si>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</si>
  <si>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</si>
  <si>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</si>
  <si>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</si>
  <si>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</si>
  <si>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</si>
  <si>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</si>
  <si>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</si>
  <si>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</si>
  <si>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</si>
  <si>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</si>
  <si>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</si>
  <si>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</si>
  <si>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</si>
  <si>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</si>
  <si>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</si>
  <si>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</si>
  <si>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</si>
  <si>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</si>
  <si>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</si>
  <si>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</si>
  <si>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</si>
  <si>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</si>
  <si>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</si>
  <si>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</si>
  <si>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</si>
  <si>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</si>
  <si>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</si>
  <si>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</si>
  <si>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</si>
  <si>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</si>
  <si>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</si>
  <si>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</si>
  <si>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</si>
  <si>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</si>
  <si>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</si>
  <si>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</si>
  <si>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</si>
  <si>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</si>
  <si>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</si>
  <si>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</si>
  <si>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</si>
  <si>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</si>
  <si>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</si>
  <si>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</si>
  <si>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</si>
  <si>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</si>
  <si>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</si>
  <si>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</si>
  <si>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</si>
  <si>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</si>
  <si>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</si>
  <si>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</si>
  <si>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</si>
  <si>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</si>
  <si>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</si>
  <si>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</si>
  <si>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</si>
  <si>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</si>
  <si>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</si>
  <si>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</si>
  <si>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</si>
  <si>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</si>
  <si>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</si>
  <si>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</si>
  <si>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</si>
  <si>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</si>
  <si>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</si>
  <si>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</si>
  <si>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</si>
  <si>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</si>
  <si>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</si>
  <si>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</si>
  <si>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</si>
  <si>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</si>
  <si>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</si>
  <si>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</si>
  <si>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</si>
  <si>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</si>
  <si>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</si>
  <si>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</si>
  <si>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</si>
  <si>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</si>
  <si>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</si>
  <si>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</si>
  <si>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</si>
  <si>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</si>
  <si>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</si>
  <si>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</si>
  <si>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</si>
  <si>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</si>
  <si>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</si>
  <si>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</si>
  <si>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</si>
  <si>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</si>
  <si>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</si>
  <si>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</si>
  <si>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</si>
  <si>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</si>
  <si>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</si>
  <si>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</si>
  <si>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</si>
  <si>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</si>
  <si>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</si>
  <si>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</si>
  <si>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</si>
  <si>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</si>
  <si>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</si>
  <si>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</si>
  <si>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</si>
  <si>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</si>
  <si>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</si>
  <si>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</si>
  <si>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</si>
  <si>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</si>
  <si>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</si>
  <si>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</si>
  <si>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</si>
  <si>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</si>
  <si>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</si>
  <si>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</si>
  <si>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</si>
  <si>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</si>
  <si>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</si>
  <si>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</si>
  <si>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</si>
  <si>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</si>
  <si>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</si>
  <si>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</si>
  <si>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</si>
  <si>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</si>
  <si>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</si>
  <si>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</si>
  <si>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</si>
  <si>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</si>
  <si>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</si>
  <si>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</si>
  <si>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</si>
  <si>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</si>
  <si>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</si>
  <si>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</si>
  <si>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</si>
  <si>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</si>
  <si>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</si>
  <si>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</si>
  <si>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</si>
  <si>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</si>
  <si>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</si>
  <si>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</si>
  <si>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</si>
  <si>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</si>
  <si>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</si>
  <si>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</si>
  <si>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</si>
  <si>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</si>
  <si>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</si>
  <si>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</si>
  <si>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</si>
  <si>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</si>
  <si>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</si>
  <si>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</si>
  <si>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</si>
  <si>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</si>
  <si>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</si>
  <si>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</si>
  <si>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</si>
  <si>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</si>
  <si>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</si>
  <si>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</si>
  <si>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</si>
  <si>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</si>
  <si>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</si>
  <si>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</si>
  <si>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</si>
  <si>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</si>
  <si>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</si>
  <si>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</si>
  <si>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</si>
  <si>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</si>
  <si>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</si>
  <si>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</si>
  <si>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</si>
  <si>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</si>
  <si>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</si>
  <si>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</si>
  <si>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</si>
  <si>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</si>
  <si>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</si>
  <si>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</si>
  <si>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</si>
  <si>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</si>
  <si>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</si>
  <si>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</si>
  <si>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</si>
  <si>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</si>
  <si>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</si>
  <si>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</si>
  <si>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</si>
  <si>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</si>
  <si>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</si>
  <si>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</si>
  <si>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</si>
  <si>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</si>
  <si>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</si>
  <si>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</si>
  <si>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</si>
  <si>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</si>
  <si>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</si>
  <si>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</si>
  <si>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</si>
  <si>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</si>
  <si>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</si>
  <si>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</si>
  <si>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</si>
  <si>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</si>
  <si>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</si>
  <si>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</si>
  <si>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</si>
  <si>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</si>
  <si>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</si>
  <si>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</si>
  <si>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</si>
  <si>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</si>
  <si>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</si>
  <si>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</si>
  <si>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</si>
  <si>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</si>
  <si>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</si>
  <si>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</si>
  <si>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</si>
  <si>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</si>
  <si>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</si>
  <si>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</si>
  <si>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</si>
  <si>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</si>
  <si>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</si>
  <si>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</si>
  <si>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</si>
  <si>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</si>
  <si>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</si>
  <si>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</si>
  <si>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</si>
  <si>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</si>
  <si>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</si>
  <si>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</si>
  <si>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</si>
  <si>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</si>
  <si>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</si>
  <si>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</si>
  <si>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</si>
  <si>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</si>
  <si>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</si>
  <si>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</si>
  <si>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</si>
  <si>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</si>
  <si>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</si>
  <si>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</si>
  <si>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</si>
  <si>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</si>
  <si>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</si>
  <si>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</si>
  <si>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</si>
  <si>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</si>
  <si>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</si>
  <si>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</si>
  <si>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</si>
  <si>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</si>
  <si>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</si>
  <si>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</si>
  <si>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</si>
  <si>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</si>
  <si>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</si>
  <si>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</si>
  <si>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</si>
  <si>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</si>
  <si>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</si>
  <si>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</si>
  <si>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</si>
  <si>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</si>
  <si>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</si>
  <si>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</si>
  <si>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</si>
  <si>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</si>
  <si>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</si>
  <si>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</si>
  <si>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</si>
  <si>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</si>
  <si>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</si>
  <si>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</si>
  <si>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</si>
  <si>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</si>
  <si>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</si>
  <si>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</si>
  <si>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</si>
  <si>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</si>
  <si>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</si>
  <si>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</si>
  <si>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</si>
  <si>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</si>
  <si>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</si>
  <si>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</si>
  <si>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</si>
  <si>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</si>
  <si>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</si>
  <si>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</si>
  <si>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</si>
  <si>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</si>
  <si>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</si>
  <si>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</si>
  <si>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</si>
  <si>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</si>
  <si>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</si>
  <si>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</si>
  <si>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</si>
  <si>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</si>
  <si>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</si>
  <si>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</si>
  <si>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</si>
  <si>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</si>
  <si>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</si>
  <si>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</si>
  <si>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</si>
  <si>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</si>
  <si>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</si>
  <si>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</si>
  <si>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</si>
  <si>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</si>
  <si>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</si>
  <si>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</si>
  <si>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</si>
  <si>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</si>
  <si>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</si>
  <si>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</si>
  <si>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</si>
  <si>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</si>
  <si>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</si>
  <si>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</si>
  <si>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</si>
  <si>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</si>
  <si>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</si>
  <si>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</si>
  <si>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</si>
  <si>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</si>
  <si>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</si>
  <si>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</si>
  <si>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</si>
  <si>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</si>
  <si>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</si>
  <si>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</si>
  <si>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</si>
  <si>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</si>
  <si>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</si>
  <si>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</si>
  <si>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</si>
  <si>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</si>
  <si>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</si>
  <si>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</si>
  <si>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</si>
  <si>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</si>
  <si>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</si>
  <si>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</si>
  <si>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</si>
  <si>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</si>
  <si>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</si>
  <si>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</si>
  <si>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</si>
  <si>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</si>
  <si>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</si>
  <si>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</si>
  <si>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</si>
  <si>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</si>
  <si>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</si>
  <si>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</si>
  <si>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</si>
  <si>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</si>
  <si>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</si>
  <si>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</si>
  <si>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</si>
  <si>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</si>
  <si>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</si>
  <si>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</si>
  <si>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</si>
  <si>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</si>
  <si>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</si>
  <si>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</si>
  <si>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</si>
  <si>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</si>
  <si>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</si>
  <si>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</si>
  <si>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</si>
  <si>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</si>
  <si>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</si>
  <si>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</si>
  <si>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</si>
  <si>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</si>
  <si>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</si>
  <si>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</si>
  <si>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</si>
  <si>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</si>
  <si>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</si>
  <si>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</si>
  <si>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</si>
  <si>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</si>
  <si>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</si>
  <si>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</si>
  <si>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</si>
  <si>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</si>
  <si>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</si>
  <si>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</si>
  <si>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</si>
  <si>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</si>
  <si>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</si>
  <si>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</si>
  <si>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</si>
  <si>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</si>
  <si>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</si>
  <si>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</si>
  <si>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</si>
  <si>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</si>
  <si>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</si>
  <si>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</si>
  <si>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</si>
  <si>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</si>
  <si>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</si>
  <si>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</si>
  <si>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</si>
  <si>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</si>
  <si>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</si>
  <si>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</si>
  <si>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</si>
  <si>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</si>
  <si>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</si>
  <si>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</si>
  <si>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</si>
  <si>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</si>
  <si>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</si>
  <si>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</si>
  <si>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</si>
  <si>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</si>
  <si>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</si>
  <si>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</si>
  <si>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</si>
  <si>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</si>
  <si>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</si>
  <si>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</si>
  <si>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</si>
  <si>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</si>
  <si>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</si>
  <si>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</si>
  <si>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</si>
  <si>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</si>
  <si>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</si>
  <si>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</si>
  <si>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</si>
  <si>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</si>
  <si>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</si>
  <si>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</si>
  <si>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</si>
  <si>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</si>
  <si>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</si>
  <si>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</si>
  <si>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</si>
  <si>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</si>
  <si>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</si>
  <si>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</si>
  <si>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</si>
  <si>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</si>
  <si>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</si>
  <si>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</si>
  <si>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</si>
  <si>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</si>
  <si>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</si>
  <si>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</si>
  <si>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</si>
  <si>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</si>
  <si>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</si>
  <si>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</si>
  <si>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</si>
  <si>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</si>
  <si>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</si>
  <si>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</si>
  <si>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</si>
  <si>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</si>
  <si>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</si>
  <si>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</si>
  <si>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</si>
  <si>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</si>
  <si>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</si>
  <si>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</si>
  <si>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</si>
  <si>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</si>
  <si>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</si>
  <si>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</si>
  <si>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</si>
  <si>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</si>
  <si>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</si>
  <si>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</si>
  <si>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</si>
  <si>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</si>
  <si>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</si>
  <si>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</si>
  <si>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</si>
  <si>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</si>
  <si>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</si>
  <si>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</si>
  <si>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</si>
  <si>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</si>
  <si>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</si>
  <si>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</si>
  <si>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</si>
  <si>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</si>
  <si>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</si>
  <si>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</si>
  <si>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</si>
  <si>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</si>
  <si>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</si>
  <si>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</si>
  <si>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</si>
  <si>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</si>
  <si>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</si>
  <si>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</si>
  <si>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</si>
  <si>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</si>
  <si>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</si>
  <si>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</si>
  <si>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</si>
  <si>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</si>
  <si>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</si>
  <si>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</si>
  <si>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</si>
  <si>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</si>
  <si>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</si>
  <si>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</si>
  <si>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</si>
  <si>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</si>
  <si>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</si>
  <si>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</si>
  <si>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</si>
  <si>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</si>
  <si>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</si>
  <si>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</si>
  <si>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</si>
  <si>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</si>
  <si>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</si>
  <si>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</si>
  <si>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</si>
  <si>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</si>
  <si>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</si>
  <si>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</si>
  <si>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</si>
  <si>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</si>
  <si>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</si>
  <si>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</si>
  <si>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</si>
  <si>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</si>
  <si>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</si>
  <si>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</si>
  <si>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</si>
  <si>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</si>
  <si>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</si>
  <si>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</si>
  <si>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</si>
  <si>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</si>
  <si>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</si>
  <si>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</si>
  <si>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</si>
  <si>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</si>
  <si>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</si>
  <si>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</si>
  <si>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</si>
  <si>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</si>
  <si>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</si>
  <si>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</si>
  <si>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</si>
  <si>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</si>
  <si>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</si>
  <si>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</si>
  <si>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</si>
  <si>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</si>
  <si>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</si>
  <si>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</si>
  <si>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</si>
  <si>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</si>
  <si>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</si>
  <si>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</si>
  <si>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</si>
  <si>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</si>
  <si>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</si>
  <si>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</si>
  <si>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</si>
  <si>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</si>
  <si>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</si>
  <si>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</si>
  <si>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</si>
  <si>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</si>
  <si>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</si>
  <si>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</si>
  <si>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</si>
  <si>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</si>
  <si>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</si>
  <si>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</si>
  <si>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</si>
  <si>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</si>
  <si>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</si>
  <si>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</si>
  <si>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</si>
  <si>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</si>
  <si>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</si>
  <si>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</si>
  <si>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</si>
  <si>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</si>
  <si>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</si>
  <si>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</si>
  <si>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</si>
  <si>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</si>
  <si>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</si>
  <si>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</si>
  <si>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</si>
  <si>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</si>
  <si>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</si>
  <si>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</si>
  <si>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</si>
  <si>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</si>
  <si>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</si>
  <si>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</si>
  <si>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</si>
  <si>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</si>
  <si>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</si>
  <si>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</si>
  <si>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</si>
  <si>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</si>
  <si>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</si>
  <si>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</si>
  <si>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</si>
  <si>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</si>
  <si>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</si>
  <si>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</si>
  <si>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</si>
  <si>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</si>
  <si>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</si>
  <si>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</si>
  <si>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</si>
  <si>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</si>
  <si>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</si>
  <si>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</si>
  <si>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</si>
  <si>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</si>
  <si>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</si>
  <si>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</si>
  <si>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</si>
  <si>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</si>
  <si>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</si>
  <si>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</si>
  <si>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</si>
  <si>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</si>
  <si>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</si>
  <si>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</si>
  <si>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</si>
  <si>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</si>
  <si>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</si>
  <si>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</si>
  <si>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</si>
  <si>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</si>
  <si>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</si>
  <si>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</si>
  <si>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</si>
  <si>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</si>
  <si>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</si>
  <si>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</si>
  <si>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</si>
  <si>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</si>
  <si>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</si>
  <si>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</si>
  <si>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</si>
  <si>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</si>
  <si>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</si>
  <si>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</si>
  <si>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</si>
  <si>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</si>
  <si>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</si>
  <si>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</si>
  <si>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</si>
  <si>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</si>
  <si>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</si>
  <si>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</si>
  <si>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</si>
  <si>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</si>
  <si>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</si>
  <si>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</si>
  <si>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</si>
  <si>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</si>
  <si>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</si>
  <si>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</si>
  <si>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</si>
  <si>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</si>
  <si>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</si>
  <si>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</si>
  <si>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</si>
  <si>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</si>
  <si>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</si>
  <si>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</si>
  <si>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</si>
  <si>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</si>
  <si>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</si>
  <si>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</si>
  <si>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</si>
  <si>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</si>
  <si>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</si>
  <si>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</si>
  <si>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</si>
  <si>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</si>
  <si>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</si>
  <si>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</si>
  <si>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</si>
  <si>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</si>
  <si>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</si>
  <si>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</si>
  <si>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</si>
  <si>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</si>
  <si>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</si>
  <si>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</si>
  <si>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</si>
  <si>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</si>
  <si>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</si>
  <si>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</si>
  <si>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</si>
  <si>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</si>
  <si>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</si>
  <si>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</si>
  <si>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</si>
  <si>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</si>
  <si>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</si>
  <si>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</si>
  <si>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</si>
  <si>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</si>
  <si>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</si>
  <si>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</si>
  <si>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</si>
  <si>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</si>
  <si>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</si>
  <si>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</si>
  <si>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</si>
  <si>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</si>
  <si>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</si>
  <si>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</si>
  <si>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</si>
  <si>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</si>
  <si>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</si>
  <si>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</si>
  <si>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</si>
  <si>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</si>
  <si>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</si>
  <si>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</si>
  <si>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</si>
  <si>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</si>
  <si>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</si>
  <si>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</si>
  <si>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</si>
  <si>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</si>
  <si>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</si>
  <si>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</si>
  <si>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</si>
  <si>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</si>
  <si>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</si>
  <si>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</si>
  <si>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</si>
  <si>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</si>
  <si>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</si>
  <si>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</si>
  <si>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</si>
  <si>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</si>
  <si>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</si>
  <si>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</si>
  <si>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</si>
  <si>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</si>
  <si>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</si>
  <si>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</si>
  <si>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</si>
  <si>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</si>
  <si>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</si>
  <si>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</si>
  <si>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</si>
  <si>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</si>
  <si>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</si>
  <si>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</si>
  <si>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</si>
  <si>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</si>
  <si>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</si>
  <si>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</si>
  <si>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</si>
  <si>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</si>
  <si>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</si>
  <si>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</si>
  <si>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</si>
  <si>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</si>
  <si>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</si>
  <si>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</si>
  <si>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</si>
  <si>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</si>
  <si>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</si>
  <si>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</si>
  <si>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</si>
  <si>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</si>
  <si>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</si>
  <si>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</si>
  <si>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</si>
  <si>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</si>
  <si>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</si>
  <si>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</si>
  <si>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</si>
  <si>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</si>
  <si>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</si>
  <si>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</si>
  <si>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</si>
  <si>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</si>
  <si>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</si>
  <si>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</si>
  <si>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</si>
  <si>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</si>
  <si>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</si>
  <si>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</si>
  <si>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</si>
  <si>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</si>
  <si>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</si>
  <si>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</si>
  <si>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</si>
  <si>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</si>
  <si>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</si>
  <si>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</si>
  <si>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</si>
  <si>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</si>
  <si>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</si>
  <si>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</si>
  <si>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</si>
  <si>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</si>
  <si>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</si>
  <si>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</si>
  <si>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</si>
  <si>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</si>
  <si>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</si>
  <si>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</si>
  <si>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</si>
  <si>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</si>
  <si>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</si>
  <si>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</si>
  <si>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</si>
  <si>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</si>
  <si>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</si>
  <si>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</si>
  <si>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</si>
  <si>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</si>
  <si>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</si>
  <si>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</si>
  <si>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</si>
  <si>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</si>
  <si>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</si>
  <si>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</si>
  <si>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</si>
  <si>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</si>
  <si>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</si>
  <si>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</si>
  <si>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</si>
  <si>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</si>
  <si>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</si>
  <si>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</si>
  <si>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</si>
  <si>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</si>
  <si>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</si>
  <si>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</si>
  <si>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</si>
  <si>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</si>
  <si>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</si>
  <si>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</si>
  <si>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</si>
  <si>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</si>
  <si>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</si>
  <si>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</si>
  <si>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</si>
  <si>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</si>
  <si>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</si>
  <si>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</si>
  <si>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</si>
  <si>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</si>
  <si>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</si>
  <si>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</si>
  <si>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</si>
  <si>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</si>
  <si>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</si>
  <si>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</si>
  <si>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</si>
  <si>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</si>
  <si>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</si>
  <si>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</si>
  <si>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</si>
  <si>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</si>
  <si>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</si>
  <si>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</si>
  <si>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</si>
  <si>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</si>
  <si>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</si>
  <si>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</si>
  <si>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</si>
  <si>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</si>
  <si>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</si>
  <si>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</si>
  <si>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</si>
  <si>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</si>
  <si>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</si>
  <si>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</si>
  <si>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</si>
  <si>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</si>
  <si>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</si>
  <si>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</si>
  <si>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</si>
  <si>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</si>
  <si>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</si>
  <si>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</si>
  <si>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</si>
  <si>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</si>
  <si>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</si>
  <si>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</si>
  <si>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</si>
  <si>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</si>
  <si>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</si>
  <si>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</si>
  <si>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</si>
  <si>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</si>
  <si>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</si>
  <si>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</si>
  <si>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</si>
  <si>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</si>
  <si>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</si>
  <si>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</si>
  <si>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</si>
  <si>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</si>
  <si>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</si>
  <si>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</si>
  <si>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</si>
  <si>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</si>
  <si>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</si>
  <si>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</si>
  <si>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</si>
  <si>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</si>
  <si>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</si>
  <si>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</si>
  <si>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</si>
  <si>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</si>
  <si>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</si>
  <si>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</si>
  <si>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</si>
  <si>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</si>
  <si>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</si>
  <si>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</si>
  <si>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</si>
  <si>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</si>
  <si>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</si>
  <si>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</si>
  <si>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</si>
  <si>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</si>
  <si>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</si>
  <si>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</si>
  <si>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</si>
  <si>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</si>
  <si>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</si>
  <si>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</si>
  <si>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</si>
  <si>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</si>
  <si>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</si>
  <si>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</si>
  <si>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</si>
  <si>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</si>
  <si>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</si>
  <si>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</si>
  <si>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</si>
  <si>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</si>
  <si>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</si>
  <si>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</si>
  <si>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</si>
  <si>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</si>
  <si>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</si>
  <si>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</si>
  <si>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</si>
  <si>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</si>
  <si>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</si>
  <si>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</si>
  <si>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</si>
  <si>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</si>
  <si>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</si>
  <si>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</si>
  <si>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</si>
  <si>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</si>
  <si>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</si>
  <si>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</si>
  <si>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</si>
  <si>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</si>
  <si>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</si>
  <si>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</si>
  <si>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</si>
  <si>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</si>
  <si>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</si>
  <si>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</si>
  <si>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</si>
  <si>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</si>
  <si>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</si>
  <si>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</si>
  <si>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</si>
  <si>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</si>
  <si>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</si>
  <si>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</si>
  <si>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</si>
  <si>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</si>
  <si>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</si>
  <si>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</si>
  <si>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</si>
  <si>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</si>
  <si>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</si>
  <si>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</si>
  <si>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</si>
  <si>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</si>
  <si>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</si>
  <si>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</si>
  <si>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</si>
  <si>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</si>
  <si>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</si>
  <si>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</si>
  <si>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</si>
  <si>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</si>
  <si>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</si>
  <si>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</si>
  <si>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</si>
  <si>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</si>
  <si>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</si>
  <si>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</si>
  <si>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</si>
  <si>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</si>
  <si>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</si>
  <si>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</si>
  <si>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</si>
  <si>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</si>
  <si>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</si>
  <si>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</si>
  <si>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</si>
  <si>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</si>
  <si>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</si>
  <si>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</si>
  <si>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</si>
  <si>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</si>
  <si>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</si>
  <si>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</si>
  <si>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</si>
  <si>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</si>
  <si>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</si>
  <si>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</si>
  <si>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</si>
  <si>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</si>
  <si>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</si>
  <si>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</si>
  <si>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</si>
  <si>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</si>
  <si>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</si>
  <si>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</si>
  <si>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</si>
  <si>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</si>
  <si>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</si>
  <si>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</si>
  <si>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</si>
  <si>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</si>
  <si>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</si>
  <si>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</si>
  <si>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</si>
  <si>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</si>
  <si>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</si>
  <si>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</si>
  <si>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</si>
  <si>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</si>
  <si>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</si>
  <si>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</si>
  <si>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</si>
  <si>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</si>
  <si>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</si>
  <si>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</si>
  <si>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</si>
  <si>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</si>
  <si>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</si>
  <si>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</si>
  <si>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</si>
  <si>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</si>
  <si>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</si>
  <si>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</si>
  <si>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</si>
  <si>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</si>
  <si>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</si>
  <si>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</si>
  <si>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</si>
  <si>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</si>
  <si>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</si>
  <si>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</si>
  <si>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</si>
  <si>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</si>
  <si>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</si>
  <si>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</si>
  <si>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</si>
  <si>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</si>
  <si>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</si>
  <si>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</si>
  <si>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</si>
  <si>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</si>
  <si>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</si>
  <si>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</si>
  <si>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</si>
  <si>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</si>
  <si>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</si>
  <si>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</si>
  <si>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</si>
  <si>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</si>
  <si>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</si>
  <si>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</si>
  <si>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</si>
  <si>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</si>
  <si>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</si>
  <si>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</si>
  <si>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</si>
  <si>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</si>
  <si>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</si>
  <si>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</si>
  <si>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</si>
  <si>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</si>
  <si>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</si>
  <si>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</si>
  <si>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</si>
  <si>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</si>
  <si>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</si>
  <si>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</si>
  <si>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</si>
  <si>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</si>
  <si>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</si>
  <si>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</si>
  <si>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</si>
  <si>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</si>
  <si>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</si>
  <si>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</si>
  <si>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</si>
  <si>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</si>
  <si>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</si>
  <si>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</si>
  <si>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</si>
  <si>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</si>
  <si>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</si>
  <si>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</si>
  <si>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</si>
  <si>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</si>
  <si>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</si>
  <si>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</si>
  <si>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</si>
  <si>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</si>
  <si>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</si>
  <si>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</si>
  <si>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</si>
  <si>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</si>
  <si>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</si>
  <si>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</si>
  <si>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</si>
  <si>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</si>
  <si>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</si>
  <si>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</si>
  <si>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</si>
  <si>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</si>
  <si>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</si>
  <si>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</si>
  <si>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</si>
  <si>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</si>
  <si>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</si>
  <si>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</si>
  <si>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</si>
  <si>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</si>
  <si>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</si>
  <si>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</si>
  <si>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</si>
  <si>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</si>
  <si>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</si>
  <si>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</si>
  <si>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</si>
  <si>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</si>
  <si>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</si>
  <si>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</si>
  <si>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</si>
  <si>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</si>
  <si>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</si>
  <si>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</si>
  <si>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</si>
  <si>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</si>
  <si>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</si>
  <si>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</si>
  <si>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</si>
  <si>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</si>
  <si>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</si>
  <si>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</si>
  <si>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</si>
  <si>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</si>
  <si>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</si>
  <si>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</si>
  <si>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</si>
  <si>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</si>
  <si>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</si>
  <si>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</si>
  <si>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</si>
  <si>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</si>
  <si>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</si>
  <si>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</si>
  <si>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</si>
  <si>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</si>
  <si>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</si>
  <si>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</si>
  <si>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</si>
  <si>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</si>
  <si>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</si>
  <si>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</si>
  <si>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</si>
  <si>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</si>
  <si>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</si>
  <si>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</si>
  <si>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</si>
  <si>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</si>
  <si>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</si>
  <si>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</si>
  <si>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</si>
  <si>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</si>
  <si>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</si>
  <si>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</si>
  <si>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</si>
  <si>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</si>
  <si>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</si>
  <si>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</si>
  <si>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</si>
  <si>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</si>
  <si>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</si>
  <si>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</si>
  <si>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</si>
  <si>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</si>
  <si>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</si>
  <si>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</si>
  <si>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</si>
  <si>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</si>
  <si>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</si>
  <si>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</si>
  <si>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</si>
  <si>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</si>
  <si>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</si>
  <si>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</si>
  <si>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</si>
  <si>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</si>
  <si>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</si>
  <si>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</si>
  <si>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</si>
  <si>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</si>
  <si>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</si>
  <si>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</si>
  <si>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</si>
  <si>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</si>
  <si>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</si>
  <si>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</si>
  <si>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</si>
  <si>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</si>
  <si>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</si>
  <si>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</si>
  <si>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</si>
  <si>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</si>
  <si>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</si>
  <si>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</si>
  <si>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</si>
  <si>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</si>
  <si>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</si>
  <si>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</si>
  <si>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</si>
  <si>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</si>
  <si>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</si>
  <si>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</si>
  <si>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</si>
  <si>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</si>
  <si>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</si>
  <si>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</si>
  <si>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</si>
  <si>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</si>
  <si>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</si>
  <si>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</si>
  <si>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</si>
  <si>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</si>
  <si>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</si>
  <si>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</si>
  <si>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</si>
  <si>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</si>
  <si>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</si>
  <si>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</si>
  <si>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</si>
  <si>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</si>
  <si>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</si>
  <si>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</si>
  <si>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</si>
  <si>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</si>
  <si>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</si>
  <si>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</si>
  <si>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</si>
  <si>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</si>
  <si>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</si>
  <si>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</si>
  <si>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</si>
  <si>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</si>
  <si>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</si>
  <si>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</si>
  <si>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</si>
  <si>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</si>
  <si>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</si>
  <si>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</si>
  <si>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</si>
  <si>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</si>
  <si>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</si>
  <si>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</si>
  <si>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</si>
  <si>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</si>
  <si>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</si>
  <si>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</si>
  <si>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</si>
  <si>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</si>
  <si>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</si>
  <si>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</si>
  <si>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</si>
  <si>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</si>
  <si>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</si>
  <si>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</si>
  <si>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</si>
  <si>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</si>
  <si>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</si>
  <si>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</si>
  <si>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</si>
  <si>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</si>
  <si>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</si>
  <si>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</si>
  <si>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</si>
  <si>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</si>
  <si>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</si>
  <si>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</si>
  <si>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</si>
  <si>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</si>
  <si>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</si>
  <si>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</si>
  <si>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</si>
  <si>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</si>
  <si>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</si>
  <si>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</si>
  <si>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</si>
  <si>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</si>
  <si>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</si>
  <si>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</si>
  <si>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</si>
  <si>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</si>
  <si>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</si>
  <si>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</si>
  <si>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</si>
  <si>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</si>
  <si>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</si>
  <si>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</si>
  <si>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</si>
  <si>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</si>
  <si>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</si>
  <si>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</si>
  <si>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</si>
  <si>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</si>
  <si>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</si>
  <si>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</si>
  <si>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</si>
  <si>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</si>
  <si>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</si>
  <si>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</si>
  <si>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</si>
  <si>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</si>
  <si>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</si>
  <si>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</si>
  <si>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</si>
  <si>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</si>
  <si>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</si>
  <si>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</si>
  <si>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</si>
  <si>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</si>
  <si>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</si>
  <si>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</si>
  <si>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</si>
  <si>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</si>
  <si>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</si>
  <si>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</si>
  <si>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</si>
  <si>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</si>
  <si>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</si>
  <si>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</si>
  <si>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</si>
  <si>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</si>
  <si>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</si>
  <si>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</si>
  <si>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</si>
  <si>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</si>
  <si>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</si>
  <si>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</si>
  <si>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</si>
  <si>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</si>
  <si>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</si>
  <si>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</si>
  <si>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</si>
  <si>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</si>
  <si>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</si>
  <si>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</si>
  <si>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</si>
  <si>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</si>
  <si>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</si>
  <si>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</si>
  <si>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</si>
  <si>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</si>
  <si>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</si>
  <si>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</si>
  <si>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</si>
  <si>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</si>
  <si>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</si>
  <si>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</si>
  <si>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</si>
  <si>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</si>
  <si>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</si>
  <si>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</si>
  <si>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</si>
  <si>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</si>
  <si>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</si>
  <si>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</si>
  <si>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</si>
  <si>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</si>
  <si>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</si>
  <si>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</si>
  <si>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</si>
  <si>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</si>
  <si>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</si>
  <si>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</si>
  <si>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</si>
  <si>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</si>
  <si>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</si>
  <si>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</si>
  <si>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</si>
  <si>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</si>
  <si>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</si>
  <si>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</si>
  <si>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</si>
  <si>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</si>
  <si>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</si>
  <si>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</si>
  <si>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</si>
  <si>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</si>
  <si>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</si>
  <si>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</si>
  <si>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</si>
  <si>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</si>
  <si>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</si>
  <si>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</si>
  <si>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</si>
  <si>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</si>
  <si>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</si>
  <si>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</si>
  <si>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</si>
  <si>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</si>
  <si>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</si>
  <si>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</si>
  <si>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</si>
  <si>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</si>
  <si>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</si>
  <si>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</si>
  <si>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</si>
  <si>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</si>
  <si>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</si>
  <si>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</si>
  <si>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</si>
  <si>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</si>
  <si>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</si>
  <si>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</si>
  <si>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</si>
  <si>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</si>
  <si>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</si>
  <si>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</si>
  <si>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</si>
  <si>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</si>
  <si>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</si>
  <si>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</si>
  <si>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</si>
  <si>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</si>
  <si>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</si>
  <si>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</si>
  <si>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</si>
  <si>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</si>
  <si>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</si>
  <si>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</si>
  <si>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</si>
  <si>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</si>
  <si>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</si>
  <si>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</si>
  <si>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</si>
  <si>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</si>
  <si>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</si>
  <si>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</si>
  <si>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</si>
  <si>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</si>
  <si>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</si>
  <si>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</si>
  <si>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</si>
  <si>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</si>
  <si>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</si>
  <si>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</si>
  <si>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</si>
  <si>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</si>
  <si>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</si>
  <si>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</si>
  <si>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</si>
  <si>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</si>
  <si>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</si>
  <si>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</si>
  <si>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</si>
  <si>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</si>
  <si>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</si>
  <si>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</si>
  <si>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</si>
  <si>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</si>
  <si>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</si>
  <si>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</si>
  <si>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</si>
  <si>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</si>
  <si>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</si>
  <si>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</si>
  <si>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</si>
  <si>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</si>
  <si>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</si>
  <si>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</si>
  <si>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</si>
  <si>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</si>
  <si>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</si>
  <si>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</si>
  <si>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</si>
  <si>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</si>
  <si>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</si>
  <si>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</si>
  <si>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</si>
  <si>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</si>
  <si>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</si>
  <si>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</si>
  <si>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</si>
  <si>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</si>
  <si>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</si>
  <si>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</si>
  <si>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</si>
  <si>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</si>
  <si>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</si>
  <si>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</si>
  <si>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</si>
  <si>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</si>
  <si>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</si>
  <si>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</si>
  <si>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</si>
  <si>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</si>
  <si>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</si>
  <si>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</si>
  <si>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</si>
  <si>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</si>
  <si>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</si>
  <si>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</si>
  <si>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</si>
  <si>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</si>
  <si>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</si>
  <si>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</si>
  <si>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</si>
  <si>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</si>
  <si>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</si>
  <si>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</si>
  <si>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</si>
  <si>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</si>
  <si>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</si>
  <si>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</si>
  <si>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</si>
  <si>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</si>
  <si>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</si>
  <si>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</si>
  <si>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</si>
  <si>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</si>
  <si>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</si>
  <si>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</si>
  <si>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</si>
  <si>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</si>
  <si>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</si>
  <si>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</si>
  <si>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</si>
  <si>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</si>
  <si>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</si>
  <si>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</si>
  <si>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</si>
  <si>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</si>
  <si>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</si>
  <si>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</si>
  <si>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</si>
  <si>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</si>
  <si>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</si>
  <si>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</si>
  <si>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</si>
  <si>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</si>
  <si>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</si>
  <si>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</si>
  <si>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</si>
  <si>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</si>
  <si>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</si>
  <si>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</si>
  <si>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</si>
  <si>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</si>
  <si>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</si>
  <si>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</si>
  <si>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</si>
  <si>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</si>
  <si>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</si>
  <si>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</si>
  <si>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</si>
  <si>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</si>
  <si>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</si>
  <si>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</si>
  <si>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</si>
  <si>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</si>
  <si>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</si>
  <si>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</si>
  <si>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</si>
  <si>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</si>
  <si>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</si>
  <si>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</si>
  <si>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</si>
  <si>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</si>
  <si>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</si>
  <si>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</si>
  <si>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</si>
  <si>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</si>
  <si>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</si>
  <si>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</si>
  <si>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</si>
  <si>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</si>
  <si>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</si>
  <si>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</si>
  <si>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</si>
  <si>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</si>
  <si>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</si>
  <si>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</si>
  <si>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</si>
  <si>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</si>
  <si>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</si>
  <si>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</si>
  <si>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</si>
  <si>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</si>
  <si>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</si>
  <si>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</si>
  <si>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</si>
  <si>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</si>
  <si>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</si>
  <si>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</si>
  <si>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</si>
  <si>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</si>
  <si>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</si>
  <si>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</si>
  <si>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</si>
  <si>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</si>
  <si>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</si>
  <si>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</si>
  <si>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</si>
  <si>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</si>
  <si>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</si>
  <si>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</si>
  <si>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</si>
  <si>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</si>
  <si>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</si>
  <si>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</si>
  <si>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</si>
  <si>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</si>
  <si>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</si>
  <si>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</si>
  <si>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</si>
  <si>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</si>
  <si>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</si>
  <si>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</si>
  <si>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</si>
  <si>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</si>
  <si>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</si>
  <si>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</si>
  <si>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</si>
  <si>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</si>
  <si>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</si>
  <si>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</si>
  <si>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</si>
  <si>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</si>
  <si>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</si>
  <si>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</si>
  <si>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</si>
  <si>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</si>
  <si>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</si>
  <si>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</si>
  <si>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</si>
  <si>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</si>
  <si>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</si>
  <si>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</si>
  <si>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</si>
  <si>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</si>
  <si>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</si>
  <si>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</si>
  <si>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</si>
  <si>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</si>
  <si>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</si>
  <si>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</si>
  <si>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</si>
  <si>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</si>
  <si>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</si>
  <si>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</si>
  <si>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</si>
  <si>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</si>
  <si>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</si>
  <si>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</si>
  <si>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</si>
  <si>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</si>
  <si>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</si>
  <si>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</si>
  <si>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</si>
  <si>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</si>
  <si>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</si>
  <si>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</si>
  <si>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</si>
  <si>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</si>
  <si>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</si>
  <si>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</si>
  <si>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</si>
  <si>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</si>
  <si>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</si>
  <si>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</si>
  <si>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</si>
  <si>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</si>
  <si>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</si>
  <si>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</si>
  <si>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</si>
  <si>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</si>
  <si>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</si>
  <si>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</si>
  <si>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</si>
  <si>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</si>
  <si>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</si>
  <si>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</si>
  <si>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</si>
  <si>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</si>
  <si>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</si>
  <si>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</si>
  <si>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</si>
  <si>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</si>
  <si>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</si>
  <si>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</si>
  <si>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</si>
  <si>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</si>
  <si>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</si>
  <si>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</si>
  <si>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</si>
  <si>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</si>
  <si>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</si>
  <si>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</si>
  <si>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</si>
  <si>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</si>
  <si>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</si>
  <si>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</si>
  <si>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</si>
  <si>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</si>
  <si>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</si>
  <si>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</si>
  <si>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</si>
  <si>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</si>
  <si>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</si>
  <si>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</si>
  <si>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</si>
  <si>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</si>
  <si>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</si>
  <si>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</si>
  <si>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</si>
  <si>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</si>
  <si>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</si>
  <si>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</si>
  <si>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</si>
  <si>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</si>
  <si>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</si>
  <si>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</si>
  <si>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</si>
  <si>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</si>
  <si>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</si>
  <si>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</si>
  <si>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</si>
  <si>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</si>
  <si>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</si>
  <si>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</si>
  <si>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</si>
  <si>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</si>
  <si>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</si>
  <si>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</si>
  <si>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</si>
  <si>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</si>
  <si>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</si>
  <si>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</si>
  <si>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</si>
  <si>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</si>
  <si>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</si>
  <si>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</si>
  <si>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</si>
  <si>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</si>
  <si>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</si>
  <si>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</si>
  <si>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</si>
  <si>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</si>
  <si>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</si>
  <si>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</si>
  <si>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</si>
  <si>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</si>
  <si>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</si>
  <si>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</si>
  <si>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</si>
  <si>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</si>
  <si>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</si>
  <si>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</si>
  <si>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</si>
  <si>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</si>
  <si>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</si>
  <si>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</si>
  <si>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</si>
  <si>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</si>
  <si>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</si>
  <si>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</si>
  <si>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</si>
  <si>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</si>
  <si>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</si>
  <si>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</si>
  <si>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</si>
  <si>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</si>
  <si>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</si>
  <si>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</si>
  <si>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</si>
  <si>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</si>
  <si>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</si>
  <si>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</si>
  <si>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</si>
  <si>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</si>
  <si>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</si>
  <si>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</si>
  <si>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</si>
  <si>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</si>
  <si>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</si>
  <si>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</si>
  <si>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</si>
  <si>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</si>
  <si>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</si>
  <si>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</si>
  <si>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</si>
  <si>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</si>
  <si>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</si>
  <si>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</si>
  <si>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</si>
  <si>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</si>
  <si>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</si>
  <si>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</si>
  <si>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</si>
  <si>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</si>
  <si>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</si>
  <si>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</si>
  <si>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</si>
  <si>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</si>
  <si>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</si>
  <si>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</si>
  <si>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</si>
  <si>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</si>
  <si>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</si>
  <si>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</si>
  <si>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</si>
  <si>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</si>
  <si>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</si>
  <si>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</si>
  <si>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</si>
  <si>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</si>
  <si>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</si>
  <si>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</si>
  <si>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</si>
  <si>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</si>
  <si>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</si>
  <si>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</si>
  <si>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</si>
  <si>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</si>
  <si>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</si>
  <si>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</si>
  <si>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</si>
  <si>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</si>
  <si>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</si>
  <si>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</si>
  <si>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</si>
  <si>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</si>
  <si>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</si>
  <si>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</si>
  <si>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</si>
  <si>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</si>
  <si>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</si>
  <si>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</si>
  <si>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</si>
  <si>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</si>
  <si>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</si>
  <si>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</si>
  <si>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</si>
  <si>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</si>
  <si>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</si>
  <si>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</si>
  <si>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</si>
  <si>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</si>
  <si>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</si>
  <si>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</si>
  <si>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</si>
  <si>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</si>
  <si>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</si>
  <si>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</si>
  <si>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</si>
  <si>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</si>
  <si>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</si>
  <si>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</si>
  <si>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</si>
  <si>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</si>
  <si>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</si>
  <si>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</si>
  <si>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</si>
  <si>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</si>
  <si>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</si>
  <si>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</si>
  <si>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</si>
  <si>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</si>
  <si>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</si>
  <si>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</si>
  <si>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</si>
  <si>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</si>
  <si>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</si>
  <si>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</si>
  <si>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</si>
  <si>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</si>
  <si>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</si>
  <si>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</si>
  <si>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</si>
  <si>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</si>
  <si>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</si>
  <si>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</si>
  <si>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</si>
  <si>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</si>
  <si>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</si>
  <si>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</si>
  <si>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</si>
  <si>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</si>
  <si>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</si>
  <si>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</si>
  <si>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</si>
  <si>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</si>
  <si>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</si>
  <si>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</si>
  <si>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</si>
  <si>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</si>
  <si>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</si>
  <si>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</si>
  <si>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</si>
  <si>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</si>
  <si>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</si>
  <si>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</si>
  <si>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</si>
  <si>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</si>
  <si>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</si>
  <si>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</si>
  <si>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</si>
  <si>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</si>
  <si>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</si>
  <si>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</si>
  <si>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</si>
  <si>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</si>
  <si>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</si>
  <si>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</si>
  <si>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</si>
  <si>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</si>
  <si>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</si>
  <si>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</si>
  <si>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</si>
  <si>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</si>
  <si>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</si>
  <si>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</si>
  <si>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</si>
  <si>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</si>
  <si>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</si>
  <si>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</si>
  <si>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</si>
  <si>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</si>
  <si>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</si>
  <si>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</si>
  <si>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</si>
  <si>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</si>
  <si>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</si>
  <si>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</si>
  <si>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</si>
  <si>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</si>
  <si>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</si>
  <si>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</si>
  <si>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</si>
  <si>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</si>
  <si>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</si>
  <si>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</si>
  <si>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</si>
  <si>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</si>
  <si>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</si>
  <si>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</si>
  <si>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</si>
  <si>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</si>
  <si>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</si>
  <si>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</si>
  <si>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</si>
  <si>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</si>
  <si>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</si>
  <si>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</si>
  <si>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</si>
  <si>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</si>
  <si>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</si>
  <si>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</si>
  <si>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</si>
  <si>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</si>
  <si>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</si>
  <si>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</si>
  <si>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</si>
  <si>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</si>
  <si>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</si>
  <si>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</si>
  <si>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</si>
  <si>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</si>
  <si>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</si>
  <si>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</si>
  <si>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</si>
  <si>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</si>
  <si>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</si>
  <si>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</si>
  <si>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</si>
  <si>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</si>
  <si>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</si>
  <si>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</si>
  <si>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</si>
  <si>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</si>
  <si>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</si>
  <si>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</si>
  <si>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</si>
  <si>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</si>
  <si>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</si>
  <si>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</si>
  <si>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</si>
  <si>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</si>
  <si>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</si>
  <si>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</si>
  <si>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</si>
  <si>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</si>
  <si>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</si>
  <si>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</si>
  <si>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</si>
  <si>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</si>
  <si>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</si>
  <si>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</si>
  <si>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</si>
  <si>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</si>
  <si>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</si>
  <si>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</si>
  <si>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</si>
  <si>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</si>
  <si>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</si>
  <si>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</si>
  <si>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</si>
  <si>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</si>
  <si>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</si>
  <si>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</si>
  <si>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</si>
  <si>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</si>
  <si>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</si>
  <si>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</si>
  <si>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</si>
  <si>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</si>
  <si>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</si>
  <si>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</si>
  <si>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</si>
  <si>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</si>
  <si>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</si>
  <si>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</si>
  <si>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</si>
  <si>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</si>
  <si>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</si>
  <si>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</si>
  <si>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</si>
  <si>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</si>
  <si>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</si>
  <si>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</si>
  <si>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</si>
  <si>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</si>
  <si>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</si>
  <si>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</si>
  <si>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</si>
  <si>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</si>
  <si>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</si>
  <si>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</si>
  <si>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</si>
  <si>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</si>
  <si>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</si>
  <si>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</si>
  <si>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</si>
  <si>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</si>
  <si>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</si>
  <si>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</si>
  <si>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</si>
  <si>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</si>
  <si>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</si>
  <si>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</si>
  <si>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</si>
  <si>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</si>
  <si>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</si>
  <si>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</si>
  <si>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</si>
  <si>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</si>
  <si>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</si>
  <si>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</si>
  <si>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</si>
  <si>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</si>
  <si>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</si>
  <si>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</si>
  <si>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</si>
  <si>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</si>
  <si>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</si>
  <si>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</si>
  <si>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</si>
  <si>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</si>
  <si>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</si>
  <si>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</si>
  <si>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</si>
  <si>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</si>
  <si>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</si>
  <si>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</si>
  <si>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</si>
  <si>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</si>
  <si>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</si>
  <si>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</si>
  <si>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</si>
  <si>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</si>
  <si>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</si>
  <si>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</si>
  <si>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</si>
  <si>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</si>
  <si>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</si>
  <si>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</si>
  <si>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</si>
  <si>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</si>
  <si>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</si>
  <si>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</si>
  <si>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</si>
  <si>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</si>
  <si>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</si>
  <si>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</si>
  <si>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</si>
  <si>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</si>
  <si>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</si>
  <si>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</si>
  <si>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</si>
  <si>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</si>
  <si>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</si>
  <si>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</si>
  <si>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</si>
  <si>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</si>
  <si>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</si>
  <si>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</si>
  <si>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</si>
  <si>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</si>
  <si>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</si>
  <si>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</si>
  <si>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</si>
  <si>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</si>
  <si>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</si>
  <si>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</si>
  <si>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</si>
  <si>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</si>
  <si>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</si>
  <si>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</si>
  <si>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</si>
  <si>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</si>
  <si>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</si>
  <si>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</si>
  <si>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</si>
  <si>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</si>
  <si>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</si>
  <si>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</si>
  <si>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</si>
  <si>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</si>
  <si>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</si>
  <si>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</si>
  <si>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</si>
  <si>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</si>
  <si>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</si>
  <si>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</si>
  <si>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</si>
  <si>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</si>
  <si>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</si>
  <si>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</si>
  <si>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</si>
  <si>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</si>
  <si>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</si>
  <si>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</si>
  <si>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</si>
  <si>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</si>
  <si>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</si>
  <si>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</si>
  <si>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</si>
  <si>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</si>
  <si>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</si>
  <si>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</si>
  <si>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</si>
  <si>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</si>
  <si>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</si>
  <si>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</si>
  <si>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</si>
  <si>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</si>
  <si>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</si>
  <si>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</si>
  <si>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</si>
  <si>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</si>
  <si>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</si>
  <si>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</si>
  <si>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</si>
  <si>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</si>
  <si>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</si>
  <si>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</si>
  <si>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</si>
  <si>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</si>
  <si>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</si>
  <si>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</si>
  <si>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</si>
  <si>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</si>
  <si>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</si>
  <si>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</si>
  <si>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</si>
  <si>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</si>
  <si>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</si>
  <si>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</si>
  <si>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</si>
  <si>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</si>
  <si>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</si>
  <si>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</si>
  <si>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</si>
  <si>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</si>
  <si>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</si>
  <si>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</si>
  <si>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</si>
  <si>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</si>
  <si>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</si>
  <si>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</si>
  <si>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</si>
  <si>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</si>
  <si>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</si>
  <si>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</si>
  <si>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</si>
  <si>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</si>
  <si>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</si>
  <si>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</si>
  <si>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</si>
  <si>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</si>
  <si>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</si>
  <si>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</si>
  <si>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</si>
  <si>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</si>
  <si>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</si>
  <si>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</si>
  <si>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</si>
  <si>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</si>
  <si>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</si>
  <si>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</si>
  <si>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</si>
  <si>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</si>
  <si>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</si>
  <si>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</si>
  <si>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</si>
  <si>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</si>
  <si>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</si>
  <si>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</si>
  <si>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</si>
  <si>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</si>
  <si>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</si>
  <si>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</si>
  <si>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</si>
  <si>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</si>
  <si>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</si>
  <si>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</si>
  <si>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</si>
  <si>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</si>
  <si>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</si>
  <si>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</si>
  <si>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</si>
  <si>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</si>
  <si>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</si>
  <si>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</si>
  <si>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</si>
  <si>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</si>
  <si>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</si>
  <si>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</si>
  <si>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</si>
  <si>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</si>
  <si>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</si>
  <si>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</si>
  <si>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</si>
  <si>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</si>
  <si>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</si>
  <si>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</si>
  <si>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</si>
  <si>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</si>
  <si>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</si>
  <si>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</si>
  <si>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</si>
  <si>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</si>
  <si>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</si>
  <si>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</si>
  <si>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</si>
  <si>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</si>
  <si>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</si>
  <si>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</si>
  <si>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</si>
  <si>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</si>
  <si>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</si>
  <si>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</si>
  <si>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</si>
  <si>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</si>
  <si>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</si>
  <si>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</si>
  <si>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</si>
  <si>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</si>
  <si>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</si>
  <si>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</si>
  <si>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</si>
  <si>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</si>
  <si>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</si>
  <si>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</si>
  <si>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</si>
  <si>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</si>
  <si>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</si>
  <si>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</si>
  <si>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</si>
  <si>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</si>
  <si>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</si>
  <si>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</si>
  <si>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</si>
  <si>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</si>
  <si>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</si>
  <si>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</si>
  <si>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</si>
  <si>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</si>
  <si>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</si>
  <si>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</si>
  <si>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</si>
  <si>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</si>
  <si>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</si>
  <si>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</si>
  <si>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</si>
  <si>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</si>
  <si>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</si>
  <si>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</si>
  <si>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</si>
  <si>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</si>
  <si>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</si>
  <si>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</si>
  <si>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</si>
  <si>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</si>
  <si>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</si>
  <si>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</si>
  <si>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</si>
  <si>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</si>
  <si>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</si>
  <si>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</si>
  <si>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</si>
  <si>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</si>
  <si>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</si>
  <si>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</si>
  <si>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</si>
  <si>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</si>
  <si>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</si>
  <si>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</si>
  <si>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</si>
  <si>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</si>
  <si>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</si>
  <si>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</si>
  <si>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</si>
  <si>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</si>
  <si>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</si>
  <si>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</si>
  <si>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</si>
  <si>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</si>
  <si>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</si>
  <si>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</si>
  <si>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</si>
  <si>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</si>
  <si>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</si>
  <si>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</si>
  <si>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</si>
  <si>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</si>
  <si>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</si>
  <si>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</si>
  <si>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</si>
  <si>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</si>
  <si>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</si>
  <si>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</si>
  <si>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</si>
  <si>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</si>
  <si>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</si>
  <si>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</si>
  <si>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</si>
  <si>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</si>
  <si>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</si>
  <si>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</si>
  <si>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</si>
  <si>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</si>
  <si>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</si>
  <si>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</si>
  <si>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</si>
  <si>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</si>
  <si>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</si>
  <si>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</si>
  <si>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</si>
  <si>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</si>
  <si>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</si>
  <si>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</si>
  <si>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</si>
  <si>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</si>
  <si>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</si>
  <si>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</si>
  <si>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</si>
  <si>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</si>
  <si>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</si>
  <si>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</si>
  <si>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</si>
  <si>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</si>
  <si>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</si>
  <si>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</si>
  <si>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</si>
  <si>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</si>
  <si>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</si>
  <si>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</si>
  <si>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</si>
  <si>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</si>
  <si>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</si>
  <si>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</si>
  <si>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</si>
  <si>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</si>
  <si>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</si>
  <si>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</si>
  <si>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</si>
  <si>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</si>
  <si>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</si>
  <si>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</si>
  <si>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</si>
  <si>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</si>
  <si>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</si>
  <si>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</si>
  <si>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</si>
  <si>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</si>
  <si>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</si>
  <si>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</si>
  <si>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</si>
  <si>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</si>
  <si>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</si>
  <si>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</si>
  <si>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</si>
  <si>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</si>
  <si>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</si>
  <si>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</si>
  <si>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</si>
  <si>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</si>
  <si>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</si>
  <si>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</si>
  <si>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</si>
  <si>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</si>
  <si>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</si>
  <si>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</si>
  <si>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</si>
  <si>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</si>
  <si>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</si>
  <si>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</si>
  <si>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</si>
  <si>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</si>
  <si>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</si>
  <si>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</si>
  <si>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</si>
  <si>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</si>
  <si>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</si>
  <si>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</si>
  <si>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</si>
  <si>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</si>
  <si>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</si>
  <si>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</si>
  <si>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</si>
  <si>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</si>
  <si>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</si>
  <si>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</si>
  <si>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</si>
  <si>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</si>
  <si>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</si>
  <si>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</si>
  <si>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</si>
  <si>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</si>
  <si>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</si>
  <si>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</si>
  <si>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</si>
  <si>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</si>
  <si>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</si>
  <si>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</si>
  <si>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</si>
  <si>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</si>
  <si>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</si>
  <si>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</si>
  <si>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</si>
  <si>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</si>
  <si>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</si>
  <si>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</si>
  <si>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</si>
  <si>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</si>
  <si>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</si>
  <si>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</si>
  <si>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</si>
  <si>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</si>
  <si>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</si>
  <si>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</si>
  <si>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</si>
  <si>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</si>
  <si>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</si>
  <si>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</si>
  <si>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</si>
  <si>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</si>
  <si>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</si>
  <si>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</si>
  <si>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</si>
  <si>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</si>
  <si>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</si>
  <si>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</si>
  <si>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</si>
  <si>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</si>
  <si>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</si>
  <si>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</si>
  <si>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</si>
  <si>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</si>
  <si>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</si>
  <si>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</si>
  <si>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</si>
  <si>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</si>
  <si>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</si>
  <si>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</si>
  <si>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</si>
  <si>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</si>
  <si>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</si>
  <si>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</si>
  <si>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</si>
  <si>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</si>
  <si>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</si>
  <si>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</si>
  <si>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</si>
  <si>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</si>
  <si>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</si>
  <si>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</si>
  <si>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</si>
  <si>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</si>
  <si>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</si>
  <si>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</si>
  <si>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</si>
  <si>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</si>
  <si>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</si>
  <si>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</si>
  <si>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</si>
  <si>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</si>
  <si>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</si>
  <si>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</si>
  <si>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</si>
  <si>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</si>
  <si>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</si>
  <si>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</si>
  <si>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</si>
  <si>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</si>
  <si>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</si>
  <si>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</si>
  <si>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</si>
  <si>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</si>
  <si>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</si>
  <si>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</si>
  <si>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</si>
  <si>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</si>
  <si>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</si>
  <si>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</si>
  <si>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</si>
  <si>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</si>
  <si>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</si>
  <si>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</si>
  <si>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</si>
  <si>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</si>
  <si>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</si>
  <si>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</si>
  <si>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</si>
  <si>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</si>
  <si>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</si>
  <si>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</si>
  <si>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</si>
  <si>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</si>
  <si>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</si>
  <si>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</si>
  <si>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</si>
  <si>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</si>
  <si>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</si>
  <si>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</si>
  <si>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</si>
  <si>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</si>
  <si>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</si>
  <si>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</si>
  <si>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</si>
  <si>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</si>
  <si>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</si>
  <si>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</si>
  <si>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</si>
  <si>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</si>
  <si>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</si>
  <si>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</si>
  <si>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</si>
  <si>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</si>
  <si>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</si>
  <si>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</si>
  <si>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</si>
  <si>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</si>
  <si>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</si>
  <si>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</si>
  <si>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</si>
  <si>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</si>
  <si>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</si>
  <si>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</si>
  <si>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</si>
  <si>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</si>
  <si>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</si>
  <si>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</si>
  <si>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</si>
  <si>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</si>
  <si>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</si>
  <si>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</si>
  <si>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</si>
  <si>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</si>
  <si>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</si>
  <si>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</si>
  <si>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</si>
  <si>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</si>
  <si>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</si>
  <si>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</si>
  <si>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</si>
  <si>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</si>
  <si>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</si>
  <si>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</si>
  <si>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</si>
  <si>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</si>
  <si>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</si>
  <si>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</si>
  <si>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</si>
  <si>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</si>
  <si>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</si>
  <si>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</si>
  <si>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</si>
  <si>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</si>
  <si>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</si>
  <si>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</si>
  <si>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</si>
  <si>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</si>
  <si>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</si>
  <si>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</si>
  <si>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</si>
  <si>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</si>
  <si>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</si>
  <si>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</si>
  <si>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</si>
  <si>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</si>
  <si>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</si>
  <si>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</si>
  <si>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</si>
  <si>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</si>
  <si>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</si>
  <si>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</si>
  <si>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</si>
  <si>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</si>
  <si>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</si>
  <si>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</si>
  <si>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</si>
  <si>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</si>
  <si>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</si>
  <si>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</si>
  <si>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</si>
  <si>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</si>
  <si>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</si>
  <si>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</si>
  <si>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</si>
  <si>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</si>
  <si>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</si>
  <si>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</si>
  <si>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</si>
  <si>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</si>
  <si>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</si>
  <si>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</si>
  <si>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</si>
  <si>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</si>
  <si>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</si>
  <si>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</si>
  <si>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</si>
  <si>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</si>
  <si>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</si>
  <si>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</si>
  <si>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</si>
  <si>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</si>
  <si>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</si>
  <si>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</si>
  <si>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</si>
  <si>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</si>
  <si>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</si>
  <si>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</si>
  <si>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</si>
  <si>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</si>
  <si>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</si>
  <si>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</si>
  <si>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</si>
  <si>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</si>
  <si>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</si>
  <si>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</si>
  <si>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</si>
  <si>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</si>
  <si>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</si>
  <si>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</si>
  <si>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</si>
  <si>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</si>
  <si>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</si>
  <si>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</si>
  <si>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</si>
  <si>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</si>
  <si>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</si>
  <si>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</si>
  <si>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</si>
  <si>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</si>
  <si>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</si>
  <si>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</si>
  <si>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</si>
  <si>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</si>
  <si>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</si>
  <si>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</si>
  <si>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</si>
  <si>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</si>
  <si>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</si>
  <si>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</si>
  <si>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</si>
  <si>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</si>
  <si>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</si>
  <si>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</si>
  <si>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</si>
  <si>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</si>
  <si>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</si>
  <si>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</si>
  <si>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</si>
  <si>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</si>
  <si>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</si>
  <si>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</si>
  <si>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</si>
  <si>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</si>
  <si>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</si>
  <si>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</si>
  <si>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</si>
  <si>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</si>
  <si>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</si>
  <si>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</si>
  <si>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</si>
  <si>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</si>
  <si>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</si>
  <si>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</si>
  <si>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</si>
  <si>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</si>
  <si>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</si>
  <si>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</si>
  <si>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</si>
  <si>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</si>
  <si>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</si>
  <si>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</si>
  <si>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</si>
  <si>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</si>
  <si>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</si>
  <si>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</si>
  <si>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</si>
  <si>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</si>
  <si>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</si>
  <si>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</si>
  <si>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</si>
  <si>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</si>
  <si>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</si>
  <si>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</si>
  <si>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</si>
  <si>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</si>
  <si>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</si>
  <si>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</si>
  <si>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</si>
  <si>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</si>
  <si>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</si>
  <si>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</si>
  <si>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</si>
  <si>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</si>
  <si>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</si>
  <si>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</si>
  <si>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</si>
  <si>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</si>
  <si>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</si>
  <si>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</si>
  <si>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</si>
  <si>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</si>
  <si>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</si>
  <si>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</si>
  <si>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</si>
  <si>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</si>
  <si>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</si>
  <si>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</si>
  <si>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</si>
  <si>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</si>
  <si>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</si>
  <si>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</si>
  <si>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</si>
  <si>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</si>
  <si>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</si>
  <si>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</si>
  <si>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</si>
  <si>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</si>
  <si>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</si>
  <si>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</si>
  <si>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</si>
  <si>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</si>
  <si>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</si>
  <si>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</si>
  <si>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</si>
  <si>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</si>
  <si>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</si>
  <si>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</si>
  <si>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</si>
  <si>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</si>
  <si>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</si>
  <si>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</si>
  <si>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</si>
  <si>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</si>
  <si>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</si>
  <si>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</si>
  <si>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</si>
  <si>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</si>
  <si>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</si>
  <si>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</si>
  <si>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</si>
  <si>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</si>
  <si>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</si>
  <si>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</si>
  <si>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</si>
  <si>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</si>
  <si>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</si>
  <si>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</si>
  <si>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</si>
  <si>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</si>
  <si>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</si>
  <si>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</si>
  <si>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</si>
  <si>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</si>
  <si>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</si>
  <si>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</si>
  <si>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</si>
  <si>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</si>
  <si>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</si>
  <si>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</si>
  <si>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</si>
  <si>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</si>
  <si>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</si>
  <si>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</si>
  <si>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</si>
  <si>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</si>
  <si>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</si>
  <si>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</si>
  <si>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</si>
  <si>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</si>
  <si>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</si>
  <si>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</si>
  <si>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</si>
  <si>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</si>
  <si>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</si>
  <si>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</si>
  <si>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</si>
  <si>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</si>
  <si>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</si>
  <si>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</si>
  <si>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</si>
  <si>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</si>
  <si>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</si>
  <si>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</si>
  <si>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</si>
  <si>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</si>
  <si>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</si>
  <si>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</si>
  <si>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</si>
  <si>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</si>
  <si>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</si>
  <si>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</si>
  <si>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</si>
  <si>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</si>
  <si>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</si>
  <si>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</si>
  <si>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</si>
  <si>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</si>
  <si>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</si>
  <si>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</si>
  <si>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</si>
  <si>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</si>
  <si>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</si>
  <si>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</si>
  <si>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</si>
  <si>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</si>
  <si>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</si>
  <si>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</si>
  <si>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</si>
  <si>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</si>
  <si>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</si>
  <si>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</si>
  <si>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</si>
  <si>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</si>
  <si>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</si>
  <si>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</si>
  <si>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</si>
  <si>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</si>
  <si>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</si>
  <si>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</si>
  <si>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</si>
  <si>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</si>
  <si>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</si>
  <si>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</si>
  <si>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</si>
  <si>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</si>
  <si>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</si>
  <si>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</si>
  <si>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</si>
  <si>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</si>
  <si>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</si>
  <si>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</si>
  <si>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</si>
  <si>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</si>
  <si>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</si>
  <si>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</si>
  <si>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</si>
  <si>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</si>
  <si>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</si>
  <si>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</si>
  <si>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</si>
  <si>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</si>
  <si>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</si>
  <si>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</si>
  <si>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</si>
  <si>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</si>
  <si>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</si>
  <si>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</si>
  <si>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</si>
  <si>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</si>
  <si>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</si>
  <si>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</si>
  <si>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</si>
  <si>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</si>
  <si>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</si>
  <si>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</si>
  <si>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</si>
  <si>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</si>
  <si>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</si>
  <si>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</si>
  <si>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</si>
  <si>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</si>
  <si>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</si>
  <si>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</si>
  <si>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</si>
  <si>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</si>
  <si>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</si>
  <si>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</si>
  <si>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</si>
  <si>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</si>
  <si>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</si>
  <si>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</si>
  <si>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</si>
  <si>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</si>
  <si>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</si>
  <si>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</si>
  <si>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</si>
  <si>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</si>
  <si>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</si>
  <si>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</si>
  <si>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</si>
  <si>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</si>
  <si>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</si>
  <si>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</si>
  <si>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</si>
  <si>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</si>
  <si>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</si>
  <si>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</si>
  <si>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</si>
  <si>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</si>
  <si>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</si>
  <si>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</si>
  <si>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</si>
  <si>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</si>
  <si>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</si>
  <si>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</si>
  <si>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</si>
  <si>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</si>
  <si>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</si>
  <si>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</si>
  <si>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</si>
  <si>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</si>
  <si>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</si>
  <si>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</si>
  <si>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</si>
  <si>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</si>
  <si>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</si>
  <si>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</si>
  <si>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</si>
  <si>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</si>
  <si>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</si>
  <si>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</si>
  <si>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</si>
  <si>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</si>
  <si>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</si>
  <si>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</si>
  <si>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</si>
  <si>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</si>
  <si>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</si>
  <si>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</si>
  <si>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</si>
  <si>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</si>
  <si>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</si>
  <si>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</si>
  <si>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</si>
  <si>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</si>
  <si>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</si>
  <si>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</si>
  <si>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</si>
  <si>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</si>
  <si>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</si>
  <si>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</si>
  <si>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</si>
  <si>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</si>
  <si>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</si>
  <si>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</si>
  <si>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</si>
  <si>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</si>
  <si>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</si>
  <si>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</si>
  <si>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</si>
  <si>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</si>
  <si>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</si>
  <si>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</si>
  <si>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</si>
  <si>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</si>
  <si>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</si>
  <si>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</si>
  <si>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</si>
  <si>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</si>
  <si>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</si>
  <si>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</si>
  <si>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</si>
  <si>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</si>
  <si>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</si>
  <si>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</si>
  <si>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</si>
  <si>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</si>
  <si>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</si>
  <si>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</si>
  <si>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</si>
  <si>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</si>
  <si>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</si>
  <si>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</si>
  <si>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</si>
  <si>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</si>
  <si>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</si>
  <si>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</si>
  <si>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</si>
  <si>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</si>
  <si>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</si>
  <si>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</si>
  <si>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</si>
  <si>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</si>
  <si>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</si>
  <si>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</si>
  <si>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</si>
  <si>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</si>
  <si>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</si>
  <si>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</si>
  <si>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</si>
  <si>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</si>
  <si>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</si>
  <si>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</si>
  <si>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</si>
  <si>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</si>
  <si>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</si>
  <si>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</si>
  <si>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</si>
  <si>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</si>
  <si>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</si>
  <si>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</si>
  <si>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</si>
  <si>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</si>
  <si>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</si>
  <si>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</si>
  <si>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</si>
  <si>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</si>
  <si>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</si>
  <si>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</si>
  <si>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</si>
  <si>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</si>
  <si>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</si>
  <si>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</si>
  <si>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</si>
  <si>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</si>
  <si>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</si>
  <si>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</si>
  <si>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</si>
  <si>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</si>
  <si>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</si>
  <si>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</si>
  <si>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</si>
  <si>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</si>
  <si>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</si>
  <si>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</si>
  <si>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</si>
  <si>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</si>
  <si>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</si>
  <si>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</si>
  <si>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</si>
  <si>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</si>
  <si>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</si>
  <si>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</si>
  <si>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</si>
  <si>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</si>
  <si>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</si>
  <si>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</si>
  <si>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</si>
  <si>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</si>
  <si>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</si>
  <si>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</si>
  <si>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</si>
  <si>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</si>
  <si>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</si>
  <si>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</si>
  <si>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</si>
  <si>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</si>
  <si>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</si>
  <si>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</si>
  <si>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</si>
  <si>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</si>
  <si>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</si>
  <si>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</si>
  <si>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</si>
  <si>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</si>
  <si>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</si>
  <si>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</si>
  <si>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</si>
  <si>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</si>
  <si>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</si>
  <si>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</si>
  <si>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</si>
  <si>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</si>
  <si>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</si>
  <si>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</si>
  <si>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</si>
  <si>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</si>
  <si>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</si>
  <si>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</si>
  <si>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</si>
  <si>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</si>
  <si>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</si>
  <si>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</si>
  <si>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</si>
  <si>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</si>
  <si>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</si>
  <si>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</si>
  <si>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</si>
  <si>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</si>
  <si>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</si>
  <si>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</si>
  <si>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</si>
  <si>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</si>
  <si>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</si>
  <si>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</si>
  <si>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</si>
  <si>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</si>
  <si>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</si>
  <si>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</si>
  <si>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</si>
  <si>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</si>
  <si>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</si>
  <si>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</si>
  <si>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</si>
  <si>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</si>
  <si>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</si>
  <si>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</si>
  <si>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</si>
  <si>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</si>
  <si>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</si>
  <si>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</si>
  <si>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</si>
  <si>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</si>
  <si>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</si>
  <si>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</si>
  <si>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</si>
  <si>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</si>
  <si>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</si>
  <si>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</si>
  <si>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</si>
  <si>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</si>
  <si>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</si>
  <si>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</si>
  <si>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</si>
  <si>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</si>
  <si>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</si>
  <si>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</si>
  <si>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</si>
  <si>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</si>
  <si>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</si>
  <si>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</si>
  <si>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</si>
  <si>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</si>
  <si>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</si>
  <si>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</si>
  <si>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</si>
  <si>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</si>
  <si>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</si>
  <si>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</si>
  <si>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</si>
  <si>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</si>
  <si>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</si>
  <si>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</si>
  <si>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</si>
  <si>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</si>
  <si>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</si>
  <si>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</si>
  <si>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</si>
  <si>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</si>
  <si>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</si>
  <si>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</si>
  <si>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</si>
  <si>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</si>
  <si>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</si>
  <si>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</si>
  <si>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</si>
  <si>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</si>
  <si>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</si>
  <si>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</si>
  <si>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</si>
  <si>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</si>
  <si>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</si>
  <si>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</si>
  <si>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</si>
  <si>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</si>
  <si>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</si>
  <si>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</si>
  <si>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</si>
  <si>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</si>
  <si>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</si>
  <si>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</si>
  <si>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</si>
  <si>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</si>
  <si>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</si>
  <si>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</si>
  <si>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</si>
  <si>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</si>
  <si>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</si>
  <si>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</si>
  <si>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</si>
  <si>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</si>
  <si>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</si>
  <si>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</si>
  <si>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</si>
  <si>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</si>
  <si>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</si>
  <si>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</si>
  <si>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</si>
  <si>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</si>
  <si>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</si>
  <si>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</si>
  <si>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</si>
  <si>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</si>
  <si>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</si>
  <si>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</si>
  <si>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</si>
  <si>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</si>
  <si>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</si>
  <si>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</si>
  <si>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</si>
  <si>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</si>
  <si>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</si>
  <si>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</si>
  <si>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</si>
  <si>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</si>
  <si>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</si>
  <si>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</si>
  <si>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</si>
  <si>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</si>
  <si>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</si>
  <si>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</si>
  <si>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</si>
  <si>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</si>
  <si>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</si>
  <si>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</si>
  <si>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</si>
  <si>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</si>
  <si>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</si>
  <si>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</si>
  <si>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</si>
  <si>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</si>
  <si>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</si>
  <si>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</si>
  <si>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</si>
  <si>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</si>
  <si>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</si>
  <si>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</si>
  <si>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</si>
  <si>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</si>
  <si>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</si>
  <si>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</si>
  <si>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</si>
  <si>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</si>
  <si>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</si>
  <si>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</si>
  <si>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</si>
  <si>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</si>
  <si>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</si>
  <si>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</si>
  <si>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</si>
  <si>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</si>
  <si>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</si>
  <si>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</si>
  <si>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</si>
  <si>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</si>
  <si>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</si>
  <si>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</si>
  <si>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</si>
  <si>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</si>
  <si>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</si>
  <si>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</si>
  <si>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</si>
  <si>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</si>
  <si>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</si>
  <si>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</si>
  <si>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</si>
  <si>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</si>
  <si>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</si>
  <si>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</si>
  <si>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</si>
  <si>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</si>
  <si>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</si>
  <si>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</si>
  <si>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</si>
  <si>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</si>
  <si>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</si>
  <si>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</si>
  <si>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</si>
  <si>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</si>
  <si>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</si>
  <si>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</si>
  <si>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</si>
  <si>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</si>
  <si>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</si>
  <si>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</si>
  <si>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</si>
  <si>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</si>
  <si>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</si>
  <si>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</si>
  <si>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</si>
  <si>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</si>
  <si>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</si>
  <si>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</si>
  <si>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</si>
  <si>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</si>
  <si>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</si>
  <si>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</si>
  <si>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</si>
  <si>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</si>
  <si>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</si>
  <si>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</si>
  <si>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</si>
  <si>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</si>
  <si>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</si>
  <si>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</si>
  <si>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</si>
  <si>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</si>
  <si>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</si>
  <si>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</si>
  <si>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</si>
  <si>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</si>
  <si>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</si>
  <si>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</si>
  <si>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</si>
  <si>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</si>
  <si>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</si>
  <si>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</si>
  <si>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</si>
  <si>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</si>
  <si>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</si>
  <si>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20000寶石</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</si>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</sst>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3">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3">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19" fillId="0" borderId="0" xfId="0" applyFont="1"/>
    <xf numFmtId="0" fontId="20" fillId="0" borderId="0" xfId="0" applyFont="1"/>
    <xf numFmtId="0" fontId="21" fillId="0" borderId="0" xfId="0" applyFont="1"/>
    <xf numFmtId="0" fontId="1" fillId="0" borderId="7" xfId="1" applyFill="1" applyBorder="1"/>
    <xf numFmtId="0" fontId="22" fillId="0" borderId="0" xfId="0" applyFont="1"/>
    <xf numFmtId="0" fontId="1" fillId="0" borderId="6" xfId="1" applyFill="1" applyBorder="1"/>
    <xf numFmtId="0" fontId="7" fillId="2" borderId="1" xfId="0" applyFont="1" applyFill="1" applyBorder="1" applyAlignment="1">
      <alignment vertical="center"/>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printerSettings" Target="../printerSettings/printerSettings2.bin"/><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64" activePane="bottomRight" state="frozen"/>
      <selection pane="topRight" activeCell="B1" sqref="B1"/>
      <selection pane="bottomLeft" activeCell="A2" sqref="A2"/>
      <selection pane="bottomRight" activeCell="A481" sqref="A481"/>
    </sheetView>
  </sheetViews>
  <sheetFormatPr defaultColWidth="8.875" defaultRowHeight="16.5"/>
  <cols>
    <col min="1" max="1" width="19.125" style="111"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0"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1"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1"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1"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1"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1"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1"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1"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1"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1"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1"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1"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1"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1"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1"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1"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1"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1"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1"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1"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1"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1"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1"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1"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1"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1"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1"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1"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1"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1"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1"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1"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1"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1"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1"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1"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1"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1"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1"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1"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1"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1"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1"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1"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1"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1"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1"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1"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1"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1"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1"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1"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1"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1"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1"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1"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1"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1"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1"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1"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1"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1"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1"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1"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1"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1"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1"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1"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1"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1"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1"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1"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1"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1"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1"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1"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2"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1"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1"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1"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1"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1"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1"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1"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1"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1"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1"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1"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1"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1"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1"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1"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1"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1"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1"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1"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1"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1"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1"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1"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1"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1"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2"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2"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3"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3"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3"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3"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3"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3"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3"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2"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2"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2"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3"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3"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3"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3"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4"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1"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1"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3"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3"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3"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3"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3"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1"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3"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3"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3"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3"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3"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3"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3"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3"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3"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3"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3"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3"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3"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3"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3"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1"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2"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3"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3"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2"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3"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3"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3"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3"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2"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2"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1"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3"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3"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3"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3"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3"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3"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3"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3"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3"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3"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3"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3"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3"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3"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3"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3"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3"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3"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3"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3"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3"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1"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1"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1"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3"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3"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1"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1"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1"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1"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3"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3"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3"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1"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1"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1"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1"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3"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3"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3"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3"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3"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3"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3"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3"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3"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3"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3"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3"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3"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3"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3"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3"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3"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3"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3"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3"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3"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3"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3"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3"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3"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1"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1"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3"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3"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3"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3"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3"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8642</v>
      </c>
      <c r="J233" s="25" t="s">
        <v>4172</v>
      </c>
      <c r="K233" s="28">
        <v>171</v>
      </c>
    </row>
    <row r="234" spans="1:35" ht="28.5" customHeight="1" thickBot="1">
      <c r="A234" s="113"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3"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3"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3"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3"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3"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3"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3"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3"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3"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3"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3"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3"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3"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3"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3"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3"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3"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3"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3"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3"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3"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3"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3"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3"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3"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3"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3"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3"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3"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3"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3"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3"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3"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3"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3"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3"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3"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3"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3"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3"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3"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3"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3"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3"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3"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3"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3"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3"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3"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3"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3"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3"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3"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3"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3"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1"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3"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3"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3"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3"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3"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3"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3"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3"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3"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3"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3"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3"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1"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3"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3"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3"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3"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3"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3"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3"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3"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3"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3"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3"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3"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1"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3"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3"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3"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3"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3"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3"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3"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3"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3"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3"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3"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3"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3"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3"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3"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1"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1"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1"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3"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3"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3"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3"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3"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1"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1"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1"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1"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1"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1"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1"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1"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1"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1"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1"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1"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1"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1"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1"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1"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1"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1"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1"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1"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1"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1"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1"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1"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1"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1"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1"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1"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1"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1"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1"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1"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1"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1"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1"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8555</v>
      </c>
      <c r="M460" s="21">
        <v>2747</v>
      </c>
      <c r="N460" s="20" t="s">
        <v>8556</v>
      </c>
      <c r="O460" s="21">
        <v>1424</v>
      </c>
      <c r="P460" s="20" t="s">
        <v>8557</v>
      </c>
      <c r="Q460" s="21">
        <v>834</v>
      </c>
      <c r="R460" s="20" t="s">
        <v>8558</v>
      </c>
      <c r="S460" s="21">
        <v>565</v>
      </c>
      <c r="T460" s="20" t="s">
        <v>8559</v>
      </c>
      <c r="U460" s="21">
        <v>413</v>
      </c>
      <c r="V460" s="20" t="s">
        <v>8560</v>
      </c>
      <c r="W460" s="21">
        <v>278</v>
      </c>
      <c r="X460" s="20" t="s">
        <v>8561</v>
      </c>
      <c r="Y460" s="21">
        <v>146</v>
      </c>
      <c r="Z460" s="20" t="s">
        <v>8562</v>
      </c>
      <c r="AA460" s="21">
        <v>28</v>
      </c>
      <c r="AB460" s="20" t="s">
        <v>8563</v>
      </c>
      <c r="AC460" s="21">
        <v>278</v>
      </c>
    </row>
    <row r="461" spans="1:33" ht="28.5" customHeight="1" thickBot="1">
      <c r="A461" s="111"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8639</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8640</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8639</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2" t="s">
        <v>8641</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8639</v>
      </c>
      <c r="Y465" s="21">
        <v>283</v>
      </c>
      <c r="Z465" s="20" t="s">
        <v>5953</v>
      </c>
      <c r="AA465" s="21">
        <v>146</v>
      </c>
      <c r="AB465" s="20" t="s">
        <v>5954</v>
      </c>
      <c r="AC465" s="21">
        <v>28</v>
      </c>
    </row>
    <row r="466" spans="1:35" ht="28.5" customHeight="1" thickBot="1">
      <c r="A466" s="111"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1"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8547</v>
      </c>
      <c r="M467" s="21">
        <v>1812</v>
      </c>
      <c r="N467" s="20" t="s">
        <v>8548</v>
      </c>
      <c r="O467" s="21">
        <v>906</v>
      </c>
      <c r="P467" s="20" t="s">
        <v>8549</v>
      </c>
      <c r="Q467" s="21">
        <v>539</v>
      </c>
      <c r="R467" s="20" t="s">
        <v>8550</v>
      </c>
      <c r="S467" s="21">
        <v>362</v>
      </c>
      <c r="T467" s="20" t="s">
        <v>8551</v>
      </c>
      <c r="U467" s="21">
        <v>219</v>
      </c>
      <c r="V467" s="20" t="s">
        <v>8552</v>
      </c>
      <c r="W467" s="21">
        <v>107</v>
      </c>
      <c r="X467" s="20" t="s">
        <v>8553</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20" t="s">
        <v>46</v>
      </c>
      <c r="M468" s="21">
        <v>2520</v>
      </c>
      <c r="N468" s="20" t="s">
        <v>1677</v>
      </c>
      <c r="O468" s="21">
        <v>1268</v>
      </c>
      <c r="P468" s="20" t="s">
        <v>151</v>
      </c>
      <c r="Q468" s="21">
        <v>850</v>
      </c>
      <c r="R468" s="20" t="s">
        <v>152</v>
      </c>
      <c r="S468" s="21">
        <v>575</v>
      </c>
      <c r="T468" s="20" t="s">
        <v>153</v>
      </c>
      <c r="U468" s="21">
        <v>421</v>
      </c>
      <c r="V468" s="20" t="s">
        <v>6556</v>
      </c>
      <c r="W468" s="21">
        <v>275</v>
      </c>
      <c r="X468" s="20" t="s">
        <v>6557</v>
      </c>
      <c r="Y468" s="21">
        <v>129</v>
      </c>
      <c r="Z468" s="20" t="s">
        <v>8454</v>
      </c>
      <c r="AA468" s="21">
        <v>86</v>
      </c>
      <c r="AB468" s="20" t="s">
        <v>6560</v>
      </c>
      <c r="AC468" s="21">
        <v>28</v>
      </c>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20" t="s">
        <v>46</v>
      </c>
      <c r="M470" s="21">
        <v>2520</v>
      </c>
      <c r="N470" s="20" t="s">
        <v>1677</v>
      </c>
      <c r="O470" s="21">
        <v>1268</v>
      </c>
      <c r="P470" s="20" t="s">
        <v>151</v>
      </c>
      <c r="Q470" s="21">
        <v>850</v>
      </c>
      <c r="R470" s="20" t="s">
        <v>152</v>
      </c>
      <c r="S470" s="21">
        <v>575</v>
      </c>
      <c r="T470" s="20" t="s">
        <v>153</v>
      </c>
      <c r="U470" s="21">
        <v>421</v>
      </c>
      <c r="V470" s="20" t="s">
        <v>6556</v>
      </c>
      <c r="W470" s="21">
        <v>275</v>
      </c>
      <c r="X470" s="20" t="s">
        <v>6557</v>
      </c>
      <c r="Y470" s="21">
        <v>129</v>
      </c>
      <c r="Z470" s="20" t="s">
        <v>8454</v>
      </c>
      <c r="AA470" s="21">
        <v>86</v>
      </c>
      <c r="AB470" s="20" t="s">
        <v>6560</v>
      </c>
      <c r="AC470" s="21">
        <v>28</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8564</v>
      </c>
      <c r="M472" s="21">
        <v>1930</v>
      </c>
      <c r="N472" s="20" t="s">
        <v>7169</v>
      </c>
      <c r="O472" s="21">
        <v>1003</v>
      </c>
      <c r="P472" s="20" t="s">
        <v>108</v>
      </c>
      <c r="Q472" s="21">
        <v>615</v>
      </c>
      <c r="R472" s="20" t="s">
        <v>1321</v>
      </c>
      <c r="S472" s="21">
        <v>278</v>
      </c>
      <c r="T472" s="20" t="s">
        <v>4716</v>
      </c>
      <c r="U472" s="21">
        <v>112</v>
      </c>
      <c r="V472" s="20" t="s">
        <v>29</v>
      </c>
      <c r="W472" s="21">
        <v>28</v>
      </c>
      <c r="X472" s="20" t="s">
        <v>8565</v>
      </c>
      <c r="Y472" s="21">
        <v>232</v>
      </c>
      <c r="Z472" s="20" t="s">
        <v>8566</v>
      </c>
      <c r="AA472" s="21">
        <v>232</v>
      </c>
      <c r="AB472" s="20" t="s">
        <v>7224</v>
      </c>
      <c r="AC472" s="21">
        <v>413</v>
      </c>
      <c r="AD472" s="20" t="s">
        <v>3516</v>
      </c>
      <c r="AE472" s="21">
        <v>232</v>
      </c>
    </row>
    <row r="473" spans="1:35" ht="28.5" customHeight="1" thickBot="1">
      <c r="A473" s="111"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1"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8543</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8554</v>
      </c>
      <c r="AI474" s="21">
        <v>834</v>
      </c>
    </row>
    <row r="475" spans="1:35" ht="28.5" customHeight="1" thickBot="1">
      <c r="A475" s="111" t="s">
        <v>8532</v>
      </c>
      <c r="E475" s="8" t="s">
        <v>8538</v>
      </c>
      <c r="F475" s="7" t="str">
        <f t="shared" si="18"/>
        <v>gift-codes.html?game=瑞利昂：NPC的生存記</v>
      </c>
      <c r="G475" s="8" t="s">
        <v>8539</v>
      </c>
      <c r="H475" s="8" t="str">
        <f t="shared" si="19"/>
        <v>https://www.ssbuy.tw/game-detail.html?game=瑞利昂：NPC的生存記</v>
      </c>
      <c r="I475" s="9" t="s">
        <v>8546</v>
      </c>
      <c r="J475" s="15" t="s">
        <v>5418</v>
      </c>
      <c r="K475" s="37" t="s">
        <v>5446</v>
      </c>
      <c r="L475" s="20" t="s">
        <v>8542</v>
      </c>
      <c r="M475" s="21">
        <v>2099</v>
      </c>
      <c r="N475" s="20" t="s">
        <v>8165</v>
      </c>
      <c r="O475" s="21">
        <v>1087</v>
      </c>
      <c r="P475" s="20" t="s">
        <v>6503</v>
      </c>
      <c r="Q475" s="21">
        <v>666</v>
      </c>
      <c r="R475" s="20" t="s">
        <v>3551</v>
      </c>
      <c r="S475" s="21">
        <v>249</v>
      </c>
      <c r="T475" s="20" t="s">
        <v>7560</v>
      </c>
      <c r="U475" s="21">
        <v>103</v>
      </c>
      <c r="V475" s="20" t="s">
        <v>3625</v>
      </c>
      <c r="W475" s="21">
        <v>26</v>
      </c>
      <c r="X475" s="20"/>
      <c r="Y475" s="21"/>
      <c r="Z475" s="20"/>
      <c r="AA475" s="21"/>
      <c r="AB475" s="20"/>
      <c r="AC475" s="21"/>
    </row>
    <row r="476" spans="1:35" ht="28.5" customHeight="1" thickBot="1">
      <c r="A476" s="111" t="s">
        <v>8533</v>
      </c>
      <c r="C476" s="7" t="s">
        <v>8540</v>
      </c>
      <c r="E476" s="8" t="s">
        <v>8541</v>
      </c>
      <c r="F476" s="7" t="str">
        <f t="shared" si="18"/>
        <v>gift-codes.html?game=拉蒂亞的骰子之旅</v>
      </c>
      <c r="G476" s="8" t="s">
        <v>8545</v>
      </c>
      <c r="H476" s="8" t="str">
        <f t="shared" si="19"/>
        <v>https://www.ssbuy.tw/game-detail.html?game=拉蒂亞的骰子之旅</v>
      </c>
      <c r="I476" s="9" t="s">
        <v>8544</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8639</v>
      </c>
      <c r="Y476" s="21">
        <v>283</v>
      </c>
      <c r="Z476" s="20" t="s">
        <v>5953</v>
      </c>
      <c r="AA476" s="21">
        <v>146</v>
      </c>
      <c r="AB476" s="20" t="s">
        <v>5954</v>
      </c>
      <c r="AC476" s="21">
        <v>28</v>
      </c>
    </row>
    <row r="477" spans="1:35" ht="28.5" customHeight="1" thickBot="1">
      <c r="A477" s="111" t="s">
        <v>8585</v>
      </c>
      <c r="C477" s="7" t="s">
        <v>8588</v>
      </c>
      <c r="D477" s="8" t="s">
        <v>8589</v>
      </c>
      <c r="E477" s="8" t="s">
        <v>8586</v>
      </c>
      <c r="F477" s="7" t="str">
        <f t="shared" si="18"/>
        <v>gift-codes.html?game=ISEKAI GATE</v>
      </c>
      <c r="G477" s="8" t="s">
        <v>8587</v>
      </c>
      <c r="H477" s="8" t="str">
        <f t="shared" si="19"/>
        <v>https://www.ssbuy.tw/game-detail.html?game=ISEKAI GATE</v>
      </c>
      <c r="I477" s="9" t="s">
        <v>8597</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8639</v>
      </c>
      <c r="Y477" s="21">
        <v>283</v>
      </c>
      <c r="Z477" s="20" t="s">
        <v>5953</v>
      </c>
      <c r="AA477" s="21">
        <v>146</v>
      </c>
      <c r="AB477" s="20" t="s">
        <v>5954</v>
      </c>
      <c r="AC477" s="21">
        <v>28</v>
      </c>
    </row>
    <row r="478" spans="1:35" ht="28.5" customHeight="1" thickBot="1">
      <c r="A478" s="111" t="s">
        <v>8603</v>
      </c>
      <c r="C478" s="7" t="s">
        <v>8606</v>
      </c>
      <c r="E478" s="8" t="s">
        <v>8607</v>
      </c>
      <c r="F478" s="7" t="str">
        <f t="shared" si="18"/>
        <v>gift-codes.html?game=燃燒紀元：摸魚拯救世界</v>
      </c>
      <c r="G478" s="8" t="s">
        <v>8608</v>
      </c>
      <c r="H478" s="8" t="str">
        <f t="shared" si="19"/>
        <v>https://www.ssbuy.tw/game-detail.html?game=燃燒紀元：摸魚拯救世界</v>
      </c>
      <c r="I478" s="9" t="s">
        <v>8620</v>
      </c>
      <c r="J478" s="15" t="s">
        <v>5418</v>
      </c>
      <c r="K478" s="37" t="s">
        <v>5446</v>
      </c>
      <c r="L478" s="20" t="s">
        <v>8629</v>
      </c>
      <c r="M478" s="21">
        <v>2496</v>
      </c>
      <c r="N478" s="20" t="s">
        <v>8630</v>
      </c>
      <c r="O478" s="21">
        <v>1256</v>
      </c>
      <c r="P478" s="20" t="s">
        <v>8631</v>
      </c>
      <c r="Q478" s="21">
        <v>834</v>
      </c>
      <c r="R478" s="20" t="s">
        <v>8632</v>
      </c>
      <c r="S478" s="21">
        <v>582</v>
      </c>
      <c r="T478" s="20" t="s">
        <v>8633</v>
      </c>
      <c r="U478" s="21">
        <v>413</v>
      </c>
      <c r="V478" s="20" t="s">
        <v>8634</v>
      </c>
      <c r="W478" s="21">
        <v>270</v>
      </c>
      <c r="X478" s="20" t="s">
        <v>8635</v>
      </c>
      <c r="Y478" s="21">
        <v>103</v>
      </c>
      <c r="Z478" s="20" t="s">
        <v>8636</v>
      </c>
      <c r="AA478" s="21">
        <v>77</v>
      </c>
      <c r="AB478" s="20" t="s">
        <v>8637</v>
      </c>
      <c r="AC478" s="21">
        <v>52</v>
      </c>
    </row>
    <row r="479" spans="1:35" ht="28.5" customHeight="1" thickBot="1">
      <c r="A479" s="111" t="s">
        <v>8604</v>
      </c>
      <c r="C479" s="7" t="s">
        <v>8613</v>
      </c>
      <c r="F479" s="7" t="str">
        <f t="shared" si="18"/>
        <v>gift-codes.html?game=暗影紀元：魔幻冒險之旅</v>
      </c>
      <c r="G479" s="8" t="s">
        <v>8616</v>
      </c>
      <c r="H479" s="8" t="str">
        <f t="shared" si="19"/>
        <v>https://www.ssbuy.tw/game-detail.html?game=暗影紀元：魔幻冒險之旅</v>
      </c>
      <c r="I479" s="9" t="s">
        <v>8622</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8639</v>
      </c>
      <c r="Y479" s="21">
        <v>283</v>
      </c>
      <c r="Z479" s="20" t="s">
        <v>5953</v>
      </c>
      <c r="AA479" s="21">
        <v>146</v>
      </c>
      <c r="AB479" s="20" t="s">
        <v>5954</v>
      </c>
      <c r="AC479" s="21">
        <v>28</v>
      </c>
    </row>
    <row r="480" spans="1:35" ht="28.5" customHeight="1" thickBot="1">
      <c r="A480" s="111" t="s">
        <v>8605</v>
      </c>
      <c r="C480" s="7" t="s">
        <v>8609</v>
      </c>
      <c r="D480" s="8" t="s">
        <v>8610</v>
      </c>
      <c r="E480" s="8" t="s">
        <v>8612</v>
      </c>
      <c r="F480" s="7" t="str">
        <f t="shared" si="18"/>
        <v>gift-codes.html?game=青丘世界：緣起</v>
      </c>
      <c r="G480" s="8" t="s">
        <v>8611</v>
      </c>
      <c r="H480" s="8" t="str">
        <f t="shared" si="19"/>
        <v>https://www.ssbuy.tw/game-detail.html?game=青丘世界：緣起</v>
      </c>
      <c r="I480" s="9" t="s">
        <v>8621</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8639</v>
      </c>
      <c r="Y480" s="21">
        <v>283</v>
      </c>
      <c r="Z480" s="20" t="s">
        <v>5953</v>
      </c>
      <c r="AA480" s="21">
        <v>146</v>
      </c>
      <c r="AB480" s="20" t="s">
        <v>5954</v>
      </c>
      <c r="AC480" s="21">
        <v>28</v>
      </c>
    </row>
    <row r="481" spans="1:29" ht="28.5" customHeight="1" thickBot="1">
      <c r="A481" s="111" t="s">
        <v>8638</v>
      </c>
      <c r="D481" s="8" t="s">
        <v>8618</v>
      </c>
      <c r="E481" s="8" t="s">
        <v>8618</v>
      </c>
      <c r="F481" s="7" t="str">
        <f t="shared" si="18"/>
        <v>gift-codes.html?game=集團雄兵：疾風作戰</v>
      </c>
      <c r="G481" s="8" t="s">
        <v>8617</v>
      </c>
      <c r="H481" s="8" t="str">
        <f t="shared" si="19"/>
        <v>https://www.ssbuy.tw/game-detail.html?game=集團雄兵：疾風作戰</v>
      </c>
      <c r="I481" s="9" t="s">
        <v>8623</v>
      </c>
      <c r="J481" s="15" t="s">
        <v>5418</v>
      </c>
      <c r="K481" s="37" t="s">
        <v>5446</v>
      </c>
      <c r="L481" s="20" t="s">
        <v>8624</v>
      </c>
      <c r="M481" s="21">
        <v>2496</v>
      </c>
      <c r="N481" s="20" t="s">
        <v>8625</v>
      </c>
      <c r="O481" s="21">
        <v>1256</v>
      </c>
      <c r="P481" s="20" t="s">
        <v>8626</v>
      </c>
      <c r="Q481" s="21">
        <v>582</v>
      </c>
      <c r="R481" s="20" t="s">
        <v>62</v>
      </c>
      <c r="S481" s="21">
        <v>270</v>
      </c>
      <c r="T481" s="20" t="s">
        <v>8627</v>
      </c>
      <c r="U481" s="21">
        <v>278</v>
      </c>
      <c r="V481" s="20" t="s">
        <v>8628</v>
      </c>
      <c r="W481" s="21">
        <v>565</v>
      </c>
      <c r="X481" s="20"/>
      <c r="Y481" s="21"/>
      <c r="Z481" s="20"/>
      <c r="AA481" s="21"/>
      <c r="AB481" s="20"/>
      <c r="AC481" s="21"/>
    </row>
    <row r="482" spans="1:29" ht="28.5" customHeight="1">
      <c r="F482" s="7" t="str">
        <f t="shared" si="18"/>
        <v/>
      </c>
      <c r="H482" s="8" t="str">
        <f t="shared" si="19"/>
        <v/>
      </c>
    </row>
    <row r="483" spans="1:29" ht="28.5" customHeight="1">
      <c r="F483" s="7" t="str">
        <f t="shared" si="18"/>
        <v/>
      </c>
      <c r="H483" s="8" t="str">
        <f t="shared" si="19"/>
        <v/>
      </c>
    </row>
    <row r="484" spans="1:29" ht="28.5" customHeight="1">
      <c r="F484" s="7" t="str">
        <f t="shared" si="18"/>
        <v/>
      </c>
      <c r="H484" s="8" t="str">
        <f t="shared" si="19"/>
        <v/>
      </c>
    </row>
    <row r="485" spans="1:29" ht="28.5" customHeight="1">
      <c r="F485" s="7" t="str">
        <f t="shared" si="18"/>
        <v/>
      </c>
      <c r="H485" s="8" t="str">
        <f t="shared" si="19"/>
        <v/>
      </c>
    </row>
    <row r="486" spans="1:29" ht="28.5" customHeight="1">
      <c r="F486" s="7" t="str">
        <f t="shared" si="18"/>
        <v/>
      </c>
      <c r="H486" s="8" t="str">
        <f t="shared" si="19"/>
        <v/>
      </c>
    </row>
    <row r="487" spans="1:29" ht="28.5" customHeight="1">
      <c r="F487" s="7" t="str">
        <f t="shared" si="18"/>
        <v/>
      </c>
      <c r="H487" s="8" t="str">
        <f t="shared" si="19"/>
        <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O452" activePane="bottomRight" state="frozen"/>
      <selection pane="topRight" activeCell="B1" sqref="B1"/>
      <selection pane="bottomLeft" activeCell="A2" sqref="A2"/>
      <selection pane="bottomRight" activeCell="W464" sqref="W464"/>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5"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6"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7"/>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18"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19"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0"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1"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8581</v>
      </c>
      <c r="AG449" s="5" t="s">
        <v>8582</v>
      </c>
      <c r="AI449" s="5" t="s">
        <v>8583</v>
      </c>
      <c r="AK449" s="5" t="s">
        <v>8584</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8656</v>
      </c>
      <c r="AM459" s="5" t="s">
        <v>8657</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8572</v>
      </c>
      <c r="U461" s="5" t="s">
        <v>8573</v>
      </c>
      <c r="W461" s="5" t="s">
        <v>8574</v>
      </c>
      <c r="Y461" s="5" t="s">
        <v>8658</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1"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29"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29"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29"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29"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8571</v>
      </c>
      <c r="O468" s="5" t="s">
        <v>8649</v>
      </c>
      <c r="Q468" s="5" t="s">
        <v>8650</v>
      </c>
      <c r="S468" s="5" t="s">
        <v>8651</v>
      </c>
      <c r="U468" s="5" t="s">
        <v>8652</v>
      </c>
      <c r="W468" s="5" t="s">
        <v>8653</v>
      </c>
      <c r="Y468" s="5" t="s">
        <v>1933</v>
      </c>
      <c r="AA468" s="5" t="s">
        <v>8654</v>
      </c>
      <c r="AC468" s="5" t="s">
        <v>8655</v>
      </c>
    </row>
    <row r="469" spans="1:29"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8643</v>
      </c>
      <c r="T469" s="38" t="s">
        <v>8644</v>
      </c>
      <c r="U469" s="5" t="s">
        <v>8645</v>
      </c>
      <c r="W469" s="5" t="s">
        <v>8646</v>
      </c>
      <c r="Y469" s="5" t="s">
        <v>8647</v>
      </c>
      <c r="AA469" s="5" t="s">
        <v>8648</v>
      </c>
    </row>
    <row r="470" spans="1:29"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8568</v>
      </c>
      <c r="G470" s="2" t="s">
        <v>8569</v>
      </c>
      <c r="H470" s="49" t="s">
        <v>6995</v>
      </c>
      <c r="K470" s="98" t="s">
        <v>5502</v>
      </c>
      <c r="L470" s="49" t="s">
        <v>5503</v>
      </c>
      <c r="M470" s="5" t="s">
        <v>8567</v>
      </c>
      <c r="O470" s="5" t="s">
        <v>8570</v>
      </c>
    </row>
    <row r="471" spans="1:29"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8579</v>
      </c>
      <c r="G471" s="2" t="s">
        <v>8580</v>
      </c>
      <c r="H471" s="49" t="s">
        <v>6995</v>
      </c>
      <c r="K471" s="98" t="s">
        <v>5502</v>
      </c>
      <c r="L471" s="49" t="s">
        <v>5503</v>
      </c>
      <c r="M471" s="5" t="s">
        <v>8578</v>
      </c>
    </row>
    <row r="472" spans="1:29"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29"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8575</v>
      </c>
      <c r="G473" s="2" t="s">
        <v>8576</v>
      </c>
      <c r="H473" s="2" t="s">
        <v>8577</v>
      </c>
      <c r="I473" s="49" t="s">
        <v>6995</v>
      </c>
      <c r="K473" s="98" t="s">
        <v>5502</v>
      </c>
      <c r="L473" s="49" t="s">
        <v>5503</v>
      </c>
      <c r="M473" s="5" t="s">
        <v>8504</v>
      </c>
      <c r="O473" s="5" t="s">
        <v>8505</v>
      </c>
      <c r="Q473" s="5" t="s">
        <v>8506</v>
      </c>
      <c r="S473" s="5" t="s">
        <v>8507</v>
      </c>
      <c r="U473" s="5" t="s">
        <v>8508</v>
      </c>
      <c r="W473" s="5" t="s">
        <v>8509</v>
      </c>
    </row>
    <row r="474" spans="1:29"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29"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29"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29"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8600</v>
      </c>
      <c r="G477" s="2" t="s">
        <v>8601</v>
      </c>
      <c r="H477" s="115" t="s">
        <v>8602</v>
      </c>
      <c r="I477" s="49" t="s">
        <v>6995</v>
      </c>
      <c r="K477" s="98" t="s">
        <v>5502</v>
      </c>
      <c r="L477" s="49" t="s">
        <v>5503</v>
      </c>
      <c r="M477" s="5" t="s">
        <v>8590</v>
      </c>
      <c r="O477" s="5" t="s">
        <v>8591</v>
      </c>
      <c r="Q477" s="5" t="s">
        <v>8592</v>
      </c>
      <c r="S477" s="5" t="s">
        <v>8593</v>
      </c>
      <c r="U477" s="5" t="s">
        <v>8594</v>
      </c>
      <c r="W477" s="5" t="s">
        <v>8595</v>
      </c>
      <c r="Y477" s="5" t="s">
        <v>8596</v>
      </c>
      <c r="AA477" s="5" t="s">
        <v>8598</v>
      </c>
      <c r="AC477" s="5" t="s">
        <v>8599</v>
      </c>
    </row>
    <row r="478" spans="1:29"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K478" s="98" t="s">
        <v>5502</v>
      </c>
      <c r="L478" s="49" t="s">
        <v>5503</v>
      </c>
    </row>
    <row r="479" spans="1:29"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K479" s="98" t="s">
        <v>5502</v>
      </c>
      <c r="L479" s="49" t="s">
        <v>5503</v>
      </c>
      <c r="M479" s="5" t="s">
        <v>8614</v>
      </c>
      <c r="O479" s="5" t="s">
        <v>2318</v>
      </c>
      <c r="Q479" s="5" t="s">
        <v>8615</v>
      </c>
      <c r="S479" s="5" t="s">
        <v>3166</v>
      </c>
    </row>
    <row r="480" spans="1:29"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K480" s="98" t="s">
        <v>5502</v>
      </c>
      <c r="L480" s="49" t="s">
        <v>5503</v>
      </c>
      <c r="M480" s="5" t="s">
        <v>5279</v>
      </c>
    </row>
    <row r="481" spans="1:13"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K481" s="98" t="s">
        <v>5502</v>
      </c>
      <c r="L481" s="49" t="s">
        <v>5503</v>
      </c>
      <c r="M481" s="5" t="s">
        <v>8619</v>
      </c>
    </row>
    <row r="482" spans="1:13" ht="28.5" customHeight="1">
      <c r="A482" s="65" t="str">
        <f>IF(games!A482="", "", games!A482)</f>
        <v/>
      </c>
      <c r="C482" s="49" t="str">
        <f t="shared" si="20"/>
        <v/>
      </c>
      <c r="D482" s="49" t="str">
        <f t="shared" si="21"/>
        <v/>
      </c>
      <c r="E482" s="89" t="str">
        <f>IF(games!I482&lt;&gt;"", games!I482, "")</f>
        <v/>
      </c>
    </row>
    <row r="483" spans="1:13" ht="28.5" customHeight="1">
      <c r="A483" s="65" t="str">
        <f>IF(games!A483="", "", games!A483)</f>
        <v/>
      </c>
      <c r="C483" s="49" t="str">
        <f t="shared" si="20"/>
        <v/>
      </c>
      <c r="D483" s="49" t="str">
        <f t="shared" si="21"/>
        <v/>
      </c>
      <c r="E483" s="89" t="str">
        <f>IF(games!I483&lt;&gt;"", games!I483, "")</f>
        <v/>
      </c>
    </row>
    <row r="484" spans="1:13" ht="28.5" customHeight="1">
      <c r="A484" s="65" t="str">
        <f>IF(games!A484="", "", games!A484)</f>
        <v/>
      </c>
      <c r="C484" s="49" t="str">
        <f t="shared" si="20"/>
        <v/>
      </c>
      <c r="D484" s="49" t="str">
        <f t="shared" si="21"/>
        <v/>
      </c>
      <c r="E484" s="89" t="str">
        <f>IF(games!I484&lt;&gt;"", games!I484, "")</f>
        <v/>
      </c>
    </row>
    <row r="485" spans="1:13" ht="28.5" customHeight="1">
      <c r="A485" s="65" t="str">
        <f>IF(games!A485="", "", games!A485)</f>
        <v/>
      </c>
      <c r="C485" s="49" t="str">
        <f t="shared" si="20"/>
        <v/>
      </c>
      <c r="D485" s="49" t="str">
        <f t="shared" si="21"/>
        <v/>
      </c>
      <c r="E485" s="89" t="str">
        <f>IF(games!I485&lt;&gt;"", games!I485, "")</f>
        <v/>
      </c>
    </row>
    <row r="486" spans="1:13" ht="28.5" customHeight="1">
      <c r="A486" s="65" t="str">
        <f>IF(games!A486="", "", games!A486)</f>
        <v/>
      </c>
      <c r="C486" s="49" t="str">
        <f t="shared" si="20"/>
        <v/>
      </c>
      <c r="D486" s="49" t="str">
        <f t="shared" si="21"/>
        <v/>
      </c>
      <c r="E486" s="89" t="str">
        <f>IF(games!I486&lt;&gt;"", games!I486, "")</f>
        <v/>
      </c>
    </row>
    <row r="487" spans="1:13" ht="28.5" customHeight="1">
      <c r="A487" s="65" t="str">
        <f>IF(games!A487="", "", games!A487)</f>
        <v/>
      </c>
      <c r="C487" s="49" t="str">
        <f t="shared" si="20"/>
        <v/>
      </c>
      <c r="D487" s="49" t="str">
        <f t="shared" si="21"/>
        <v/>
      </c>
      <c r="E487" s="89" t="str">
        <f>IF(games!I487&lt;&gt;"", games!I487, "")</f>
        <v/>
      </c>
    </row>
    <row r="488" spans="1:13" ht="28.5" customHeight="1">
      <c r="A488" s="65" t="str">
        <f>IF(games!A488="", "", games!A488)</f>
        <v/>
      </c>
      <c r="C488" s="49" t="str">
        <f t="shared" si="20"/>
        <v/>
      </c>
      <c r="D488" s="49" t="str">
        <f t="shared" si="21"/>
        <v/>
      </c>
      <c r="E488" s="89" t="str">
        <f>IF(games!I488&lt;&gt;"", games!I488, "")</f>
        <v/>
      </c>
    </row>
    <row r="489" spans="1:13" ht="28.5" customHeight="1">
      <c r="A489" s="65" t="str">
        <f>IF(games!A489="", "", games!A489)</f>
        <v/>
      </c>
      <c r="C489" s="49" t="str">
        <f t="shared" si="20"/>
        <v/>
      </c>
      <c r="D489" s="49" t="str">
        <f t="shared" si="21"/>
        <v/>
      </c>
      <c r="E489" s="89" t="str">
        <f>IF(games!I489&lt;&gt;"", games!I489, "")</f>
        <v/>
      </c>
    </row>
    <row r="490" spans="1:13" ht="28.5" customHeight="1">
      <c r="A490" s="65" t="str">
        <f>IF(games!A490="", "", games!A490)</f>
        <v/>
      </c>
      <c r="C490" s="49" t="str">
        <f t="shared" si="20"/>
        <v/>
      </c>
      <c r="D490" s="49" t="str">
        <f t="shared" si="21"/>
        <v/>
      </c>
      <c r="E490" s="89" t="str">
        <f>IF(games!I490&lt;&gt;"", games!I490, "")</f>
        <v/>
      </c>
    </row>
    <row r="491" spans="1:13" ht="28.5" customHeight="1">
      <c r="A491" s="65" t="str">
        <f>IF(games!A491="", "", games!A491)</f>
        <v/>
      </c>
      <c r="C491" s="49" t="str">
        <f t="shared" si="20"/>
        <v/>
      </c>
      <c r="D491" s="49" t="str">
        <f t="shared" si="21"/>
        <v/>
      </c>
      <c r="E491" s="89" t="str">
        <f>IF(games!I491&lt;&gt;"", games!I491, "")</f>
        <v/>
      </c>
    </row>
    <row r="492" spans="1:13" ht="28.5" customHeight="1">
      <c r="A492" s="65" t="str">
        <f>IF(games!A492="", "", games!A492)</f>
        <v/>
      </c>
      <c r="C492" s="49" t="str">
        <f t="shared" si="20"/>
        <v/>
      </c>
      <c r="D492" s="49" t="str">
        <f t="shared" si="21"/>
        <v/>
      </c>
      <c r="E492" s="89" t="str">
        <f>IF(games!I492&lt;&gt;"", games!I492, "")</f>
        <v/>
      </c>
    </row>
    <row r="493" spans="1:13" ht="28.5" customHeight="1">
      <c r="A493" s="65" t="str">
        <f>IF(games!A493="", "", games!A493)</f>
        <v/>
      </c>
      <c r="C493" s="49" t="str">
        <f t="shared" si="20"/>
        <v/>
      </c>
      <c r="D493" s="49" t="str">
        <f t="shared" si="21"/>
        <v/>
      </c>
      <c r="E493" s="89" t="str">
        <f>IF(games!I493&lt;&gt;"", games!I493, "")</f>
        <v/>
      </c>
    </row>
    <row r="494" spans="1:13" ht="28.5" customHeight="1">
      <c r="A494" s="65" t="str">
        <f>IF(games!A494="", "", games!A494)</f>
        <v/>
      </c>
      <c r="C494" s="49" t="str">
        <f t="shared" si="20"/>
        <v/>
      </c>
      <c r="D494" s="49" t="str">
        <f t="shared" si="21"/>
        <v/>
      </c>
      <c r="E494" s="89" t="str">
        <f>IF(games!I494&lt;&gt;"", games!I494, "")</f>
        <v/>
      </c>
    </row>
    <row r="495" spans="1:13" ht="28.5" customHeight="1">
      <c r="A495" s="65" t="str">
        <f>IF(games!A495="", "", games!A495)</f>
        <v/>
      </c>
      <c r="C495" s="49" t="str">
        <f t="shared" si="20"/>
        <v/>
      </c>
      <c r="D495" s="49" t="str">
        <f t="shared" si="21"/>
        <v/>
      </c>
      <c r="E495" s="89" t="str">
        <f>IF(games!I495&lt;&gt;"", games!I495, "")</f>
        <v/>
      </c>
    </row>
    <row r="496" spans="1:13"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s>
  <pageMargins left="0.7" right="0.7" top="0.75" bottom="0.75" header="0.3" footer="0.3"/>
  <pageSetup paperSize="9" orientation="portrait" r:id="rId22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2026-05-08T11:23:53Z</dcterms:modified>
</cp:coreProperties>
</file>