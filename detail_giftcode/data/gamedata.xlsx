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<sst xmlns="http://schemas.openxmlformats.org/spreadsheetml/2006/main" count="8554" uniqueCount="5834">
  <si>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</si>
  <si>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</si>
  <si>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</si>
  <si>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</si>
  <si>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</si>
  <si>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</si>
  <si>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</si>
  <si>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</si>
  <si>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</si>
  <si>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</si>
  <si>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</si>
  <si>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</si>
  <si>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</si>
  <si>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</si>
  <si>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</si>
  <si>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</si>
  <si>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</si>
  <si>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</si>
  <si>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</si>
  <si>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</si>
  <si>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</si>
  <si>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</si>
  <si>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</si>
  <si>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</si>
  <si>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</si>
  <si>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</si>
  <si>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</si>
  <si>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</si>
  <si>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</si>
  <si>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</si>
  <si>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</si>
  <si>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</si>
  <si>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</si>
  <si>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</si>
  <si>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</si>
  <si>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</si>
  <si>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</si>
  <si>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</si>
  <si>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</si>
  <si>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</si>
  <si>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</si>
  <si>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</si>
  <si>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</si>
  <si>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</si>
  <si>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</si>
  <si>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</si>
  <si>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</si>
  <si>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</si>
  <si>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</si>
  <si>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</si>
  <si>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</si>
  <si>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</si>
  <si>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</si>
  <si>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</si>
  <si>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</si>
  <si>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</si>
  <si>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</si>
  <si>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</si>
  <si>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</si>
  <si>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</si>
  <si>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</si>
  <si>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</si>
  <si>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</si>
  <si>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</si>
  <si>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</si>
  <si>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</si>
  <si>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</si>
  <si>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</si>
  <si>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</si>
  <si>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</si>
  <si>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</si>
  <si>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</si>
  <si>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</si>
  <si>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</si>
  <si>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</si>
  <si>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</si>
  <si>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</si>
  <si>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</si>
  <si>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</si>
  <si>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</si>
  <si>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</si>
  <si>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</si>
  <si>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</si>
  <si>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</si>
  <si>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</si>
  <si>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</si>
  <si>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</si>
  <si>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</si>
  <si>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</si>
  <si>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</si>
  <si>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</si>
  <si>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</si>
  <si>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</si>
  <si>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</si>
  <si>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</si>
  <si>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</si>
  <si>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</si>
  <si>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</si>
  <si>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</si>
  <si>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</si>
  <si>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</si>
  <si>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</si>
  <si>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</si>
  <si>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</si>
  <si>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</si>
  <si>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</si>
  <si>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</si>
  <si>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</si>
  <si>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</si>
  <si>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</si>
  <si>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</si>
  <si>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</si>
  <si>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</si>
  <si>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</si>
  <si>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</si>
  <si>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</si>
  <si>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</si>
  <si>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</si>
  <si>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</si>
  <si>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</si>
  <si>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</si>
  <si>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</si>
  <si>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</si>
  <si>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</si>
  <si>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</si>
  <si>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</si>
  <si>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</si>
  <si>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</si>
  <si>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</si>
  <si>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</si>
  <si>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</si>
  <si>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</si>
  <si>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</si>
  <si>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</si>
  <si>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</si>
  <si>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</si>
  <si>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</si>
  <si>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</si>
  <si>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</si>
  <si>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</si>
  <si>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</si>
  <si>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</si>
  <si>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</si>
  <si>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</si>
  <si>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</si>
  <si>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</si>
  <si>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</si>
  <si>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</si>
  <si>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</si>
  <si>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</si>
  <si>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</si>
  <si>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</si>
  <si>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</si>
  <si>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</si>
  <si>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</si>
  <si>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</si>
  <si>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</si>
  <si>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</si>
  <si>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</si>
  <si>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</si>
  <si>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</si>
  <si>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</si>
  <si>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</si>
  <si>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</si>
  <si>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</si>
  <si>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</si>
  <si>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</si>
  <si>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</si>
  <si>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</si>
  <si>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</si>
  <si>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</si>
  <si>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</si>
  <si>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</si>
  <si>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</si>
  <si>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</si>
  <si>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</si>
  <si>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</si>
  <si>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</si>
  <si>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</si>
  <si>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</si>
  <si>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</si>
  <si>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</si>
  <si>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</si>
  <si>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</si>
  <si>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</si>
  <si>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</si>
  <si>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</si>
  <si>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</si>
  <si>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</si>
  <si>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</si>
  <si>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</si>
  <si>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</si>
  <si>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</si>
  <si>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</si>
  <si>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</si>
  <si>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</si>
  <si>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</si>
  <si>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</si>
  <si>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</si>
  <si>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</si>
  <si>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</si>
  <si>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</si>
  <si>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</si>
  <si>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</si>
  <si>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</si>
  <si>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</si>
  <si>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</si>
  <si>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</si>
  <si>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</si>
  <si>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</si>
  <si>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</si>
  <si>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</si>
  <si>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</si>
  <si>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</si>
  <si>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</si>
  <si>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</si>
  <si>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</si>
  <si>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</si>
  <si>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</si>
  <si>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</si>
  <si>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</si>
  <si>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</si>
  <si>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</si>
  <si>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</si>
  <si>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</si>
  <si>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</si>
  <si>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</si>
  <si>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</si>
  <si>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</si>
  <si>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</si>
  <si>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</si>
  <si>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</si>
  <si>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</si>
  <si>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</si>
  <si>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</si>
  <si>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</si>
  <si>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</si>
  <si>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</si>
  <si>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</si>
  <si>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</si>
  <si>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</si>
  <si>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</si>
  <si>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</si>
  <si>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</si>
  <si>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</si>
  <si>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</si>
  <si>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</si>
  <si>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</si>
  <si>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</si>
  <si>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</si>
  <si>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</si>
  <si>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</si>
  <si>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</si>
  <si>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</si>
  <si>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</si>
  <si>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</si>
  <si>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</si>
  <si>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</si>
  <si>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</si>
  <si>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</si>
  <si>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</si>
  <si>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</si>
  <si>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</si>
  <si>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</si>
  <si>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</si>
  <si>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</si>
  <si>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</si>
  <si>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</si>
  <si>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</si>
  <si>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</si>
  <si>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</si>
  <si>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</si>
  <si>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</si>
  <si>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</si>
  <si>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</si>
  <si>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</si>
  <si>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</si>
  <si>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</si>
  <si>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</si>
  <si>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</si>
  <si>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</si>
  <si>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</si>
  <si>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</si>
  <si>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</si>
  <si>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</si>
  <si>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</si>
  <si>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</si>
  <si>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</si>
  <si>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</si>
  <si>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</si>
  <si>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</si>
  <si>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</si>
  <si>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</si>
  <si>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</si>
  <si>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</si>
  <si>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</si>
  <si>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</si>
  <si>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</si>
  <si>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</si>
  <si>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</si>
  <si>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</si>
  <si>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</si>
  <si>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</si>
  <si>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</si>
  <si>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</si>
  <si>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</si>
  <si>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</si>
  <si>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</si>
  <si>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</si>
  <si>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</si>
  <si>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</si>
  <si>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</si>
  <si>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</si>
  <si>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</si>
  <si>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</si>
  <si>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</si>
  <si>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</si>
  <si>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</si>
  <si>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</si>
  <si>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</si>
  <si>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</si>
  <si>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</si>
  <si>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</si>
  <si>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</si>
  <si>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</si>
  <si>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</si>
  <si>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</si>
  <si>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</si>
  <si>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</si>
  <si>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</si>
  <si>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</si>
  <si>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</si>
  <si>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</si>
  <si>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</si>
  <si>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</si>
  <si>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</si>
  <si>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</si>
  <si>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</si>
  <si>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</si>
  <si>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</si>
  <si>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</si>
  <si>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</si>
  <si>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</si>
  <si>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</si>
  <si>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</si>
  <si>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</si>
  <si>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</si>
  <si>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</si>
  <si>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</si>
  <si>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</si>
  <si>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</si>
  <si>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</si>
  <si>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</si>
  <si>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</si>
  <si>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</si>
  <si>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</si>
  <si>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</si>
  <si>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</si>
  <si>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</si>
  <si>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</si>
  <si>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</si>
  <si>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</si>
  <si>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</si>
  <si>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</si>
  <si>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</si>
  <si>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</si>
  <si>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</si>
  <si>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</si>
  <si>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</si>
  <si>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</si>
  <si>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</si>
  <si>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</si>
  <si>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</si>
  <si>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</si>
  <si>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</si>
  <si>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</si>
  <si>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</si>
  <si>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</si>
  <si>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</si>
  <si>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</si>
  <si>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</si>
  <si>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</si>
  <si>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</si>
  <si>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</si>
  <si>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</si>
  <si>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</si>
  <si>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</si>
  <si>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</si>
  <si>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</si>
  <si>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</si>
  <si>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</si>
  <si>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</si>
  <si>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</si>
  <si>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</si>
  <si>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</si>
  <si>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</si>
  <si>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</si>
  <si>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</si>
  <si>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</si>
  <si>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</si>
  <si>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</si>
  <si>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</si>
  <si>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</si>
  <si>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</si>
  <si>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</si>
  <si>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</si>
  <si>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</si>
  <si>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</si>
  <si>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</si>
  <si>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</si>
  <si>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</si>
  <si>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</si>
  <si>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</si>
  <si>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</si>
  <si>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</si>
  <si>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</si>
  <si>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</si>
  <si>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</si>
  <si>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</si>
  <si>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</si>
  <si>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</si>
  <si>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</si>
  <si>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</si>
  <si>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</si>
  <si>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</si>
  <si>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</si>
  <si>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</si>
  <si>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</si>
  <si>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</si>
  <si>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</si>
  <si>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</si>
  <si>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</si>
  <si>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</si>
  <si>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</si>
  <si>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</si>
  <si>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</si>
  <si>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</si>
  <si>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</si>
  <si>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</si>
  <si>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</si>
  <si>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</si>
  <si>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</si>
  <si>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</si>
  <si>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</si>
  <si>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</si>
  <si>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</si>
  <si>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</si>
  <si>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</si>
  <si>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</si>
  <si>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</si>
  <si>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</si>
  <si>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</si>
  <si>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</si>
  <si>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</si>
  <si>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</si>
  <si>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</si>
  <si>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</si>
  <si>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</si>
  <si>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</si>
  <si>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</si>
  <si>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</si>
  <si>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</si>
  <si>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</si>
  <si>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</si>
  <si>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</si>
  <si>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</si>
  <si>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</si>
  <si>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</si>
  <si>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</si>
  <si>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</si>
  <si>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</si>
  <si>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</si>
  <si>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</si>
  <si>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</si>
  <si>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</si>
  <si>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</si>
  <si>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</si>
  <si>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</si>
  <si>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</si>
  <si>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</si>
  <si>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</si>
  <si>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</si>
  <si>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</si>
  <si>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</si>
  <si>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</si>
  <si>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</si>
  <si>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</si>
  <si>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</si>
  <si>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</si>
  <si>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</si>
  <si>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</si>
  <si>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</si>
  <si>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</si>
  <si>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</si>
  <si>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</si>
  <si>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</si>
  <si>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</si>
  <si>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</si>
  <si>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</si>
  <si>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</si>
  <si>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</si>
  <si>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</si>
  <si>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</si>
  <si>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</si>
  <si>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</si>
  <si>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</si>
  <si>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</si>
  <si>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</si>
  <si>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</si>
  <si>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</si>
  <si>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</si>
  <si>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</si>
  <si>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</si>
  <si>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</si>
  <si>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</si>
  <si>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</si>
  <si>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</si>
  <si>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</si>
  <si>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</si>
  <si>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</si>
  <si>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</si>
  <si>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</si>
  <si>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</si>
  <si>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</si>
  <si>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</si>
  <si>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</si>
  <si>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</si>
  <si>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</si>
  <si>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</si>
  <si>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</si>
  <si>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</si>
  <si>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</si>
  <si>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</si>
  <si>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</si>
  <si>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</si>
  <si>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</si>
  <si>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</si>
  <si>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</si>
  <si>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</si>
  <si>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</si>
  <si>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</si>
  <si>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</si>
  <si>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</si>
  <si>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</si>
  <si>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</si>
  <si>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</si>
  <si>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</si>
  <si>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</si>
  <si>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</si>
  <si>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</si>
  <si>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</si>
  <si>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</si>
  <si>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</si>
  <si>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</si>
  <si>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</si>
  <si>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</si>
  <si>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</si>
  <si>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</si>
  <si>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</si>
  <si>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</si>
  <si>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</si>
  <si>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</si>
  <si>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</si>
  <si>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</si>
  <si>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</si>
  <si>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</si>
  <si>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</si>
  <si>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</si>
  <si>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</si>
  <si>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</si>
  <si>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</si>
  <si>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</si>
  <si>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</si>
  <si>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</si>
  <si>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</si>
  <si>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</si>
  <si>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</si>
  <si>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</si>
  <si>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</si>
  <si>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</si>
  <si>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</si>
  <si>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</si>
  <si>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</si>
  <si>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</si>
  <si>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</si>
  <si>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</si>
  <si>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</si>
  <si>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</si>
  <si>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</si>
  <si>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</si>
  <si>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</si>
  <si>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</si>
  <si>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</si>
  <si>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</si>
  <si>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</si>
  <si>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</si>
  <si>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</si>
  <si>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</si>
  <si>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</si>
  <si>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</si>
  <si>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</si>
  <si>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</si>
  <si>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</si>
  <si>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</si>
  <si>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</si>
  <si>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</si>
  <si>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</si>
  <si>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</si>
  <si>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</si>
  <si>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</si>
  <si>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</si>
  <si>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</si>
  <si>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</si>
  <si>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</si>
  <si>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</si>
  <si>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</si>
  <si>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</si>
  <si>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</si>
  <si>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</si>
  <si>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</si>
  <si>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</si>
  <si>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</si>
  <si>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</si>
  <si>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</si>
  <si>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</si>
  <si>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</si>
  <si>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</si>
  <si>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</si>
  <si>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</si>
  <si>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</si>
  <si>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</si>
  <si>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</si>
  <si>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</si>
  <si>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</si>
  <si>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</si>
  <si>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</si>
  <si>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</si>
  <si>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</si>
  <si>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</si>
  <si>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</si>
  <si>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</si>
  <si>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</si>
  <si>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</si>
  <si>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</si>
  <si>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</si>
  <si>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</si>
  <si>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</si>
  <si>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</si>
  <si>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</si>
  <si>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</si>
  <si>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</si>
  <si>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</si>
  <si>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</si>
  <si>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</si>
  <si>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</si>
  <si>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</si>
  <si>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</si>
  <si>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</si>
  <si>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</si>
  <si>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</si>
  <si>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</si>
  <si>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</si>
  <si>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</si>
  <si>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</si>
  <si>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</si>
  <si>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</si>
  <si>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</si>
  <si>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</si>
  <si>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</si>
  <si>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</si>
  <si>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</si>
  <si>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</si>
  <si>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</si>
  <si>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</si>
  <si>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</si>
  <si>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</si>
  <si>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</si>
  <si>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</si>
  <si>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</si>
  <si>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</si>
  <si>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</si>
  <si>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</si>
  <si>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</si>
  <si>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</si>
  <si>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</si>
  <si>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</si>
  <si>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</si>
  <si>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</si>
  <si>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</si>
  <si>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</si>
  <si>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</si>
  <si>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</si>
  <si>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</si>
  <si>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</si>
  <si>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</si>
  <si>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</si>
  <si>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</si>
  <si>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</si>
  <si>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</si>
  <si>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</si>
  <si>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</si>
  <si>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</si>
  <si>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</si>
  <si>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</si>
  <si>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</si>
  <si>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</si>
  <si>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</si>
  <si>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</si>
  <si>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</si>
  <si>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</si>
  <si>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</si>
  <si>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</si>
  <si>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</si>
  <si>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</si>
  <si>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</si>
  <si>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</si>
  <si>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</si>
  <si>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</si>
  <si>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</si>
  <si>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</si>
  <si>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</si>
  <si>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</si>
  <si>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</si>
  <si>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</si>
  <si>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</si>
  <si>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</si>
  <si>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</si>
  <si>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</si>
  <si>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</si>
  <si>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</si>
  <si>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</si>
  <si>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</si>
  <si>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</si>
  <si>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</si>
  <si>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</si>
  <si>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</si>
  <si>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</si>
  <si>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</si>
  <si>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</si>
  <si>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</si>
  <si>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</si>
  <si>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</si>
  <si>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</si>
  <si>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</si>
  <si>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</si>
  <si>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</si>
  <si>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</si>
  <si>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</si>
  <si>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</si>
  <si>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</si>
  <si>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</si>
  <si>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</si>
  <si>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</si>
  <si>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</si>
  <si>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</si>
  <si>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</si>
  <si>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</si>
  <si>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</si>
  <si>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</si>
  <si>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</si>
  <si>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</si>
  <si>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</si>
  <si>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</si>
  <si>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</si>
  <si>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</si>
  <si>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</si>
  <si>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</si>
  <si>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</si>
  <si>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</si>
  <si>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</si>
  <si>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</si>
  <si>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</si>
  <si>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</si>
  <si>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</si>
  <si>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</si>
  <si>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</si>
  <si>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</si>
  <si>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</si>
  <si>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</si>
  <si>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</si>
  <si>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</si>
  <si>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</si>
  <si>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</si>
  <si>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</si>
  <si>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</si>
  <si>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</si>
  <si>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</si>
  <si>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</si>
  <si>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</si>
  <si>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</si>
  <si>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</si>
  <si>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</si>
  <si>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</si>
  <si>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</si>
  <si>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</si>
  <si>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</si>
  <si>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</si>
  <si>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</si>
  <si>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</si>
  <si>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</si>
  <si>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</si>
  <si>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</si>
  <si>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</si>
  <si>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</si>
  <si>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</si>
  <si>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</si>
  <si>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</si>
  <si>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</si>
  <si>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</si>
  <si>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</si>
  <si>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</si>
  <si>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</si>
  <si>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</si>
  <si>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</si>
  <si>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</si>
  <si>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</si>
  <si>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</si>
  <si>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</si>
  <si>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</si>
  <si>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</si>
  <si>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</si>
  <si>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</si>
  <si>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</si>
  <si>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</si>
  <si>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</si>
  <si>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</si>
  <si>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</si>
  <si>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</si>
  <si>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</si>
  <si>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</si>
  <si>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</si>
  <si>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</si>
  <si>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</si>
  <si>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</si>
  <si>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</si>
  <si>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</si>
  <si>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</si>
  <si>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</si>
  <si>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</si>
  <si>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</si>
  <si>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</si>
  <si>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</si>
  <si>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</si>
  <si>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</si>
  <si>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</si>
  <si>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</si>
  <si>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</si>
  <si>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</si>
  <si>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</si>
  <si>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</si>
  <si>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</si>
  <si>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</si>
  <si>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</si>
  <si>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</si>
  <si>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</si>
  <si>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</si>
  <si>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</si>
  <si>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</si>
  <si>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</si>
  <si>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</si>
  <si>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</si>
  <si>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</si>
  <si>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</si>
  <si>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</si>
  <si>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</si>
  <si>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</si>
  <si>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</si>
  <si>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</si>
  <si>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</si>
  <si>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</si>
  <si>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</si>
  <si>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</si>
  <si>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</si>
  <si>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</si>
  <si>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</si>
  <si>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</si>
  <si>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</si>
  <si>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</si>
  <si>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</si>
  <si>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</si>
  <si>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</si>
  <si>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</si>
  <si>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</si>
  <si>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</si>
  <si>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</si>
  <si>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</si>
  <si>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</si>
  <si>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</si>
  <si>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</si>
  <si>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</si>
  <si>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</si>
  <si>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</si>
  <si>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</si>
  <si>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</si>
  <si>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</si>
  <si>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</si>
  <si>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</si>
  <si>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</si>
  <si>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</si>
  <si>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</si>
  <si>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</si>
  <si>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</si>
  <si>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</si>
  <si>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</si>
  <si>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</si>
  <si>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</si>
  <si>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</si>
  <si>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</si>
  <si>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</si>
  <si>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</si>
  <si>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</si>
  <si>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</si>
  <si>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</si>
  <si>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</si>
  <si>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</si>
  <si>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</si>
  <si>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</si>
  <si>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</si>
  <si>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</si>
  <si>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</si>
  <si>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</si>
  <si>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</si>
  <si>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</si>
  <si>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</si>
  <si>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</si>
  <si>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</si>
  <si>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</si>
  <si>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</si>
  <si>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</si>
  <si>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</si>
  <si>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</si>
  <si>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</si>
  <si>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</si>
  <si>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</si>
  <si>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</si>
  <si>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</si>
  <si>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</si>
  <si>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</si>
  <si>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</si>
  <si>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</si>
  <si>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</si>
  <si>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</si>
  <si>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</si>
  <si>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</si>
  <si>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</si>
  <si>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</si>
  <si>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</si>
  <si>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</si>
  <si>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</si>
  <si>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</si>
  <si>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</si>
  <si>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</si>
  <si>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</si>
  <si>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</si>
  <si>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</si>
  <si>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</si>
  <si>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</si>
  <si>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</si>
  <si>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</si>
  <si>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</si>
  <si>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</si>
  <si>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</si>
  <si>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</si>
  <si>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</si>
  <si>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</si>
  <si>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</si>
  <si>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</si>
  <si>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</si>
  <si>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</si>
  <si>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</si>
  <si>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</si>
  <si>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</si>
  <si>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</si>
  <si>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</si>
  <si>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</si>
  <si>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</si>
  <si>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</si>
  <si>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</si>
  <si>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</si>
  <si>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</si>
  <si>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</si>
  <si>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</si>
  <si>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</si>
  <si>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</si>
  <si>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</si>
  <si>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</si>
  <si>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</si>
  <si>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</si>
  <si>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</si>
  <si>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</si>
  <si>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</si>
  <si>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</si>
  <si>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</si>
  <si>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</si>
  <si>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</si>
  <si>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</si>
  <si>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</si>
  <si>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</si>
  <si>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</si>
  <si>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</si>
  <si>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</si>
  <si>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</si>
  <si>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</si>
  <si>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</si>
  <si>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</si>
  <si>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</si>
  <si>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</si>
  <si>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</si>
  <si>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</si>
  <si>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</si>
  <si>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</si>
  <si>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</si>
  <si>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</si>
  <si>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</si>
  <si>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</si>
  <si>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</si>
  <si>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</si>
  <si>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</si>
  <si>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</si>
  <si>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</si>
  <si>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</si>
  <si>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</si>
  <si>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</si>
  <si>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</si>
  <si>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</si>
  <si>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</si>
  <si>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</si>
  <si>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</si>
  <si>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</si>
  <si>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</si>
  <si>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</si>
  <si>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</si>
  <si>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</si>
  <si>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</si>
  <si>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</si>
  <si>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</si>
  <si>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</si>
  <si>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</si>
  <si>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</si>
  <si>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</si>
  <si>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</si>
  <si>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</si>
  <si>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</si>
  <si>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</si>
  <si>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</si>
  <si>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</si>
  <si>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</si>
  <si>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</si>
  <si>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</si>
  <si>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</si>
  <si>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</si>
  <si>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</si>
  <si>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</si>
  <si>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</si>
  <si>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</si>
  <si>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</si>
  <si>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</si>
  <si>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</si>
  <si>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</si>
  <si>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</si>
  <si>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</si>
  <si>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</si>
  <si>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</si>
  <si>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</si>
  <si>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</si>
  <si>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</si>
  <si>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</si>
  <si>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</si>
  <si>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</si>
  <si>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</si>
  <si>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</si>
  <si>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</si>
  <si>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</si>
  <si>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</si>
  <si>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</si>
  <si>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</si>
  <si>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</si>
  <si>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</si>
  <si>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</si>
  <si>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</si>
  <si>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</si>
  <si>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</si>
  <si>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</si>
  <si>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</si>
  <si>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</si>
  <si>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</si>
  <si>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</si>
  <si>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</si>
  <si>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</si>
  <si>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</si>
  <si>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</si>
  <si>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</si>
  <si>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</si>
  <si>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</si>
  <si>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</si>
  <si>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</si>
  <si>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</si>
  <si>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</si>
  <si>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</si>
  <si>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</si>
  <si>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</si>
  <si>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</si>
  <si>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</si>
  <si>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</si>
  <si>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</si>
  <si>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</si>
  <si>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</si>
  <si>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</si>
  <si>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</si>
  <si>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</si>
  <si>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</si>
  <si>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</si>
  <si>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</si>
  <si>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</si>
  <si>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</si>
  <si>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</si>
  <si>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</si>
  <si>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</si>
  <si>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</si>
  <si>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</si>
  <si>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</si>
  <si>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</si>
  <si>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</si>
  <si>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</si>
  <si>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</si>
  <si>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</si>
  <si>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</si>
  <si>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</si>
  <si>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</si>
  <si>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</si>
  <si>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</si>
  <si>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</si>
  <si>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</si>
  <si>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</si>
  <si>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</si>
  <si>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</si>
  <si>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</si>
  <si>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</si>
  <si>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</si>
  <si>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</si>
  <si>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</si>
  <si>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</si>
  <si>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</si>
  <si>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</si>
  <si>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</si>
  <si>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</si>
  <si>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</si>
  <si>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</si>
  <si>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</si>
  <si>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</si>
  <si>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</si>
  <si>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</si>
  <si>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</si>
  <si>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</si>
  <si>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</si>
  <si>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</si>
  <si>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</si>
  <si>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</si>
  <si>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</si>
  <si>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</si>
  <si>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</si>
  <si>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</si>
  <si>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</si>
  <si>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</si>
  <si>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</si>
  <si>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</si>
  <si>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</si>
  <si>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</si>
  <si>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</si>
  <si>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</si>
  <si>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</si>
  <si>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</si>
  <si>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</si>
  <si>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</si>
  <si>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</si>
  <si>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</si>
  <si>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</si>
  <si>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</si>
  <si>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</si>
  <si>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</si>
  <si>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</si>
  <si>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</si>
  <si>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</si>
  <si>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</si>
  <si>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</si>
  <si>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</si>
  <si>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</si>
  <si>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</si>
  <si>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</si>
  <si>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</si>
  <si>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</si>
  <si>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</si>
  <si>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</si>
  <si>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</si>
  <si>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</si>
  <si>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</si>
  <si>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</si>
  <si>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</si>
  <si>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</si>
  <si>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</si>
  <si>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</si>
  <si>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</si>
  <si>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</si>
  <si>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</si>
  <si>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</si>
  <si>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</si>
  <si>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</si>
  <si>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</si>
  <si>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</si>
  <si>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</si>
  <si>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</si>
  <si>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</si>
  <si>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</si>
  <si>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</si>
  <si>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</si>
  <si>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</si>
  <si>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</si>
  <si>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</si>
  <si>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</si>
  <si>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</si>
  <si>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</si>
  <si>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</si>
  <si>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</si>
  <si>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</si>
  <si>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</si>
  <si>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</si>
  <si>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</si>
  <si>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</si>
  <si>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</si>
  <si>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</si>
  <si>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</si>
  <si>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</si>
  <si>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</si>
  <si>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</si>
  <si>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</si>
  <si>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</si>
  <si>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</si>
  <si>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</si>
  <si>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</si>
  <si>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</si>
  <si>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</si>
  <si>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</si>
  <si>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</si>
  <si>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</si>
  <si>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</si>
  <si>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</si>
  <si>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</si>
  <si>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</si>
  <si>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</si>
  <si>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</si>
  <si>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</si>
  <si>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</si>
  <si>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</si>
  <si>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</si>
  <si>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</si>
  <si>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</si>
  <si>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</si>
  <si>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</si>
  <si>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</si>
  <si>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</si>
  <si>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</si>
  <si>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</si>
  <si>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</si>
  <si>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</si>
  <si>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</si>
  <si>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</si>
  <si>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</si>
  <si>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</si>
  <si>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</si>
  <si>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</si>
  <si>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</si>
  <si>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</si>
  <si>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</si>
  <si>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</si>
  <si>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</si>
  <si>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</si>
  <si>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</si>
  <si>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</si>
  <si>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</si>
  <si>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</si>
  <si>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</si>
  <si>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</si>
  <si>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</si>
  <si>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</si>
  <si>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</si>
  <si>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</si>
  <si>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</si>
  <si>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</si>
  <si>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</si>
  <si>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</si>
  <si>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</si>
  <si>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</si>
  <si>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</si>
  <si>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</si>
  <si>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</si>
  <si>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</si>
  <si>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</si>
  <si>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</si>
  <si>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</si>
  <si>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</si>
  <si>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</si>
  <si>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</si>
  <si>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</si>
  <si>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</si>
  <si>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</si>
  <si>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</si>
  <si>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</si>
  <si>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</si>
  <si>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</si>
  <si>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</si>
  <si>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</si>
  <si>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</si>
  <si>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</si>
  <si>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</si>
  <si>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</si>
  <si>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</si>
  <si>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</si>
  <si>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</si>
  <si>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</si>
  <si>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</si>
  <si>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</si>
  <si>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</si>
  <si>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</si>
  <si>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</si>
  <si>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</si>
  <si>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</si>
  <si>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</si>
  <si>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</si>
  <si>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</si>
  <si>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</si>
  <si>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</si>
  <si>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</si>
  <si>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</si>
  <si>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</si>
  <si>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</si>
  <si>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</si>
  <si>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</si>
  <si>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</si>
  <si>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</si>
  <si>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</si>
  <si>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</si>
  <si>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</si>
  <si>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</si>
  <si>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</si>
  <si>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</si>
  <si>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</si>
  <si>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</si>
  <si>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</si>
  <si>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</si>
  <si>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</si>
  <si>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</si>
  <si>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</si>
  <si>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</si>
  <si>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</si>
  <si>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</si>
  <si>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</si>
  <si>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</si>
  <si>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</si>
  <si>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</si>
  <si>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</si>
  <si>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</si>
  <si>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</si>
  <si>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</si>
  <si>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</si>
  <si>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</si>
  <si>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</si>
  <si>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</si>
  <si>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</si>
  <si>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</si>
  <si>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</si>
  <si>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</si>
  <si>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</si>
  <si>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</si>
  <si>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</si>
  <si>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</si>
  <si>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</si>
  <si>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</si>
  <si>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</si>
  <si>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</si>
  <si>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</si>
  <si>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</si>
  <si>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</si>
  <si>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</si>
  <si>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</si>
  <si>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</si>
  <si>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</si>
  <si>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</si>
  <si>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</si>
  <si>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</si>
  <si>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</si>
  <si>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</si>
  <si>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</si>
  <si>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</si>
  <si>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</si>
  <si>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</si>
  <si>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</si>
  <si>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</si>
  <si>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</si>
  <si>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</si>
  <si>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</si>
  <si>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</si>
  <si>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</si>
  <si>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</si>
  <si>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</si>
  <si>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</si>
  <si>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</si>
  <si>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</si>
  <si>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</si>
  <si>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</si>
  <si>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</si>
  <si>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</si>
  <si>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</si>
  <si>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</si>
  <si>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</si>
  <si>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</si>
  <si>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</si>
  <si>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</si>
  <si>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</si>
  <si>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</si>
  <si>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</si>
  <si>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</si>
  <si>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</si>
  <si>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</si>
  <si>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</si>
  <si>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</si>
  <si>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</si>
  <si>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</si>
  <si>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</si>
  <si>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</si>
  <si>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</si>
  <si>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</si>
  <si>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</si>
  <si>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</si>
  <si>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</si>
  <si>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</si>
  <si>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</si>
  <si>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</si>
  <si>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</si>
  <si>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</si>
  <si>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</si>
  <si>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</si>
  <si>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</si>
  <si>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</si>
  <si>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</si>
  <si>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</si>
  <si>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</si>
  <si>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</si>
  <si>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</si>
  <si>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</si>
  <si>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</si>
  <si>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</si>
  <si>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</si>
  <si>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</si>
  <si>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</si>
  <si>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</si>
  <si>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</si>
  <si>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</si>
  <si>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</si>
  <si>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</si>
  <si>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</si>
  <si>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</si>
  <si>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</si>
  <si>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</si>
  <si>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</si>
  <si>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</si>
  <si>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</si>
  <si>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</si>
  <si>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</si>
  <si>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</si>
  <si>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</si>
  <si>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</si>
  <si>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</si>
  <si>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</si>
  <si>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</si>
  <si>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</si>
  <si>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</si>
  <si>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</si>
  <si>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</si>
  <si>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</si>
  <si>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</si>
  <si>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</si>
  <si>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</si>
  <si>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</si>
  <si>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</si>
  <si>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</si>
  <si>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</si>
  <si>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</si>
  <si>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</si>
  <si>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</si>
  <si>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</si>
  <si>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</si>
  <si>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</si>
  <si>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</si>
  <si>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</si>
  <si>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</si>
  <si>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</si>
  <si>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</si>
  <si>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</si>
  <si>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</si>
  <si>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</si>
  <si>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</si>
  <si>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</si>
  <si>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</si>
  <si>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</si>
  <si>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</si>
  <si>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</si>
  <si>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</si>
  <si>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</si>
  <si>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</si>
  <si>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</si>
  <si>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</si>
  <si>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</si>
  <si>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</si>
  <si>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</si>
  <si>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</si>
  <si>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</si>
  <si>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</si>
  <si>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</si>
  <si>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</si>
  <si>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</si>
  <si>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</si>
  <si>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</si>
  <si>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</si>
  <si>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</si>
  <si>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</si>
  <si>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</si>
  <si>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</si>
  <si>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</si>
  <si>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</si>
  <si>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</si>
  <si>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</si>
  <si>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</si>
  <si>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</si>
  <si>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</si>
  <si>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</si>
  <si>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</si>
  <si>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</si>
  <si>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</si>
  <si>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</si>
  <si>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</si>
  <si>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</si>
  <si>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</si>
  <si>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</si>
  <si>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</si>
  <si>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</si>
  <si>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</si>
  <si>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</si>
  <si>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</si>
  <si>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</si>
  <si>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</si>
  <si>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</si>
  <si>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</si>
  <si>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</si>
  <si>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</si>
  <si>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</si>
  <si>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</si>
  <si>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</si>
  <si>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</si>
  <si>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</si>
  <si>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</si>
  <si>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</si>
  <si>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</si>
  <si>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</si>
  <si>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</si>
  <si>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</si>
  <si>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</si>
  <si>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</si>
  <si>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</si>
  <si>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</si>
  <si>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</si>
  <si>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</si>
  <si>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</si>
  <si>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</si>
  <si>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</si>
  <si>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</si>
  <si>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</si>
  <si>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</si>
  <si>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</si>
  <si>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</si>
  <si>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</si>
  <si>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</si>
  <si>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</si>
  <si>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</si>
  <si>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</si>
  <si>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</si>
  <si>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</si>
  <si>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</si>
  <si>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</si>
  <si>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</si>
  <si>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</si>
  <si>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</si>
  <si>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</si>
  <si>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</si>
  <si>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</si>
  <si>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</si>
  <si>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</si>
  <si>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</si>
  <si>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</si>
  <si>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</si>
  <si>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</si>
  <si>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</si>
  <si>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</si>
  <si>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</si>
  <si>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</si>
  <si>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</si>
  <si>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</si>
  <si>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</si>
  <si>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</si>
  <si>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</si>
  <si>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</si>
  <si>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</si>
  <si>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</si>
  <si>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</si>
  <si>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</si>
  <si>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</si>
  <si>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</si>
  <si>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</si>
  <si>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</si>
  <si>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</si>
  <si>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</si>
  <si>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</si>
  <si>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</si>
  <si>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</si>
  <si>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</si>
  <si>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</si>
  <si>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</si>
  <si>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</si>
  <si>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</si>
  <si>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</si>
  <si>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</si>
  <si>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</si>
  <si>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</si>
  <si>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</si>
  <si>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</si>
  <si>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</si>
  <si>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</si>
  <si>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</si>
  <si>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</si>
  <si>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</si>
  <si>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</si>
  <si>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</si>
  <si>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</si>
  <si>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</si>
  <si>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</si>
  <si>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</si>
  <si>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</si>
  <si>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</si>
  <si>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</si>
  <si>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</si>
  <si>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</si>
  <si>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</si>
  <si>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</si>
  <si>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</si>
  <si>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</si>
  <si>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</si>
  <si>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</si>
  <si>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</si>
  <si>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</si>
  <si>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</si>
  <si>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</si>
  <si>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</si>
  <si>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</si>
  <si>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</si>
  <si>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</si>
  <si>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</si>
  <si>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</si>
  <si>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</si>
  <si>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</si>
  <si>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</si>
  <si>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</si>
  <si>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</si>
  <si>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</si>
  <si>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</si>
  <si>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</si>
  <si>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</si>
  <si>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</si>
  <si>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</si>
  <si>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</si>
  <si>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</si>
  <si>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</si>
  <si>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</si>
  <si>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</si>
  <si>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</si>
  <si>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</si>
  <si>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</si>
  <si>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</si>
  <si>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</si>
  <si>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</si>
  <si>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</si>
  <si>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</si>
  <si>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</si>
  <si>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</si>
  <si>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</si>
  <si>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</si>
  <si>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</si>
  <si>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</si>
  <si>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</si>
  <si>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</si>
  <si>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</si>
  <si>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</si>
  <si>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</si>
  <si>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</si>
  <si>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</si>
  <si>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</si>
  <si>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</si>
  <si>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</si>
  <si>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</si>
  <si>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</si>
  <si>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</si>
  <si>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</si>
  <si>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</si>
  <si>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</si>
  <si>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</si>
  <si>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</si>
  <si>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</si>
  <si>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</si>
  <si>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</si>
  <si>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</si>
  <si>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</si>
  <si>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</si>
  <si>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</si>
  <si>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</si>
  <si>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</si>
  <si>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</si>
  <si>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</si>
  <si>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</si>
  <si>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</si>
  <si>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</si>
  <si>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</si>
  <si>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</si>
  <si>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</si>
  <si>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</si>
  <si>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</si>
  <si>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</si>
  <si>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</si>
  <si>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</si>
  <si>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</si>
  <si>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</si>
  <si>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</si>
  <si>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</si>
  <si>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</si>
  <si>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</si>
  <si>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</si>
  <si>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</si>
  <si>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</si>
  <si>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</si>
  <si>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</si>
  <si>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</si>
  <si>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</si>
  <si>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</si>
  <si>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</si>
  <si>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</si>
  <si>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</si>
  <si>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</si>
  <si>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</si>
  <si>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</si>
  <si>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</si>
  <si>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</si>
  <si>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</si>
  <si>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</si>
  <si>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</si>
  <si>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</si>
  <si>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</si>
  <si>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</si>
  <si>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</si>
  <si>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</si>
  <si>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</si>
  <si>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</si>
  <si>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</si>
  <si>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</si>
  <si>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</si>
  <si>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</si>
  <si>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</si>
  <si>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</si>
  <si>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</si>
  <si>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</si>
  <si>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</si>
  <si>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</si>
  <si>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</si>
  <si>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</si>
  <si>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</si>
  <si>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</si>
  <si>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</si>
  <si>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</si>
  <si>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</si>
  <si>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</si>
  <si>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</si>
  <si>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</si>
  <si>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</si>
  <si>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</si>
  <si>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</si>
  <si>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</si>
  <si>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</si>
  <si>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</si>
  <si>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</si>
  <si>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</si>
  <si>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</si>
  <si>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</si>
  <si>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</si>
  <si>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</si>
  <si>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</si>
  <si>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</si>
  <si>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</si>
  <si>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</si>
  <si>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</si>
  <si>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</si>
  <si>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</si>
  <si>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</si>
  <si>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</si>
  <si>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</si>
  <si>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</si>
  <si>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</si>
  <si>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</si>
  <si>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</si>
  <si>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</si>
  <si>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</si>
  <si>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</si>
  <si>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</si>
  <si>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</si>
  <si>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</si>
  <si>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</si>
  <si>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</si>
  <si>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</si>
  <si>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</si>
  <si>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</si>
  <si>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</si>
  <si>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</si>
  <si>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</si>
  <si>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</si>
  <si>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</si>
  <si>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</si>
  <si>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</si>
  <si>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</si>
  <si>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</si>
  <si>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</si>
  <si>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</si>
  <si>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</si>
  <si>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</si>
  <si>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</si>
  <si>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</si>
  <si>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</si>
  <si>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</si>
  <si>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</si>
  <si>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</si>
  <si>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</si>
  <si>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</si>
  <si>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</si>
  <si>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</si>
  <si>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</si>
  <si>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</si>
  <si>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</si>
  <si>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</si>
  <si>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</si>
  <si>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</si>
  <si>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</si>
  <si>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</si>
  <si>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</si>
  <si>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</si>
  <si>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</si>
  <si>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</si>
  <si>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</si>
  <si>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</si>
  <si>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</si>
  <si>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</si>
  <si>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</si>
  <si>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</si>
  <si>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</si>
  <si>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</si>
  <si>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</si>
  <si>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</si>
  <si>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</si>
  <si>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</si>
  <si>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</si>
  <si>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</si>
  <si>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</si>
  <si>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</si>
  <si>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</si>
  <si>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</si>
  <si>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</si>
  <si>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</si>
  <si>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</si>
  <si>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</si>
  <si>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</si>
  <si>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</si>
  <si>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</si>
  <si>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</si>
  <si>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</si>
  <si>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</si>
  <si>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</si>
  <si>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</si>
  <si>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</si>
  <si>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</si>
  <si>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</si>
  <si>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</si>
  <si>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</si>
  <si>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</si>
  <si>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</si>
  <si>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</si>
  <si>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</si>
  <si>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</si>
  <si>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</si>
  <si>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</si>
  <si>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</si>
  <si>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</si>
  <si>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</si>
  <si>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</si>
  <si>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</si>
  <si>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</si>
  <si>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</si>
  <si>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</si>
  <si>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</si>
  <si>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</si>
  <si>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</si>
  <si>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</si>
  <si>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</si>
  <si>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</si>
  <si>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</si>
  <si>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</si>
  <si>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</si>
  <si>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</si>
  <si>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</si>
  <si>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</si>
  <si>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</si>
  <si>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</si>
  <si>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</si>
  <si>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</si>
  <si>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</si>
  <si>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</si>
  <si>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</si>
  <si>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</si>
  <si>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</si>
  <si>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</si>
  <si>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</si>
  <si>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</si>
  <si>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</si>
  <si>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</si>
  <si>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</si>
  <si>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</si>
  <si>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</si>
  <si>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</si>
  <si>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</si>
  <si>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</si>
  <si>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</si>
  <si>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</si>
  <si>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</si>
  <si>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</si>
  <si>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</si>
  <si>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</si>
  <si>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</si>
  <si>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</si>
  <si>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</si>
  <si>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</si>
  <si>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</si>
  <si>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</si>
  <si>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</si>
  <si>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</si>
  <si>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</si>
  <si>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</si>
  <si>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</si>
  <si>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</si>
  <si>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</si>
  <si>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</si>
  <si>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</si>
  <si>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</si>
  <si>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</si>
  <si>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</si>
  <si>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</si>
  <si>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</si>
  <si>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</si>
  <si>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</si>
  <si>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</si>
  <si>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</si>
  <si>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</si>
  <si>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</si>
  <si>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</si>
  <si>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</si>
  <si>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</si>
  <si>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</si>
  <si>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</si>
  <si>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</si>
  <si>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</si>
  <si>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</si>
  <si>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</si>
  <si>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</si>
  <si>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</si>
  <si>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</si>
  <si>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</si>
  <si>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</si>
  <si>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</si>
  <si>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</si>
  <si>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</si>
  <si>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</si>
  <si>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</si>
  <si>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</si>
  <si>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</si>
  <si>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</si>
  <si>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</si>
  <si>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</si>
  <si>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</si>
  <si>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</si>
  <si>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</si>
  <si>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</si>
  <si>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</si>
  <si>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</si>
  <si>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</si>
  <si>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</si>
  <si>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</si>
  <si>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</si>
  <si>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</si>
  <si>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</si>
  <si>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</si>
  <si>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</si>
  <si>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</si>
  <si>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</si>
  <si>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</si>
  <si>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</si>
  <si>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</si>
  <si>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</si>
  <si>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</si>
  <si>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</si>
  <si>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</si>
  <si>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</si>
  <si>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</si>
  <si>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</si>
  <si>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</si>
  <si>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</si>
  <si>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</si>
  <si>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</si>
  <si>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</si>
  <si>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</si>
  <si>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</si>
  <si>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</si>
  <si>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</si>
  <si>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</si>
  <si>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</si>
  <si>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</si>
  <si>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</si>
  <si>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</si>
  <si>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</si>
  <si>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</si>
  <si>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</si>
  <si>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</si>
  <si>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</si>
  <si>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</si>
  <si>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</si>
  <si>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</si>
  <si>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</si>
  <si>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</si>
  <si>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</si>
  <si>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</si>
  <si>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</si>
  <si>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</si>
  <si>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</si>
  <si>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</si>
  <si>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</si>
  <si>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</si>
  <si>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</si>
  <si>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</si>
  <si>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</si>
  <si>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</si>
  <si>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</si>
  <si>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</si>
  <si>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</si>
  <si>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</si>
  <si>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</si>
  <si>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</si>
  <si>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</si>
  <si>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</si>
  <si>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</si>
  <si>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</si>
  <si>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</si>
  <si>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</si>
  <si>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</si>
  <si>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</si>
  <si>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</si>
  <si>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</si>
  <si>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</si>
  <si>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</si>
  <si>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</si>
  <si>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</si>
  <si>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</si>
  <si>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</si>
  <si>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</si>
  <si>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</si>
  <si>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</si>
  <si>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</si>
  <si>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</si>
  <si>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</si>
  <si>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</si>
  <si>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</si>
  <si>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</si>
  <si>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</si>
  <si>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</si>
  <si>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</si>
  <si>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</si>
  <si>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</si>
  <si>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</si>
  <si>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</si>
  <si>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</si>
  <si>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</si>
  <si>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</si>
  <si>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</si>
  <si>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</si>
  <si>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</si>
  <si>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</si>
  <si>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</si>
  <si>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</si>
  <si>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</si>
  <si>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</si>
  <si>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</si>
  <si>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</si>
  <si>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</si>
  <si>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</si>
  <si>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</si>
  <si>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</si>
  <si>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</si>
  <si>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</si>
  <si>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</si>
  <si>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</si>
  <si>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</si>
  <si>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</si>
  <si>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</si>
  <si>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</si>
  <si>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</si>
  <si>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</si>
  <si>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</si>
  <si>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</si>
  <si>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</si>
  <si>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</si>
  <si>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</si>
  <si>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</si>
  <si>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</si>
  <si>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</si>
  <si>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</si>
  <si>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</si>
  <si>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</si>
  <si>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</si>
  <si>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</si>
  <si>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</si>
  <si>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</si>
  <si>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</si>
  <si>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</si>
  <si>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</si>
  <si>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</si>
  <si>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</si>
  <si>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</si>
  <si>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</si>
  <si>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</si>
  <si>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</si>
  <si>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</si>
  <si>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</si>
  <si>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</si>
  <si>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</si>
  <si>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</si>
  <si>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</si>
  <si>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</si>
  <si>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</si>
  <si>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</si>
  <si>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</si>
  <si>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</si>
  <si>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</si>
  <si>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</si>
  <si>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</si>
  <si>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</si>
  <si>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</si>
  <si>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</si>
  <si>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</si>
  <si>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</si>
  <si>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</si>
  <si>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</si>
  <si>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</si>
  <si>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</si>
  <si>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</si>
  <si>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</si>
  <si>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</si>
  <si>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</si>
  <si>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</si>
  <si>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</si>
  <si>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</si>
  <si>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</si>
  <si>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</si>
  <si>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</si>
  <si>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</si>
  <si>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</si>
  <si>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</si>
  <si>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</si>
  <si>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</si>
  <si>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</si>
  <si>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</si>
  <si>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</si>
  <si>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</si>
  <si>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</si>
  <si>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</si>
  <si>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</si>
  <si>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</si>
  <si>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</si>
  <si>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</si>
  <si>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</si>
  <si>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</si>
  <si>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</si>
  <si>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</si>
  <si>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</si>
  <si>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</si>
  <si>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</si>
  <si>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</si>
  <si>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</si>
  <si>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</si>
  <si>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</si>
  <si>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</si>
  <si>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</si>
  <si>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</si>
  <si>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</si>
  <si>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</si>
  <si>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</si>
  <si>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</si>
  <si>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</si>
  <si>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</si>
  <si>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</si>
  <si>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</si>
  <si>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</si>
  <si>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</si>
  <si>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</si>
  <si>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</si>
  <si>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</si>
  <si>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</si>
  <si>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</si>
  <si>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</si>
  <si>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</si>
  <si>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</si>
  <si>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</si>
  <si>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</si>
  <si>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</si>
  <si>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</si>
  <si>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</si>
  <si>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</si>
  <si>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</si>
  <si>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</si>
  <si>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</si>
  <si>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</si>
  <si>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</si>
  <si>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</si>
  <si>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</si>
  <si>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</si>
  <si>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</si>
  <si>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</si>
  <si>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</si>
  <si>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</si>
  <si>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</si>
  <si>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</si>
  <si>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</si>
  <si>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</si>
  <si>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</si>
  <si>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</si>
  <si>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</si>
  <si>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</si>
  <si>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</si>
  <si>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</si>
  <si>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</si>
  <si>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</si>
  <si>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</si>
  <si>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</si>
  <si>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</si>
  <si>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</si>
  <si>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</si>
  <si>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</si>
  <si>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</si>
  <si>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</si>
  <si>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</si>
  <si>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</si>
  <si>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</si>
  <si>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</si>
  <si>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</si>
  <si>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</si>
  <si>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</si>
  <si>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</si>
  <si>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</si>
  <si>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</si>
  <si>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</si>
  <si>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</si>
  <si>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</si>
  <si>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</si>
  <si>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</si>
  <si>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</si>
  <si>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</si>
  <si>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</si>
  <si>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</si>
  <si>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</si>
  <si>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</si>
  <si>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</si>
  <si>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</si>
  <si>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</si>
  <si>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</si>
  <si>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</si>
  <si>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</si>
  <si>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</si>
  <si>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</si>
  <si>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</si>
  <si>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</si>
  <si>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</si>
  <si>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</si>
  <si>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</si>
  <si>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</si>
  <si>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</si>
  <si>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</si>
  <si>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</si>
  <si>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</si>
  <si>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</si>
  <si>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</si>
  <si>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</si>
  <si>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</si>
  <si>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</si>
  <si>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</si>
  <si>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</si>
  <si>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</si>
  <si>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</si>
  <si>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</si>
  <si>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</si>
  <si>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</si>
  <si>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</si>
  <si>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</si>
  <si>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</si>
  <si>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</si>
  <si>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</si>
  <si>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</si>
  <si>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</si>
  <si>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</si>
  <si>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</si>
  <si>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</si>
  <si>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</si>
  <si>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</si>
  <si>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</si>
  <si>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</si>
  <si>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</si>
  <si>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</si>
  <si>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</si>
  <si>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</si>
  <si>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</si>
  <si>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</si>
  <si>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</si>
  <si>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</si>
  <si>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</si>
  <si>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</si>
  <si>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</si>
  <si>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</si>
  <si>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</si>
  <si>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</si>
  <si>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</si>
  <si>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</si>
  <si>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</si>
  <si>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</si>
  <si>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</si>
  <si>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</si>
  <si>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</si>
  <si>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</si>
  <si>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</si>
  <si>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</si>
  <si>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</si>
  <si>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</si>
  <si>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</si>
  <si>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</si>
  <si>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</si>
  <si>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</si>
  <si>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</si>
  <si>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</si>
  <si>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</si>
  <si>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</si>
  <si>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</si>
  <si>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</si>
  <si>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</si>
  <si>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</si>
  <si>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</si>
  <si>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</si>
  <si>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</si>
  <si>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</si>
  <si>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</si>
  <si>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</si>
  <si>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</si>
  <si>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</si>
  <si>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</si>
  <si>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</si>
  <si>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</si>
  <si>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</si>
  <si>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</si>
  <si>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</si>
  <si>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</si>
  <si>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</si>
  <si>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</si>
  <si>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</si>
  <si>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</si>
  <si>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</si>
  <si>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</si>
  <si>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</si>
  <si>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</si>
  <si>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</si>
  <si>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</si>
  <si>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</si>
  <si>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</si>
  <si>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</si>
  <si>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</si>
  <si>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</si>
  <si>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</si>
  <si>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</si>
  <si>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</si>
  <si>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</si>
  <si>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</si>
  <si>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</si>
  <si>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</si>
  <si>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</si>
  <si>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</si>
  <si>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</si>
  <si>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</si>
  <si>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</si>
  <si>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</si>
  <si>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</si>
  <si>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</si>
  <si>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</si>
  <si>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</si>
  <si>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</si>
  <si>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</si>
  <si>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</si>
  <si>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</si>
  <si>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</si>
  <si>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</si>
  <si>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</si>
  <si>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</si>
  <si>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</si>
  <si>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</si>
  <si>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</si>
  <si>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</si>
  <si>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</si>
  <si>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</si>
  <si>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</si>
  <si>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</si>
  <si>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</si>
  <si>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</si>
  <si>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</si>
  <si>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</si>
  <si>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</si>
  <si>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</si>
  <si>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</si>
  <si>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</si>
  <si>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</si>
  <si>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</si>
  <si>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</si>
  <si>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</si>
  <si>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</si>
  <si>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</si>
  <si>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</si>
  <si>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</si>
  <si>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</si>
  <si>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</si>
  <si>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</si>
  <si>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</si>
  <si>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</si>
  <si>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</si>
  <si>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</si>
  <si>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</si>
  <si>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</si>
  <si>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</si>
  <si>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</si>
  <si>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</si>
  <si>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</si>
  <si>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</si>
  <si>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</si>
  <si>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</si>
  <si>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</si>
  <si>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</si>
  <si>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</si>
  <si>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</si>
  <si>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</si>
  <si>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</si>
  <si>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</si>
  <si>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</si>
  <si>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</si>
  <si>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</si>
  <si>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</si>
  <si>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</si>
  <si>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</si>
  <si>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</si>
  <si>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</si>
  <si>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</si>
  <si>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</si>
  <si>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</si>
  <si>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</si>
  <si>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</si>
  <si>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</si>
  <si>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</si>
  <si>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</si>
  <si>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</si>
  <si>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</si>
  <si>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</si>
  <si>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</si>
  <si>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</si>
  <si>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</si>
  <si>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</si>
  <si>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</si>
  <si>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</si>
  <si>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</si>
  <si>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</si>
  <si>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</si>
  <si>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</si>
  <si>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</si>
  <si>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</si>
  <si>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</si>
  <si>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</si>
  <si>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</si>
  <si>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</si>
  <si>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</si>
  <si>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</si>
  <si>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</si>
  <si>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</si>
  <si>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</si>
  <si>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</si>
  <si>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</si>
  <si>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</si>
  <si>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</si>
  <si>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</si>
  <si>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</si>
  <si>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</si>
  <si>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</si>
  <si>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</si>
  <si>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</si>
  <si>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</si>
  <si>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</si>
  <si>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</si>
  <si>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</si>
  <si>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</si>
  <si>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</si>
  <si>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</si>
  <si>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</si>
  <si>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</si>
  <si>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</si>
  <si>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</si>
  <si>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</si>
  <si>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</si>
  <si>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</si>
  <si>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</si>
  <si>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</si>
  <si>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</si>
  <si>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</si>
  <si>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</si>
  <si>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</si>
  <si>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</si>
  <si>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</si>
  <si>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</si>
  <si>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</si>
  <si>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</si>
  <si>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</si>
  <si>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</si>
  <si>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</si>
  <si>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</si>
  <si>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</si>
  <si>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</si>
  <si>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</si>
  <si>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</si>
  <si>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</si>
  <si>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</si>
  <si>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</si>
  <si>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</si>
  <si>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</si>
  <si>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</si>
  <si>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</si>
  <si>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</si>
  <si>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</si>
  <si>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</si>
  <si>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</si>
  <si>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</si>
  <si>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</si>
  <si>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</si>
  <si>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</si>
  <si>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</si>
  <si>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</si>
  <si>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</si>
  <si>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</si>
  <si>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</si>
  <si>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</si>
  <si>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</si>
  <si>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</si>
  <si>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</si>
  <si>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</si>
  <si>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</si>
  <si>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</si>
  <si>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</si>
  <si>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</si>
  <si>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</si>
  <si>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</si>
  <si>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</si>
  <si>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</si>
  <si>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</si>
  <si>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</si>
  <si>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</si>
  <si>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</si>
  <si>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</si>
  <si>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</si>
  <si>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</si>
  <si>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</si>
  <si>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</si>
  <si>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</si>
  <si>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</si>
  <si>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</si>
  <si>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</si>
  <si>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</si>
  <si>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</si>
  <si>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</si>
  <si>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</si>
  <si>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</si>
  <si>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</si>
  <si>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</si>
  <si>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</si>
  <si>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</si>
  <si>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</si>
  <si>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</si>
  <si>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</si>
  <si>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</si>
  <si>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</si>
  <si>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</si>
  <si>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</si>
  <si>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</si>
  <si>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</si>
  <si>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</si>
  <si>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</si>
  <si>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</si>
  <si>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</si>
  <si>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</si>
  <si>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</si>
  <si>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</si>
  <si>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</si>
  <si>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</si>
  <si>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</si>
  <si>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</si>
  <si>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</si>
  <si>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</si>
  <si>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</si>
  <si>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</si>
  <si>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</si>
  <si>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</si>
  <si>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</si>
  <si>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</si>
  <si>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</si>
  <si>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</si>
  <si>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</si>
  <si>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</si>
  <si>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</si>
  <si>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</si>
  <si>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</si>
  <si>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</si>
  <si>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</si>
  <si>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</si>
  <si>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</si>
  <si>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</si>
  <si>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</si>
  <si>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</si>
  <si>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</si>
  <si>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</si>
  <si>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</si>
  <si>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</si>
  <si>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</si>
  <si>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</si>
  <si>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</si>
  <si>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</si>
  <si>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</si>
  <si>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</si>
  <si>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</si>
  <si>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</si>
  <si>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</si>
  <si>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</si>
  <si>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</si>
  <si>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</si>
  <si>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</si>
  <si>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</si>
  <si>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</si>
  <si>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</si>
  <si>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</si>
  <si>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</si>
  <si>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</si>
  <si>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</si>
  <si>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</si>
  <si>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</si>
  <si>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</si>
  <si>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</si>
  <si>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</si>
  <si>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</si>
  <si>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</si>
  <si>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</si>
  <si>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</si>
  <si>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</si>
  <si>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</si>
  <si>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</si>
  <si>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</si>
  <si>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</si>
  <si>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</si>
  <si>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</si>
  <si>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</si>
  <si>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</si>
  <si>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</si>
  <si>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</si>
  <si>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</si>
  <si>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</si>
  <si>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</si>
  <si>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</si>
  <si>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</si>
  <si>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</si>
  <si>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</si>
  <si>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</si>
  <si>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</si>
  <si>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</si>
  <si>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</si>
  <si>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</si>
  <si>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</si>
  <si>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</si>
  <si>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</si>
  <si>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</si>
  <si>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</si>
  <si>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</si>
  <si>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</si>
  <si>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</si>
  <si>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</si>
  <si>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</si>
  <si>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</si>
  <si>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</si>
  <si>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</si>
  <si>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</si>
  <si>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</si>
  <si>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</si>
  <si>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</si>
  <si>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</si>
  <si>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</si>
  <si>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</si>
  <si>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</si>
  <si>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</si>
  <si>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</si>
  <si>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</si>
  <si>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</si>
  <si>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</si>
  <si>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</si>
  <si>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</si>
  <si>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</si>
  <si>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</si>
  <si>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</si>
  <si>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</si>
  <si>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</si>
  <si>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</si>
  <si>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</si>
  <si>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</si>
  <si>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</si>
  <si>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</si>
  <si>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</si>
  <si>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</si>
  <si>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</si>
  <si>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</si>
  <si>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</si>
  <si>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</si>
  <si>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</si>
  <si>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</si>
  <si>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</si>
  <si>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</si>
  <si>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</si>
  <si>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</si>
  <si>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</si>
  <si>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</si>
  <si>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</si>
  <si>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</si>
  <si>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</si>
  <si>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</si>
  <si>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</si>
  <si>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</si>
  <si>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</si>
  <si>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</si>
  <si>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</si>
  <si>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</si>
  <si>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</si>
  <si>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</si>
  <si>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</si>
  <si>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</si>
  <si>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</si>
  <si>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</si>
  <si>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</si>
  <si>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</si>
  <si>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</si>
  <si>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</si>
  <si>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</si>
  <si>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</si>
  <si>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</si>
  <si>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</si>
  <si>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</si>
  <si>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</si>
  <si>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</si>
  <si>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</si>
  <si>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</si>
  <si>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</si>
  <si>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</si>
  <si>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</si>
  <si>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</si>
  <si>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</si>
  <si>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</si>
  <si>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</si>
  <si>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</si>
  <si>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</si>
  <si>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</si>
  <si>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</si>
  <si>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</si>
  <si>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</si>
  <si>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</si>
  <si>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</si>
  <si>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</si>
  <si>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</si>
  <si>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</si>
  <si>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</si>
  <si>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</si>
  <si>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</si>
  <si>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</si>
  <si>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</si>
  <si>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</si>
  <si>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</si>
  <si>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</si>
  <si>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</si>
  <si>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</si>
  <si>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</si>
  <si>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</si>
  <si>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</si>
  <si>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</si>
  <si>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</si>
  <si>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</si>
  <si>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</si>
  <si>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</si>
  <si>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</si>
  <si>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</si>
  <si>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</si>
  <si>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</si>
  <si>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</si>
  <si>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</si>
  <si>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</si>
  <si>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</si>
  <si>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</si>
  <si>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</si>
  <si>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</si>
  <si>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</si>
  <si>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</si>
  <si>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</si>
  <si>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</si>
  <si>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</si>
  <si>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</si>
  <si>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</si>
  <si>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</si>
  <si>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</si>
  <si>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</si>
  <si>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</si>
  <si>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</si>
  <si>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</si>
  <si>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</si>
  <si>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</si>
  <si>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</si>
  <si>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</si>
  <si>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</si>
  <si>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</si>
  <si>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</si>
  <si>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</si>
  <si>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</si>
  <si>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</si>
  <si>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</si>
  <si>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</si>
  <si>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</si>
  <si>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</si>
  <si>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</si>
  <si>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</si>
  <si>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</si>
  <si>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</si>
  <si>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</si>
  <si>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</si>
  <si>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</si>
  <si>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</si>
  <si>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</si>
  <si>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</si>
  <si>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</si>
  <si>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</si>
  <si>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</si>
  <si>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</si>
  <si>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</si>
  <si>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</si>
  <si>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</si>
  <si>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</si>
  <si>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</si>
  <si>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</si>
  <si>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</si>
  <si>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</si>
  <si>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</si>
  <si>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</si>
  <si>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</si>
  <si>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</si>
  <si>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</si>
  <si>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</si>
  <si>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</si>
  <si>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</si>
  <si>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</si>
  <si>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</si>
  <si>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</si>
  <si>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</si>
  <si>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</si>
  <si>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</si>
  <si>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</si>
  <si>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</si>
  <si>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</si>
  <si>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</si>
  <si>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</si>
  <si>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</si>
  <si>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</si>
  <si>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</si>
  <si>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</si>
  <si>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</si>
  <si>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</si>
  <si>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</si>
  <si>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</si>
  <si>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</si>
  <si>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</si>
  <si>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</si>
  <si>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</si>
  <si>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</si>
  <si>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</si>
  <si>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</si>
  <si>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</si>
  <si>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</si>
  <si>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</si>
  <si>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</si>
  <si>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</si>
  <si>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</si>
  <si>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</si>
  <si>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</si>
  <si>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</si>
  <si>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</si>
  <si>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</si>
  <si>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</si>
  <si>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</si>
  <si>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</si>
  <si>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</si>
  <si>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</si>
  <si>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</si>
  <si>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</si>
  <si>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</si>
  <si>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</si>
  <si>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</si>
  <si>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</si>
  <si>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</si>
  <si>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</si>
  <si>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</si>
  <si>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</si>
  <si>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</si>
  <si>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</si>
  <si>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</si>
  <si>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</si>
  <si>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</si>
  <si>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</si>
  <si>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</si>
  <si>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</si>
  <si>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</si>
  <si>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</si>
  <si>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</si>
  <si>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</si>
  <si>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</si>
  <si>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</si>
  <si>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</si>
  <si>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</si>
  <si>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</si>
  <si>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</si>
  <si>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</si>
  <si>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</si>
  <si>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</si>
  <si>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</si>
  <si>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</si>
  <si>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</si>
  <si>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</si>
  <si>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</si>
  <si>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</si>
  <si>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</si>
  <si>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</si>
  <si>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</si>
  <si>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</si>
  <si>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</si>
  <si>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</si>
  <si>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</si>
  <si>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</si>
  <si>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</si>
  <si>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</si>
  <si>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</si>
  <si>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</si>
  <si>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</si>
  <si>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</si>
  <si>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</si>
  <si>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</si>
  <si>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</si>
  <si>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</si>
  <si>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</si>
  <si>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</si>
  <si>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</si>
  <si>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</si>
  <si>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</si>
  <si>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</si>
  <si>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</si>
  <si>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</si>
  <si>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</si>
  <si>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</si>
  <si>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</si>
  <si>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</si>
  <si>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</si>
  <si>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</si>
  <si>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</si>
  <si>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</si>
  <si>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</si>
  <si>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</si>
  <si>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</si>
  <si>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</si>
  <si>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</si>
  <si>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</si>
  <si>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</si>
  <si>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</si>
  <si>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</si>
  <si>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</si>
  <si>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</si>
  <si>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</si>
  <si>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</si>
  <si>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</si>
  <si>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</si>
  <si>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</si>
  <si>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</si>
  <si>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</si>
  <si>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</si>
  <si>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</si>
  <si>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</si>
  <si>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</si>
  <si>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</si>
  <si>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</si>
  <si>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</si>
  <si>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</si>
  <si>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</si>
  <si>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</si>
  <si>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</si>
  <si>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</si>
  <si>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</si>
  <si>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</si>
  <si>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</si>
  <si>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</si>
  <si>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</si>
  <si>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</si>
  <si>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</si>
  <si>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</si>
  <si>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</si>
  <si>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</si>
  <si>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</si>
  <si>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</si>
  <si>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</si>
  <si>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</si>
  <si>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</si>
  <si>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</si>
  <si>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</si>
  <si>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</si>
  <si>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</si>
  <si>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</si>
  <si>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</si>
  <si>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</si>
  <si>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</si>
  <si>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</si>
  <si>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</si>
  <si>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</si>
  <si>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</si>
  <si>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</si>
  <si>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</si>
  <si>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</si>
  <si>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</si>
  <si>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</si>
  <si>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</si>
  <si>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</si>
  <si>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</si>
  <si>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</si>
  <si>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</si>
  <si>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</si>
  <si>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</si>
  <si>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</si>
  <si>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</si>
  <si>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</si>
  <si>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</si>
  <si>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</si>
  <si>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</si>
  <si>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</si>
  <si>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</si>
  <si>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</si>
  <si>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</si>
  <si>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</si>
  <si>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</si>
  <si>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</si>
  <si>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</si>
  <si>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</si>
  <si>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</si>
  <si>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</si>
  <si>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</si>
  <si>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</si>
  <si>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</si>
  <si>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</si>
  <si>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</si>
  <si>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</si>
  <si>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</si>
  <si>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</si>
  <si>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</si>
  <si>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</si>
  <si>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</si>
  <si>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</si>
  <si>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</si>
  <si>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</si>
  <si>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</si>
  <si>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</si>
  <si>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</si>
  <si>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</si>
  <si>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</si>
  <si>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</si>
  <si>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</si>
  <si>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</si>
  <si>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</si>
  <si>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</si>
  <si>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</si>
  <si>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</si>
  <si>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</si>
  <si>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</si>
  <si>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</si>
  <si>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</si>
  <si>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</si>
  <si>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</si>
  <si>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</si>
  <si>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</si>
  <si>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</si>
  <si>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</si>
  <si>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</si>
  <si>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</si>
  <si>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</si>
  <si>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</si>
  <si>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</si>
  <si>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</si>
  <si>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</si>
  <si>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</si>
  <si>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</si>
  <si>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</si>
  <si>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</si>
  <si>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</si>
  <si>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</si>
  <si>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</si>
  <si>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</si>
  <si>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</si>
  <si>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</si>
  <si>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</si>
  <si>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</si>
  <si>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</si>
  <si>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</si>
  <si>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</si>
  <si>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</si>
  <si>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</si>
  <si>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</si>
  <si>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</si>
  <si>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</si>
  <si>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</si>
  <si>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</si>
  <si>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</si>
  <si>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</si>
  <si>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</si>
  <si>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</si>
  <si>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</si>
  <si>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</si>
  <si>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</si>
  <si>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</si>
  <si>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</si>
  <si>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</si>
  <si>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</si>
  <si>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</si>
  <si>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</si>
  <si>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</si>
  <si>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</si>
  <si>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</si>
  <si>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</si>
  <si>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</si>
  <si>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</si>
  <si>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</si>
  <si>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</si>
  <si>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</si>
  <si>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</si>
  <si>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</si>
  <si>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</si>
  <si>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</si>
  <si>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</si>
  <si>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</si>
  <si>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</si>
  <si>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</si>
  <si>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</si>
  <si>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</si>
  <si>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</si>
  <si>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</si>
  <si>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</si>
  <si>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</si>
  <si>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</si>
  <si>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</si>
  <si>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</si>
  <si>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</si>
  <si>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</si>
  <si>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</si>
  <si>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</si>
  <si>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</si>
  <si>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</si>
  <si>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</si>
  <si>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</si>
  <si>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</si>
  <si>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</si>
  <si>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</si>
  <si>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</si>
  <si>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</si>
  <si>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</si>
  <si>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</si>
  <si>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</si>
  <si>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</si>
  <si>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</si>
  <si>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</si>
  <si>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</si>
  <si>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</si>
  <si>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</si>
  <si>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</si>
  <si>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</si>
  <si>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</si>
  <si>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</si>
  <si>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</si>
  <si>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</si>
  <si>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</si>
  <si>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</si>
  <si>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</si>
  <si>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</si>
  <si>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</si>
  <si>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</si>
  <si>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</si>
  <si>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</si>
  <si>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</si>
  <si>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</si>
  <si>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</si>
  <si>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</si>
  <si>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</si>
  <si>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</si>
  <si>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</si>
  <si>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</si>
  <si>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</si>
  <si>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</si>
  <si>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</si>
  <si>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</si>
  <si>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</si>
  <si>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</si>
  <si>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</si>
  <si>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</si>
  <si>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</si>
  <si>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</si>
  <si>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</si>
  <si>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</si>
  <si>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</si>
  <si>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</si>
  <si>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</si>
  <si>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</si>
  <si>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</si>
  <si>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</si>
  <si>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</si>
  <si>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</si>
  <si>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</si>
  <si>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</si>
  <si>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</si>
  <si>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</si>
  <si>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</si>
  <si>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</si>
  <si>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</si>
  <si>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</si>
  <si>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</si>
  <si>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</si>
  <si>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</si>
  <si>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</si>
  <si>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</si>
  <si>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</si>
  <si>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</si>
  <si>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</si>
  <si>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</si>
  <si>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</si>
  <si>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</si>
  <si>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</si>
  <si>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</si>
  <si>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</si>
  <si>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</si>
  <si>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</si>
  <si>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</si>
  <si>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</si>
  <si>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</si>
  <si>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</si>
  <si>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</si>
  <si>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</si>
  <si>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</si>
  <si>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</si>
  <si>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</si>
  <si>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</si>
  <si>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</si>
  <si>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</si>
  <si>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</si>
  <si>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</si>
  <si>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</si>
  <si>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</si>
  <si>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</si>
  <si>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</si>
  <si>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</si>
  <si>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</si>
  <si>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</si>
  <si>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</si>
  <si>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</si>
  <si>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</si>
  <si>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</si>
  <si>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</si>
  <si>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</si>
  <si>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</si>
  <si>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</si>
  <si>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</si>
  <si>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</si>
  <si>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</si>
  <si>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</si>
  <si>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</si>
  <si>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</si>
  <si>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</si>
  <si>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</si>
  <si>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</si>
  <si>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</si>
  <si>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</si>
  <si>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</si>
  <si>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</si>
  <si>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</si>
  <si>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</si>
  <si>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</si>
  <si>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</si>
  <si>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</si>
  <si>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</si>
  <si>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</si>
  <si>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</si>
  <si>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</si>
  <si>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</si>
  <si>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</si>
  <si>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</si>
  <si>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</si>
  <si>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</si>
  <si>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</si>
  <si>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</si>
  <si>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</si>
  <si>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</si>
  <si>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</si>
  <si>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</si>
  <si>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</si>
  <si>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</si>
  <si>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</si>
  <si>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</si>
  <si>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</si>
  <si>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</si>
  <si>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</si>
  <si>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</si>
  <si>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</si>
  <si>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</si>
  <si>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</si>
  <si>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</si>
  <si>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</si>
  <si>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</si>
  <si>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</si>
  <si>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</si>
  <si>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</si>
  <si>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</si>
  <si>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</si>
  <si>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</si>
  <si>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</si>
  <si>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</si>
  <si>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</si>
  <si>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</si>
  <si>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</si>
  <si>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</si>
  <si>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</si>
  <si>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</si>
  <si>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</si>
  <si>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</si>
  <si>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</si>
  <si>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</si>
  <si>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</si>
  <si>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</si>
  <si>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</si>
  <si>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</si>
  <si>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</si>
  <si>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</si>
  <si>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</si>
  <si>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</si>
  <si>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</si>
  <si>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</si>
  <si>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</si>
  <si>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</si>
  <si>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</si>
  <si>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</si>
  <si>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</si>
  <si>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</si>
  <si>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</si>
  <si>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</si>
  <si>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</si>
  <si>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</si>
  <si>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</si>
  <si>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</si>
  <si>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</si>
  <si>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</si>
  <si>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</si>
  <si>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</si>
  <si>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</si>
  <si>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</si>
  <si>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</si>
  <si>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</si>
  <si>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</si>
  <si>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</si>
  <si>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</si>
  <si>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</si>
  <si>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</si>
  <si>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</si>
  <si>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</si>
  <si>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</si>
  <si>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</si>
  <si>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</si>
  <si>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</si>
  <si>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</si>
  <si>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</si>
  <si>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</si>
  <si>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</si>
  <si>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</si>
  <si>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</si>
  <si>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</si>
  <si>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</si>
  <si>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</si>
  <si>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</si>
  <si>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</si>
  <si>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</si>
  <si>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</si>
  <si>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</si>
  <si>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</si>
  <si>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</si>
  <si>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</si>
  <si>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</si>
  <si>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</si>
  <si>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</si>
  <si>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</si>
  <si>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</si>
  <si>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</si>
  <si>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</si>
  <si>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</si>
  <si>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</si>
  <si>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</si>
  <si>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</si>
  <si>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</si>
  <si>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</si>
  <si>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</si>
  <si>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</si>
  <si>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</si>
  <si>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</si>
  <si>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</si>
  <si>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</si>
  <si>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</si>
  <si>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</si>
  <si>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</si>
  <si>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</si>
  <si>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</si>
  <si>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</si>
  <si>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</si>
  <si>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</si>
  <si>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</si>
  <si>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</si>
  <si>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</si>
  <si>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</si>
  <si>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</si>
  <si>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</si>
  <si>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</si>
  <si>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</si>
  <si>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</si>
  <si>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</si>
  <si>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</si>
  <si>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</si>
  <si>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</si>
  <si>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</si>
  <si>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</si>
  <si>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</si>
  <si>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</si>
  <si>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</si>
  <si>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</si>
  <si>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</si>
  <si>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</si>
  <si>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</si>
  <si>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</si>
  <si>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</si>
  <si>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</si>
  <si>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</si>
  <si>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</si>
  <si>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</si>
  <si>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</si>
  <si>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</si>
  <si>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</si>
  <si>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</si>
  <si>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</si>
  <si>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</si>
  <si>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</si>
  <si>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</si>
  <si>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</si>
  <si>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</si>
  <si>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</si>
  <si>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</si>
  <si>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</si>
  <si>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</si>
  <si>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</si>
  <si>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</si>
  <si>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</si>
  <si>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</si>
  <si>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</si>
  <si>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</si>
  <si>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</si>
  <si>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</si>
  <si>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</si>
  <si>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</si>
  <si>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</si>
  <si>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</si>
  <si>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</si>
  <si>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</si>
  <si>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</si>
  <si>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</si>
  <si>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</si>
  <si>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</si>
  <si>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</si>
  <si>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</si>
  <si>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</si>
  <si>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</si>
  <si>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</si>
  <si>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</si>
  <si>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</si>
  <si>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</si>
  <si>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</si>
  <si>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</si>
  <si>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</si>
  <si>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</si>
  <si>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</si>
  <si>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</si>
  <si>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</si>
  <si>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</si>
  <si>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</si>
  <si>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</si>
  <si>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</si>
  <si>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</si>
  <si>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</si>
  <si>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</si>
  <si>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</si>
  <si>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</si>
  <si>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</si>
  <si>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</si>
  <si>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</si>
  <si>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</si>
  <si>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</si>
  <si>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</si>
  <si>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</si>
  <si>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</si>
  <si>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</si>
  <si>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</si>
  <si>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</si>
  <si>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</si>
  <si>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</si>
  <si>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</si>
  <si>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</si>
  <si>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</si>
  <si>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</si>
  <si>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</si>
  <si>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</si>
  <si>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</si>
  <si>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</si>
  <si>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</si>
  <si>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</si>
  <si>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</si>
  <si>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</si>
  <si>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</si>
  <si>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</si>
  <si>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</si>
  <si>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</si>
  <si>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</si>
  <si>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</si>
  <si>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</si>
  <si>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</si>
  <si>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</si>
  <si>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</si>
  <si>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</si>
  <si>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</si>
  <si>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</si>
  <si>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</si>
  <si>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</si>
  <si>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</si>
  <si>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</si>
  <si>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</si>
  <si>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</si>
  <si>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</si>
  <si>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</si>
  <si>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</si>
  <si>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</si>
  <si>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</si>
  <si>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</si>
  <si>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</si>
  <si>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</si>
  <si>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</si>
  <si>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</si>
  <si>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</si>
  <si>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</si>
  <si>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</si>
  <si>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</si>
  <si>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</si>
  <si>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</si>
  <si>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</si>
  <si>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</si>
  <si>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</si>
  <si>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</si>
  <si>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</si>
  <si>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</si>
  <si>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</si>
  <si>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</si>
  <si>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</si>
  <si>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</si>
  <si>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</si>
  <si>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</si>
  <si>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</si>
  <si>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</si>
  <si>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</si>
  <si>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</si>
  <si>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</si>
  <si>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</si>
  <si>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</si>
  <si>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</si>
  <si>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</si>
  <si>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</si>
  <si>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</si>
  <si>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</si>
  <si>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</si>
  <si>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</si>
  <si>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</si>
  <si>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</si>
  <si>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</si>
  <si>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</si>
  <si>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</si>
  <si>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</si>
  <si>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</si>
  <si>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</si>
  <si>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</si>
  <si>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</si>
  <si>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</si>
  <si>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</si>
  <si>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</si>
  <si>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</si>
  <si>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</si>
  <si>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</si>
  <si>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</si>
  <si>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</si>
  <si>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</si>
  <si>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</si>
  <si>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</si>
  <si>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</si>
  <si>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</si>
  <si>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</si>
  <si>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</si>
  <si>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</si>
  <si>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</si>
  <si>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</si>
  <si>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</si>
  <si>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</si>
  <si>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</si>
  <si>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</si>
  <si>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</si>
  <si>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</si>
  <si>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</si>
  <si>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</si>
  <si>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</si>
  <si>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</si>
  <si>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</si>
  <si>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</si>
  <si>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</si>
  <si>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</si>
  <si>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</si>
  <si>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</si>
  <si>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</si>
  <si>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</si>
  <si>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</si>
  <si>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</si>
  <si>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</si>
  <si>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</si>
  <si>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</si>
  <si>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</si>
  <si>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</si>
  <si>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</si>
  <si>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</si>
  <si>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</si>
  <si>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</si>
  <si>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</si>
  <si>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</si>
  <si>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</si>
  <si>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</si>
  <si>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</si>
  <si>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</si>
  <si>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</si>
  <si>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</si>
  <si>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</si>
  <si>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</si>
  <si>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</si>
  <si>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</si>
  <si>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</si>
  <si>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</si>
  <si>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</si>
  <si>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</si>
  <si>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</si>
  <si>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</si>
  <si>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</si>
  <si>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</si>
  <si>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</si>
  <si>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</si>
  <si>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</si>
  <si>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</si>
  <si>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</si>
  <si>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</si>
  <si>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</si>
  <si>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</si>
  <si>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</si>
  <si>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</si>
  <si>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</si>
  <si>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</si>
  <si>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</si>
  <si>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</si>
  <si>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</si>
  <si>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</si>
  <si>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</si>
  <si>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</si>
  <si>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</si>
  <si>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</si>
  <si>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</si>
  <si>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</si>
  <si>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</si>
  <si>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</si>
  <si>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</si>
  <si>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</si>
  <si>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</si>
  <si>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</si>
  <si>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</si>
  <si>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</si>
  <si>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</si>
  <si>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</si>
  <si>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</si>
  <si>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</si>
  <si>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</si>
  <si>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</si>
  <si>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</si>
  <si>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</si>
  <si>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</si>
  <si>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</si>
  <si>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</si>
  <si>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</si>
  <si>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</si>
  <si>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</si>
  <si>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</si>
  <si>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</si>
  <si>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</si>
  <si>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</si>
  <si>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</si>
  <si>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</si>
  <si>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</si>
  <si>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</si>
  <si>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</si>
  <si>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</si>
  <si>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</si>
  <si>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</si>
  <si>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</si>
  <si>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</si>
  <si>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</si>
  <si>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</si>
  <si>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</si>
  <si>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</si>
  <si>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</si>
  <si>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</si>
  <si>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</si>
  <si>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</si>
  <si>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</si>
  <si>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</si>
  <si>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</si>
  <si>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</si>
  <si>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</si>
  <si>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</si>
  <si>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</si>
  <si>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</si>
  <si>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</si>
  <si>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</si>
  <si>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</si>
  <si>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</si>
  <si>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</si>
  <si>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</si>
  <si>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</si>
  <si>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</si>
  <si>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</si>
  <si>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</si>
  <si>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</si>
  <si>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</si>
  <si>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</si>
  <si>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</si>
  <si>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</si>
  <si>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</si>
  <si>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</si>
  <si>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</si>
  <si>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</si>
  <si>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</si>
  <si>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</si>
  <si>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</si>
  <si>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</si>
  <si>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</si>
  <si>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</si>
  <si>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</si>
  <si>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</si>
  <si>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</si>
  <si>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</si>
  <si>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</si>
  <si>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</si>
  <si>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</si>
  <si>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</si>
  <si>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</si>
  <si>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</si>
  <si>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</si>
  <si>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</si>
  <si>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</si>
  <si>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</si>
  <si>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</si>
  <si>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</si>
  <si>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</si>
  <si>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</si>
  <si>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</si>
  <si>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</si>
  <si>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</si>
  <si>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</si>
  <si>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</si>
  <si>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</si>
  <si>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</si>
  <si>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</si>
  <si>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</si>
  <si>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</si>
  <si>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</si>
  <si>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</si>
  <si>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</si>
  <si>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</si>
  <si>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</si>
  <si>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</si>
  <si>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</si>
  <si>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</si>
  <si>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</si>
  <si>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</si>
  <si>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</si>
  <si>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</si>
  <si>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</si>
  <si>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</si>
  <si>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</si>
  <si>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</si>
  <si>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</si>
  <si>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</si>
  <si>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</si>
  <si>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</si>
  <si>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</si>
  <si>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</si>
  <si>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</si>
  <si>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</si>
  <si>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</si>
  <si>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</si>
  <si>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</si>
  <si>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</si>
  <si>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</si>
  <si>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</si>
  <si>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</si>
  <si>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</si>
  <si>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</si>
  <si>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</si>
  <si>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</si>
  <si>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</si>
  <si>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</si>
  <si>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</si>
  <si>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</si>
  <si>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</si>
  <si>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</si>
  <si>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</si>
  <si>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</si>
  <si>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</si>
  <si>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</si>
  <si>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</si>
  <si>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</si>
  <si>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</si>
  <si>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</si>
  <si>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</si>
  <si>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</si>
  <si>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</si>
  <si>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</si>
  <si>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</si>
  <si>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</si>
  <si>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</si>
  <si>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</si>
  <si>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</si>
  <si>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</si>
  <si>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</si>
  <si>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</si>
  <si>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</si>
  <si>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</si>
  <si>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</si>
  <si>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</si>
  <si>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</si>
  <si>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</si>
  <si>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</si>
  <si>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</si>
  <si>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</si>
  <si>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</si>
  <si>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</si>
  <si>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</si>
  <si>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</si>
  <si>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</si>
  <si>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</si>
  <si>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</si>
  <si>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</si>
  <si>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</si>
  <si>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</si>
  <si>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</si>
  <si>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</si>
  <si>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</si>
  <si>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</si>
  <si>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</si>
  <si>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</si>
  <si>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</si>
  <si>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</si>
  <si>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</si>
  <si>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</si>
  <si>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</si>
  <si>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</si>
  <si>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</si>
  <si>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</si>
  <si>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</si>
  <si>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</si>
  <si>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</si>
  <si>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</si>
  <si>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</si>
  <si>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</si>
  <si>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</si>
  <si>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</si>
  <si>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</si>
  <si>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</si>
  <si>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</si>
  <si>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</si>
  <si>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</si>
  <si>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</si>
  <si>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</si>
  <si>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</si>
  <si>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</si>
  <si>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</si>
  <si>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</si>
  <si>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</si>
  <si>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</si>
  <si>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</si>
  <si>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</si>
  <si>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</si>
  <si>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</si>
  <si>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</si>
  <si>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</si>
  <si>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</si>
  <si>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</si>
  <si>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</si>
  <si>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</si>
  <si>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</si>
  <si>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</si>
  <si>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</si>
  <si>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</si>
  <si>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</si>
  <si>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</si>
  <si>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</si>
  <si>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</si>
  <si>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</si>
  <si>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</si>
  <si>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</si>
  <si>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</si>
  <si>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</si>
  <si>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</si>
  <si>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</si>
  <si>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</si>
  <si>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</si>
  <si>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</si>
  <si>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</si>
  <si>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</si>
  <si>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</si>
  <si>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</si>
  <si>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</si>
  <si>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</si>
  <si>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</si>
  <si>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</si>
  <si>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</si>
  <si>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</si>
  <si>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</si>
  <si>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</si>
  <si>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</si>
  <si>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</si>
  <si>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</si>
  <si>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</si>
  <si>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</si>
  <si>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</si>
  <si>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</si>
  <si>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</si>
  <si>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</si>
  <si>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</si>
  <si>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</si>
  <si>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</si>
  <si>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</si>
  <si>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</si>
  <si>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</si>
  <si>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</si>
  <si>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</si>
  <si>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</si>
  <si>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</si>
  <si>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</si>
  <si>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</si>
  <si>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</si>
  <si>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</si>
  <si>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</si>
  <si>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</si>
  <si>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</si>
  <si>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</si>
  <si>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</si>
  <si>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</si>
  <si>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</si>
  <si>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</si>
  <si>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</si>
  <si>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</si>
  <si>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</si>
  <si>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</si>
  <si>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</si>
  <si>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</si>
  <si>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</si>
  <si>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</si>
  <si>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</si>
  <si>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</si>
  <si>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</si>
  <si>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</si>
  <si>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</si>
  <si>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</si>
  <si>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</si>
  <si>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</si>
  <si>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</si>
  <si>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</si>
  <si>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</si>
  <si>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</si>
  <si>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</si>
  <si>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</si>
  <si>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</si>
  <si>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</si>
  <si>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</si>
  <si>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</si>
  <si>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</si>
  <si>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</si>
  <si>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</si>
  <si>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</si>
  <si>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</si>
  <si>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</si>
  <si>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</si>
  <si>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</si>
  <si>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</si>
  <si>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</si>
  <si>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</si>
  <si>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</si>
  <si>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</si>
  <si>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</si>
  <si>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</si>
  <si>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</si>
  <si>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</si>
  <si>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</si>
  <si>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</si>
  <si>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</si>
  <si>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</si>
  <si>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</si>
  <si>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</si>
  <si>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</si>
  <si>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</si>
  <si>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</si>
  <si>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</si>
  <si>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</si>
  <si>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</si>
  <si>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</si>
  <si>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</si>
  <si>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</si>
  <si>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</si>
  <si>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</si>
  <si>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</si>
  <si>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</si>
  <si>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</si>
  <si>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</si>
  <si>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</si>
  <si>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</si>
  <si>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</si>
  <si>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</si>
  <si>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</si>
  <si>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</si>
  <si>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</si>
  <si>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</si>
  <si>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</si>
  <si>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</si>
  <si>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</si>
  <si>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</si>
  <si>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</si>
  <si>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</si>
  <si>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</si>
  <si>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</si>
  <si>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</si>
  <si>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</si>
  <si>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</si>
  <si>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</si>
  <si>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</si>
  <si>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</si>
  <si>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</si>
  <si>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</si>
  <si>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</si>
  <si>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</si>
  <si>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</si>
  <si>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</si>
  <si>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</si>
  <si>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</si>
  <si>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</si>
  <si>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</si>
  <si>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</si>
  <si>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</si>
  <si>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</si>
  <si>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</si>
  <si>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</si>
  <si>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</si>
  <si>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</si>
  <si>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</si>
  <si>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</si>
  <si>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</si>
  <si>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</si>
  <si>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</si>
  <si>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</si>
  <si>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</si>
  <si>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</si>
  <si>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</si>
  <si>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</si>
  <si>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</si>
  <si>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</si>
  <si>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</si>
  <si>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</si>
  <si>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</si>
  <si>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</si>
  <si>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</si>
  <si>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</si>
  <si>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</si>
  <si>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</si>
  <si>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</si>
  <si>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</si>
  <si>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</si>
  <si>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</si>
  <si>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</si>
  <si>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</si>
  <si>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</si>
  <si>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</si>
  <si>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</si>
  <si>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</si>
  <si>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</si>
  <si>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</si>
  <si>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</si>
  <si>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</si>
  <si>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</si>
  <si>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</si>
  <si>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</si>
  <si>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</si>
  <si>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</si>
  <si>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</si>
  <si>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</si>
  <si>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</si>
  <si>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</si>
  <si>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</si>
  <si>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</si>
  <si>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</si>
  <si>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</si>
  <si>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</si>
  <si>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</si>
  <si>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</si>
  <si>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</si>
  <si>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</si>
  <si>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</si>
  <si>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</si>
  <si>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</si>
  <si>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</si>
  <si>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</si>
  <si>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</si>
  <si>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</si>
  <si>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</si>
  <si>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</si>
  <si>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</si>
  <si>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</si>
  <si>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</si>
  <si>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</si>
  <si>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</si>
  <si>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</si>
  <si>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</si>
  <si>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</si>
  <si>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</si>
  <si>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</si>
  <si>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</si>
  <si>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</si>
  <si>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</si>
  <si>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</si>
  <si>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</si>
  <si>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</si>
  <si>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</si>
  <si>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</si>
  <si>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</si>
  <si>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</si>
  <si>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</si>
  <si>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</si>
  <si>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</si>
  <si>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</si>
  <si>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</si>
  <si>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</si>
  <si>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</si>
  <si>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</si>
  <si>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</si>
  <si>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</si>
  <si>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</si>
  <si>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</si>
  <si>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</si>
  <si>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</si>
  <si>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</si>
  <si>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</si>
  <si>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</si>
  <si>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</si>
  <si>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</si>
  <si>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</si>
  <si>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</si>
  <si>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</si>
  <si>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</si>
  <si>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</si>
  <si>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</si>
  <si>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</si>
  <si>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</si>
  <si>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</si>
  <si>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</si>
  <si>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</si>
  <si>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</si>
  <si>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</si>
  <si>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</si>
  <si>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</si>
  <si>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</si>
  <si>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</si>
  <si>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</si>
  <si>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</si>
  <si>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</si>
  <si>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</si>
  <si>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</si>
  <si>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</si>
  <si>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</si>
  <si>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</si>
  <si>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</si>
  <si>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</si>
  <si>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</si>
  <si>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</si>
  <si>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</si>
  <si>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</si>
  <si>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</si>
  <si>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</si>
  <si>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</si>
  <si>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</si>
  <si>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</si>
  <si>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</si>
  <si>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</si>
  <si>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</si>
  <si>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</si>
  <si>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</si>
  <si>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</si>
  <si>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</si>
  <si>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</si>
  <si>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</si>
  <si>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</si>
  <si>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</si>
  <si>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</si>
  <si>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</si>
  <si>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</si>
  <si>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</si>
  <si>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</si>
  <si>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</si>
  <si>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</si>
  <si>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</si>
  <si>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</si>
  <si>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</si>
  <si>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</si>
  <si>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</si>
  <si>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</si>
  <si>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</si>
  <si>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</si>
  <si>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</si>
  <si>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</si>
  <si>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</si>
  <si>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</si>
  <si>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</si>
  <si>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</si>
  <si>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</si>
  <si>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</si>
  <si>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</si>
  <si>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</si>
  <si>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</si>
  <si>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</si>
  <si>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</si>
  <si>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</si>
  <si>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</si>
  <si>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</si>
  <si>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</si>
  <si>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</si>
  <si>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</si>
  <si>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</si>
  <si>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</si>
  <si>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</si>
  <si>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</si>
  <si>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</si>
  <si>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</si>
  <si>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</si>
  <si>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</si>
  <si>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</si>
  <si>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</si>
  <si>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</si>
  <si>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</si>
  <si>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</si>
  <si>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</si>
  <si>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</si>
  <si>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</si>
  <si>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</si>
  <si>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</si>
  <si>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</si>
  <si>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</si>
  <si>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</si>
  <si>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</si>
  <si>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</si>
  <si>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</si>
  <si>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</si>
  <si>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</si>
  <si>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</si>
  <si>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</si>
  <si>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</si>
  <si>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</si>
  <si>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</si>
  <si>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</si>
  <si>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</si>
  <si>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</si>
  <si>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</si>
  <si>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</si>
  <si>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</si>
  <si>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</si>
  <si>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</si>
  <si>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</si>
  <si>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</si>
  <si>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</si>
  <si>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</si>
  <si>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</si>
  <si>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</si>
  <si>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</si>
  <si>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</si>
  <si>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</si>
  <si>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</si>
  <si>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</si>
  <si>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</si>
  <si>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</si>
  <si>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</si>
  <si>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</si>
  <si>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</si>
  <si>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</si>
  <si>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</si>
  <si>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</si>
  <si>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</si>
  <si>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</si>
  <si>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</si>
  <si>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</si>
  <si>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</si>
  <si>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</si>
  <si>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</si>
  <si>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</si>
  <si>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</si>
  <si>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</si>
  <si>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</si>
  <si>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</si>
  <si>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</si>
  <si>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</si>
  <si>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</si>
  <si>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</si>
  <si>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</si>
  <si>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</si>
  <si>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</si>
  <si>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</si>
  <si>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</si>
  <si>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</si>
  <si>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</si>
  <si>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</si>
  <si>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</si>
  <si>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</si>
  <si>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</si>
  <si>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</si>
  <si>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</si>
  <si>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</si>
  <si>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</si>
  <si>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</si>
  <si>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</si>
  <si>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</si>
  <si>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</si>
  <si>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</si>
  <si>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</si>
  <si>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</si>
  <si>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</si>
  <si>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</si>
  <si>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</si>
  <si>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</si>
  <si>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</si>
  <si>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</si>
  <si>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</si>
  <si>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</si>
  <si>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</si>
  <si>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</si>
  <si>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</si>
  <si>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</si>
  <si>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</si>
  <si>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</si>
  <si>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</si>
  <si>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</si>
  <si>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</si>
  <si>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</si>
  <si>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</si>
  <si>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</si>
  <si>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</si>
  <si>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</si>
  <si>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</si>
  <si>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</si>
  <si>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</si>
  <si>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</si>
  <si>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</si>
  <si>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</si>
  <si>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</si>
  <si>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</si>
  <si>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</si>
  <si>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</si>
  <si>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</si>
  <si>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</si>
  <si>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</si>
  <si>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</si>
  <si>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</si>
  <si>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</si>
  <si>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</si>
  <si>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</si>
  <si>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</si>
  <si>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</si>
  <si>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</si>
  <si>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</si>
  <si>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</si>
  <si>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</si>
  <si>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</si>
  <si>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</si>
  <si>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</si>
  <si>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</si>
  <si>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</si>
  <si>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</si>
  <si>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</si>
  <si>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</si>
  <si>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</si>
  <si>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</si>
  <si>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</si>
  <si>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</si>
  <si>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</si>
  <si>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</si>
  <si>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</si>
  <si>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</si>
  <si>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</si>
  <si>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</si>
  <si>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</si>
  <si>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</si>
  <si>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</si>
  <si>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</si>
  <si>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</si>
  <si>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</si>
  <si>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</si>
  <si>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</si>
  <si>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</si>
  <si>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</si>
  <si>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</si>
  <si>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</si>
  <si>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</si>
  <si>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</si>
  <si>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</si>
  <si>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</si>
  <si>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</si>
  <si>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</si>
  <si>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</si>
  <si>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</si>
  <si>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</si>
  <si>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</si>
  <si>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</si>
  <si>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</si>
  <si>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</si>
  <si>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</si>
  <si>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</si>
  <si>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</si>
  <si>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</si>
  <si>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</si>
  <si>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</si>
  <si>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</si>
  <si>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</si>
  <si>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</si>
  <si>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</si>
  <si>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</si>
  <si>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</si>
  <si>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</si>
  <si>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</si>
  <si>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</si>
  <si>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</si>
  <si>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</si>
  <si>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</si>
  <si>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</si>
  <si>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</si>
  <si>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</si>
  <si>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</si>
  <si>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</si>
  <si>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</si>
  <si>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</si>
  <si>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</si>
  <si>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</si>
  <si>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</si>
  <si>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</si>
  <si>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</si>
  <si>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</si>
  <si>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</si>
  <si>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</si>
  <si>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</si>
  <si>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</si>
  <si>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</si>
  <si>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</si>
  <si>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</si>
  <si>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</si>
  <si>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</si>
  <si>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</si>
  <si>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</si>
  <si>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</si>
  <si>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</si>
  <si>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</si>
  <si>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</si>
  <si>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</si>
  <si>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</si>
  <si>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</si>
  <si>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</si>
  <si>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</si>
  <si>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</si>
  <si>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</si>
  <si>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</si>
  <si>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</si>
  <si>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</si>
  <si>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</si>
  <si>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</si>
  <si>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</si>
  <si>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</si>
  <si>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</si>
  <si>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</si>
  <si>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</si>
  <si>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</si>
  <si>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</si>
  <si>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</si>
  <si>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</si>
  <si>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</si>
  <si>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</si>
  <si>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</si>
  <si>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</si>
  <si>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</si>
  <si>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</si>
  <si>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</si>
  <si>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</si>
  <si>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</si>
  <si>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</si>
  <si>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</si>
  <si>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</si>
  <si>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</si>
  <si>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</si>
  <si>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</si>
  <si>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</si>
  <si>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</si>
  <si>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</si>
  <si>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</si>
  <si>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</si>
  <si>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</si>
  <si>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</si>
  <si>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</si>
  <si>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</si>
  <si>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</si>
  <si>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</si>
  <si>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</si>
  <si>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</si>
  <si>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</si>
  <si>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</si>
  <si>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</si>
  <si>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</si>
  <si>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</si>
  <si>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</si>
  <si>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</si>
  <si>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</si>
  <si>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</si>
  <si>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</si>
  <si>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</si>
  <si>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</si>
  <si>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</si>
  <si>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</si>
  <si>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</si>
  <si>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</si>
  <si>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</si>
  <si>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</si>
  <si>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</si>
  <si>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</si>
  <si>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</si>
  <si>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</si>
  <si>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</si>
  <si>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</si>
  <si>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</si>
  <si>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</si>
  <si>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</si>
  <si>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</si>
  <si>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</si>
  <si>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</si>
  <si>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</si>
  <si>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</si>
  <si>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</si>
  <si>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</si>
  <si>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</si>
  <si>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</si>
  <si>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</si>
  <si>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</si>
  <si>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</si>
  <si>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</si>
  <si>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</si>
  <si>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</si>
  <si>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</si>
  <si>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</si>
  <si>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</si>
  <si>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</si>
  <si>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</si>
  <si>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</si>
  <si>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</si>
  <si>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</si>
  <si>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</si>
  <si>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</si>
  <si>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</si>
  <si>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</si>
  <si>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</si>
  <si>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</si>
  <si>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</si>
  <si>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</si>
  <si>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</si>
  <si>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</si>
  <si>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</si>
  <si>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</si>
  <si>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</si>
  <si>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</si>
  <si>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</si>
  <si>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</si>
  <si>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</si>
  <si>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</si>
  <si>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</si>
  <si>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</si>
  <si>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</si>
  <si>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</si>
  <si>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</si>
  <si>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</si>
  <si>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</si>
  <si>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</si>
  <si>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</si>
  <si>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</si>
  <si>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</si>
  <si>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</si>
  <si>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</si>
  <si>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</si>
  <si>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</si>
  <si>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</si>
  <si>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</si>
  <si>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</si>
  <si>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</si>
  <si>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</si>
  <si>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</si>
  <si>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</si>
  <si>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</si>
  <si>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</si>
  <si>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</si>
  <si>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</si>
  <si>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</si>
  <si>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</si>
  <si>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</si>
  <si>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</si>
  <si>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</si>
  <si>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</si>
  <si>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</si>
  <si>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</si>
  <si>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</si>
  <si>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</si>
  <si>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</si>
  <si>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</si>
  <si>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</si>
  <si>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</si>
  <si>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</si>
  <si>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</si>
  <si>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</si>
  <si>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</si>
  <si>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</si>
  <si>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</si>
  <si>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</si>
  <si>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</si>
  <si>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</si>
  <si>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</si>
  <si>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</si>
  <si>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</si>
  <si>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</si>
  <si>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</si>
  <si>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</si>
  <si>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</si>
  <si>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</si>
  <si>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</si>
  <si>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</si>
  <si>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</si>
  <si>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</si>
  <si>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</si>
  <si>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</si>
  <si>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</si>
  <si>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</si>
  <si>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</si>
  <si>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</si>
  <si>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</si>
  <si>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</si>
  <si>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</si>
  <si>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</si>
  <si>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</si>
  <si>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</si>
  <si>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</si>
  <si>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</si>
  <si>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</si>
  <si>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</si>
  <si>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</si>
  <si>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</si>
  <si>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</si>
  <si>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</si>
  <si>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</si>
  <si>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</si>
  <si>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</si>
  <si>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</si>
  <si>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</si>
  <si>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</si>
  <si>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</si>
  <si>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</si>
  <si>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</si>
  <si>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</si>
  <si>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</si>
  <si>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</si>
  <si>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</si>
  <si>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</si>
  <si>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</si>
  <si>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</si>
  <si>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</si>
  <si>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</si>
  <si>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</si>
  <si>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</si>
  <si>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</si>
  <si>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</si>
  <si>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</si>
  <si>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</si>
  <si>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</si>
  <si>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</si>
  <si>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</si>
  <si>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</si>
  <si>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</si>
  <si>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</si>
  <si>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</si>
  <si>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</si>
  <si>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</si>
  <si>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</si>
  <si>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</si>
  <si>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</si>
  <si>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</si>
  <si>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</si>
  <si>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</si>
  <si>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</si>
  <si>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</si>
  <si>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</si>
  <si>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</si>
  <si>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</si>
  <si>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</si>
  <si>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</si>
  <si>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</si>
  <si>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</si>
  <si>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</si>
  <si>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</si>
  <si>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</si>
  <si>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</si>
  <si>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</si>
  <si>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</si>
  <si>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</si>
  <si>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</si>
  <si>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</si>
  <si>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</si>
  <si>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</si>
  <si>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</si>
  <si>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</si>
  <si>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</si>
  <si>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</si>
  <si>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</si>
  <si>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</si>
  <si>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</si>
  <si>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</si>
  <si>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</si>
  <si>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</si>
  <si>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</si>
  <si>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</si>
  <si>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</si>
  <si>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</si>
  <si>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</si>
  <si>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</si>
  <si>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</si>
  <si>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</si>
  <si>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</si>
  <si>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</si>
  <si>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</si>
  <si>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</si>
  <si>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</si>
  <si>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</si>
  <si>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</si>
  <si>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</si>
  <si>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</si>
  <si>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</si>
  <si>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</si>
  <si>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</si>
  <si>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</si>
  <si>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</si>
  <si>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</si>
  <si>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</si>
  <si>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</si>
  <si>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</si>
  <si>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</si>
  <si>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</si>
  <si>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</si>
  <si>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</si>
  <si>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</si>
  <si>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</si>
  <si>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</si>
  <si>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</si>
  <si>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</si>
  <si>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</si>
  <si>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</si>
  <si>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</si>
  <si>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</si>
  <si>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</si>
  <si>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</si>
  <si>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</si>
  <si>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</si>
  <si>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</si>
  <si>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</si>
  <si>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</si>
  <si>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</si>
  <si>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</si>
  <si>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</si>
  <si>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</si>
  <si>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</si>
  <si>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</si>
  <si>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</si>
  <si>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</si>
  <si>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</si>
  <si>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</si>
  <si>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</si>
  <si>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</si>
  <si>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</si>
  <si>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</si>
  <si>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</si>
  <si>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</si>
  <si>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</si>
  <si>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</si>
  <si>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</si>
  <si>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</si>
  <si>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</si>
  <si>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</si>
  <si>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</si>
  <si>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</si>
  <si>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</si>
  <si>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</si>
  <si>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</si>
  <si>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</si>
  <si>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</si>
  <si>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</si>
  <si>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</si>
  <si>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</si>
  <si>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</si>
  <si>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</si>
  <si>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</si>
  <si>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</si>
  <si>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</si>
  <si>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</si>
  <si>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</si>
  <si>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</si>
  <si>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</si>
  <si>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</si>
  <si>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</si>
  <si>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</si>
  <si>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</si>
  <si>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</si>
  <si>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</si>
  <si>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</si>
  <si>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</si>
  <si>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</si>
  <si>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</si>
  <si>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</si>
  <si>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</si>
  <si>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</si>
  <si>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</si>
  <si>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</si>
  <si>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</si>
  <si>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</si>
  <si>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</si>
  <si>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</si>
  <si>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</si>
  <si>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</si>
  <si>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</si>
  <si>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</si>
  <si>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</si>
  <si>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</si>
  <si>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</si>
  <si>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</si>
  <si>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</si>
  <si>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</si>
  <si>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</si>
  <si>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</si>
  <si>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</si>
  <si>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</si>
  <si>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</si>
  <si>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</si>
  <si>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</si>
  <si>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</si>
  <si>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</si>
  <si>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</si>
  <si>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</si>
  <si>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</si>
  <si>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</si>
  <si>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</si>
  <si>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</si>
  <si>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</si>
  <si>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</si>
  <si>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</si>
  <si>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</si>
  <si>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</si>
  <si>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</si>
  <si>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</si>
  <si>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</si>
  <si>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</si>
  <si>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</si>
  <si>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</si>
  <si>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</si>
  <si>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</si>
  <si>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</si>
  <si>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</si>
  <si>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</si>
  <si>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</si>
  <si>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</si>
  <si>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</si>
  <si>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</si>
  <si>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</si>
  <si>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</si>
  <si>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</si>
  <si>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</si>
  <si>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</si>
  <si>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</si>
  <si>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</si>
  <si>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</si>
  <si>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</si>
  <si>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</si>
  <si>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</si>
  <si>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</si>
  <si>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</si>
  <si>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</si>
  <si>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</si>
  <si>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</si>
  <si>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</si>
  <si>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</si>
  <si>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</si>
  <si>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</si>
  <si>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</si>
  <si>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</si>
  <si>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</si>
  <si>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</si>
  <si>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</si>
  <si>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</si>
  <si>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</si>
  <si>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</si>
  <si>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</si>
  <si>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</si>
  <si>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</si>
  <si>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</si>
  <si>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</si>
  <si>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</si>
  <si>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</si>
  <si>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</si>
  <si>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</si>
  <si>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</si>
  <si>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</si>
  <si>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</si>
  <si>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</si>
  <si>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</si>
  <si>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</si>
  <si>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</si>
  <si>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</si>
  <si>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</si>
  <si>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</si>
  <si>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</si>
  <si>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</si>
  <si>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</si>
  <si>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</si>
  <si>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</si>
  <si>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</si>
  <si>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</si>
  <si>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</si>
  <si>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</si>
  <si>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</si>
  <si>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</si>
  <si>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</si>
  <si>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</si>
  <si>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</si>
  <si>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</si>
  <si>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</si>
  <si>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</si>
  <si>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</si>
  <si>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</si>
  <si>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</si>
  <si>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</si>
  <si>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</si>
  <si>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</si>
  <si>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</si>
  <si>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</si>
  <si>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</si>
  <si>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</si>
  <si>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</si>
  <si>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</si>
  <si>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</si>
  <si>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</si>
  <si>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</si>
  <si>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</si>
  <si>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</si>
  <si>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</si>
  <si>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</si>
  <si>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</si>
  <si>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</si>
  <si>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</si>
  <si>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</si>
  <si>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</si>
  <si>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</si>
  <si>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</si>
  <si>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</si>
  <si>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</si>
  <si>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</si>
  <si>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</si>
  <si>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</si>
  <si>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</si>
  <si>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</si>
  <si>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</si>
  <si>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</si>
  <si>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</si>
  <si>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</si>
  <si>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</si>
  <si>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</si>
  <si>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</si>
  <si>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</si>
  <si>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</si>
  <si>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</si>
  <si>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</si>
  <si>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</si>
  <si>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</si>
  <si>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</si>
  <si>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</si>
  <si>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</si>
  <si>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</si>
  <si>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</si>
  <si>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</si>
  <si>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</si>
  <si>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</si>
  <si>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</si>
  <si>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</si>
  <si>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</si>
  <si>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</si>
  <si>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</si>
  <si>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</si>
  <si>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</si>
  <si>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</si>
  <si>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</si>
  <si>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</si>
  <si>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</si>
  <si>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</si>
  <si>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</si>
  <si>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</si>
  <si>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</si>
  <si>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</si>
  <si>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</si>
  <si>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</si>
  <si>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</si>
  <si>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</si>
  <si>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</si>
  <si>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</si>
  <si>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</si>
  <si>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</si>
  <si>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</si>
  <si>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</si>
  <si>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</si>
  <si>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</si>
  <si>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</si>
  <si>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</si>
  <si>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</si>
  <si>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</si>
  <si>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</si>
  <si>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</si>
  <si>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</si>
  <si>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</si>
  <si>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</si>
  <si>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</si>
  <si>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</si>
  <si>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</si>
  <si>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</si>
  <si>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</si>
  <si>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</si>
  <si>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</si>
  <si>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</si>
  <si>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</si>
  <si>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</si>
  <si>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</si>
  <si>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</si>
  <si>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</si>
  <si>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</si>
  <si>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</si>
  <si>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</si>
  <si>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</si>
  <si>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</si>
  <si>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</si>
  <si>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</si>
  <si>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</si>
  <si>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</si>
  <si>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</si>
  <si>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</si>
  <si>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</si>
  <si>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</si>
  <si>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</si>
  <si>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</si>
  <si>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</si>
  <si>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</si>
  <si>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</si>
  <si>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</si>
  <si>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</si>
  <si>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</si>
  <si>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</si>
  <si>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</si>
  <si>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</si>
  <si>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</si>
  <si>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</si>
  <si>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</si>
  <si>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</si>
  <si>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</si>
  <si>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</si>
  <si>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</si>
  <si>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</si>
  <si>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</si>
  <si>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</si>
  <si>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</si>
  <si>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</si>
  <si>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</si>
  <si>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</si>
  <si>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</si>
  <si>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</si>
  <si>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</si>
  <si>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</si>
  <si>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</si>
  <si>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</si>
  <si>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</si>
  <si>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</si>
  <si>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</si>
  <si>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</si>
  <si>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</si>
  <si>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</si>
  <si>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</si>
  <si>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</si>
  <si>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</si>
  <si>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</si>
  <si>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</si>
  <si>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</si>
  <si>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</si>
  <si>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</si>
  <si>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</si>
  <si>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</si>
  <si>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</si>
  <si>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</si>
  <si>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</si>
  <si>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</si>
  <si>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</si>
  <si>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</si>
  <si>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</si>
  <si>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</si>
  <si>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</si>
  <si>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</si>
  <si>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</si>
  <si>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</si>
  <si>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</si>
  <si>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</si>
  <si>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</si>
  <si>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</si>
  <si>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</si>
  <si>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</si>
  <si>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</si>
  <si>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</si>
  <si>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</si>
  <si>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</si>
  <si>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</si>
  <si>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</si>
  <si>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</si>
  <si>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</si>
  <si>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</si>
  <si>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</si>
  <si>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</si>
  <si>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</si>
  <si>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</si>
  <si>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</si>
  <si>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</si>
  <si>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</si>
  <si>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</si>
  <si>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</si>
  <si>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</si>
  <si>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</si>
  <si>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</si>
  <si>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</si>
  <si>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</si>
  <si>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</si>
  <si>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</si>
  <si>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</si>
  <si>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</si>
  <si>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</si>
  <si>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</si>
  <si>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</si>
  <si>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</si>
  <si>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</si>
  <si>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</si>
  <si>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</si>
  <si>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</si>
  <si>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</si>
  <si>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</si>
  <si>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</si>
  <si>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</si>
  <si>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</si>
  <si>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</si>
  <si>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</si>
  <si>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</si>
  <si>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</si>
  <si>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</si>
  <si>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</si>
  <si>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</si>
  <si>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</si>
  <si>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</si>
  <si>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</si>
  <si>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</si>
  <si>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</si>
  <si>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</si>
  <si>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</si>
  <si>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</si>
  <si>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</si>
  <si>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</si>
  <si>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</si>
  <si>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</si>
  <si>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</si>
  <si>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</si>
  <si>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</si>
  <si>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</si>
  <si>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</si>
  <si>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</si>
  <si>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</si>
  <si>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</si>
  <si>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</si>
  <si>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</si>
  <si>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</si>
  <si>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</si>
  <si>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</si>
  <si>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</si>
  <si>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</si>
  <si>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</si>
  <si>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</si>
  <si>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</si>
  <si>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</si>
  <si>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</si>
  <si>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</si>
  <si>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</si>
  <si>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</si>
  <si>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</si>
  <si>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</si>
  <si>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</si>
  <si>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</si>
  <si>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</si>
  <si>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</si>
  <si>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</si>
  <si>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</si>
  <si>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</si>
  <si>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</si>
  <si>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</si>
  <si>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</si>
  <si>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</si>
  <si>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</si>
  <si>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</si>
  <si>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</si>
  <si>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</si>
  <si>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</si>
  <si>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</si>
  <si>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</si>
  <si>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</si>
  <si>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</si>
  <si>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</si>
  <si>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</si>
  <si>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</si>
  <si>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</si>
  <si>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</si>
  <si>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</si>
  <si>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</si>
  <si>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</si>
  <si>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</si>
  <si>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</si>
  <si>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</si>
  <si>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</si>
  <si>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</si>
  <si>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</si>
  <si>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</si>
  <si>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</si>
  <si>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</si>
  <si>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</si>
  <si>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</si>
  <si>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</si>
  <si>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</si>
  <si>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</si>
  <si>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</si>
  <si>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</si>
  <si>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</si>
  <si>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</si>
  <si>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</si>
  <si>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</si>
  <si>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</si>
  <si>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</si>
  <si>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</si>
  <si>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</si>
  <si>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</si>
  <si>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</si>
  <si>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</si>
  <si>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</si>
  <si>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</si>
  <si>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</si>
  <si>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</si>
  <si>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</si>
  <si>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</si>
  <si>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</si>
  <si>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</si>
  <si>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</si>
  <si>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</si>
  <si>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</si>
  <si>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</si>
  <si>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</si>
  <si>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</si>
  <si>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</si>
  <si>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</si>
  <si>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</si>
  <si>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</si>
  <si>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</si>
  <si>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</si>
  <si>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</si>
  <si>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</si>
  <si>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</si>
  <si>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</si>
  <si>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</si>
  <si>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</si>
  <si>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</si>
  <si>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</si>
  <si>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</si>
  <si>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</si>
  <si>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</si>
  <si>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</si>
  <si>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</si>
  <si>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</si>
  <si>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</si>
  <si>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</si>
  <si>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</si>
  <si>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</si>
  <si>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</si>
  <si>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</si>
  <si>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</si>
  <si>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</si>
  <si>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</si>
  <si>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</si>
  <si>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</si>
  <si>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</si>
  <si>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</si>
  <si>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</si>
  <si>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</si>
  <si>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</si>
  <si>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</si>
  <si>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</si>
  <si>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</si>
  <si>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</si>
  <si>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</si>
  <si>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</si>
  <si>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</si>
  <si>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</si>
  <si>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</si>
  <si>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</si>
  <si>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</si>
  <si>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</si>
  <si>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</si>
  <si>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</si>
  <si>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</si>
  <si>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</si>
  <si>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</si>
  <si>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</si>
  <si>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</si>
  <si>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</si>
  <si>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</si>
  <si>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</si>
  <si>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</si>
  <si>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</si>
  <si>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</si>
  <si>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</si>
  <si>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</si>
  <si>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</si>
  <si>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</si>
  <si>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</si>
  <si>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</si>
  <si>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</si>
  <si>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</si>
  <si>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</si>
  <si>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</si>
  <si>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</si>
  <si>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</si>
  <si>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</si>
  <si>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</si>
  <si>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</si>
  <si>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</si>
  <si>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</si>
  <si>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</si>
  <si>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</si>
  <si>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</si>
  <si>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</si>
  <si>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</si>
  <si>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</si>
  <si>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</si>
  <si>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</si>
  <si>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</si>
  <si>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</si>
  <si>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</si>
  <si>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</si>
  <si>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</si>
  <si>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</si>
  <si>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</si>
  <si>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</si>
  <si>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</si>
  <si>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</si>
  <si>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</si>
  <si>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</si>
  <si>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</si>
  <si>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</si>
  <si>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</si>
  <si>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</si>
  <si>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</si>
  <si>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</si>
  <si>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</si>
  <si>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</si>
  <si>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</si>
  <si>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</si>
  <si>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</si>
  <si>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</si>
  <si>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</si>
  <si>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</si>
  <si>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</si>
  <si>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</si>
  <si>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</si>
  <si>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</si>
  <si>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</si>
  <si>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</si>
  <si>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</si>
  <si>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</si>
  <si>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</si>
  <si>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</si>
  <si>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</si>
  <si>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</si>
  <si>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</si>
  <si>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</si>
  <si>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</si>
  <si>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</si>
  <si>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</si>
  <si>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</si>
  <si>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</si>
  <si>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</si>
  <si>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</si>
  <si>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</si>
  <si>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</si>
  <si>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</si>
  <si>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</si>
  <si>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</si>
  <si>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</si>
  <si>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</si>
  <si>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</si>
  <si>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</si>
  <si>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</si>
  <si>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</si>
  <si>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</si>
  <si>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</si>
  <si>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</si>
  <si>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</si>
  <si>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</si>
  <si>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</si>
  <si>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</si>
  <si>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</si>
  <si>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</si>
  <si>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</si>
  <si>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</si>
  <si>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</si>
  <si>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</si>
  <si>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</si>
  <si>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</si>
  <si>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</si>
  <si>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</si>
  <si>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</si>
  <si>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</si>
  <si>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</si>
  <si>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</si>
  <si>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</si>
  <si>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</si>
  <si>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</si>
  <si>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</si>
  <si>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</si>
  <si>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</si>
  <si>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</si>
  <si>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</si>
  <si>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</si>
  <si>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</si>
  <si>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</si>
  <si>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</si>
  <si>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</si>
  <si>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</si>
  <si>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</si>
  <si>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</si>
  <si>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</si>
  <si>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</si>
  <si>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</si>
  <si>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</si>
  <si>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</si>
  <si>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</si>
  <si>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</si>
  <si>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</si>
  <si>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</si>
  <si>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</si>
  <si>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</si>
  <si>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</si>
  <si>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</si>
  <si>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</si>
  <si>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</si>
  <si>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</si>
  <si>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</si>
  <si>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</si>
  <si>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</si>
  <si>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</si>
  <si>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</si>
  <si>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</si>
  <si>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</si>
  <si>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</si>
  <si>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</si>
  <si>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</si>
  <si>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</si>
  <si>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</si>
  <si>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</si>
  <si>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</si>
  <si>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</si>
  <si>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</si>
  <si>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</si>
  <si>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</si>
  <si>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</si>
  <si>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</si>
  <si>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</si>
  <si>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</si>
  <si>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</si>
  <si>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</si>
  <si>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</si>
  <si>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</si>
  <si>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</si>
  <si>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</si>
  <si>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</si>
  <si>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</si>
  <si>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</si>
  <si>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</si>
  <si>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</si>
  <si>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</si>
  <si>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</si>
  <si>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</si>
  <si>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</si>
  <si>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</si>
  <si>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</si>
  <si>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</si>
  <si>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</si>
  <si>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</si>
  <si>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</si>
  <si>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</si>
  <si>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</si>
  <si>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</si>
  <si>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</si>
  <si>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</si>
  <si>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</si>
  <si>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</si>
  <si>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</si>
  <si>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</si>
  <si>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</si>
  <si>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</si>
  <si>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</si>
  <si>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</si>
  <si>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</si>
  <si>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</si>
  <si>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</si>
  <si>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</si>
  <si>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</si>
  <si>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</si>
  <si>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</si>
  <si>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</si>
  <si>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</si>
  <si>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</si>
  <si>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</si>
  <si>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</si>
  <si>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</si>
  <si>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</si>
  <si>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</si>
  <si>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</si>
  <si>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</si>
  <si>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</si>
  <si>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</si>
  <si>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</si>
  <si>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</si>
  <si>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</si>
  <si>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</si>
  <si>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</si>
  <si>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</si>
  <si>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</si>
  <si>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</si>
  <si>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</si>
  <si>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</si>
  <si>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</si>
  <si>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</si>
  <si>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</si>
  <si>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</si>
  <si>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</si>
  <si>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</si>
  <si>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</si>
  <si>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</si>
  <si>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</si>
  <si>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</si>
  <si>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</si>
  <si>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</si>
  <si>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</si>
  <si>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</si>
  <si>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</si>
  <si>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</si>
  <si>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</si>
  <si>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</si>
  <si>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</si>
  <si>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</si>
  <si>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</si>
  <si>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</si>
  <si>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</si>
  <si>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</si>
  <si>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</si>
  <si>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</si>
  <si>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</si>
  <si>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</si>
  <si>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</si>
  <si>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</si>
  <si>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</si>
  <si>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</si>
  <si>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</si>
  <si>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</si>
  <si>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</si>
  <si>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</si>
  <si>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</si>
  <si>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</si>
  <si>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</si>
  <si>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</si>
  <si>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</si>
  <si>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</si>
  <si>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</si>
  <si>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</si>
  <si>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</si>
  <si>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</si>
  <si>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</si>
  <si>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</si>
  <si>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</si>
  <si>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</si>
  <si>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</si>
  <si>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</si>
  <si>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</si>
  <si>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</si>
  <si>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</si>
  <si>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</si>
  <si>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</si>
  <si>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</si>
  <si>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</si>
  <si>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</si>
  <si>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</si>
  <si>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</si>
  <si>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</si>
  <si>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</si>
  <si>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</si>
  <si>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</si>
  <si>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</si>
  <si>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</si>
  <si>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</si>
  <si>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</si>
  <si>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</si>
  <si>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</si>
  <si>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</si>
  <si>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</si>
  <si>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</si>
  <si>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</si>
  <si>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</si>
  <si>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</si>
  <si>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</si>
  <si>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</si>
  <si>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</si>
  <si>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</si>
  <si>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</si>
  <si>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</si>
  <si>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</si>
  <si>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</si>
  <si>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</si>
  <si>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</si>
  <si>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</si>
  <si>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</si>
  <si>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</si>
  <si>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</si>
  <si>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</si>
  <si>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</si>
  <si>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</si>
  <si>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</si>
  <si>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</si>
  <si>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</si>
  <si>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</si>
  <si>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</si>
  <si>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</si>
  <si>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</si>
  <si>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</si>
  <si>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</si>
  <si>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</si>
  <si>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</si>
  <si>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</si>
  <si>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</si>
  <si>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</si>
  <si>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</si>
  <si>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</si>
  <si>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</si>
  <si>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</si>
  <si>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</si>
  <si>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</si>
  <si>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</si>
  <si>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</si>
  <si>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</si>
  <si>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</si>
  <si>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</si>
  <si>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</si>
  <si>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</si>
  <si>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</si>
  <si>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</si>
  <si>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</si>
  <si>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</si>
  <si>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</si>
  <si>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</si>
  <si>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</si>
  <si>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</si>
  <si>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</si>
  <si>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</si>
  <si>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</si>
  <si>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</si>
  <si>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</si>
  <si>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</si>
  <si>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</si>
  <si>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</si>
  <si>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</si>
  <si>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</si>
  <si>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</si>
  <si>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</si>
  <si>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</si>
  <si>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</si>
  <si>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設定頁面最下方「禮包兌換」</t>
    <phoneticPr fontId="2" type="noConversion"/>
  </si>
  <si>
    <t>vip666</t>
    <phoneticPr fontId="2" type="noConversion"/>
  </si>
  <si>
    <t>vip888</t>
    <phoneticPr fontId="2" type="noConversion"/>
  </si>
  <si>
    <t>SVIP666</t>
    <phoneticPr fontId="2" type="noConversion"/>
  </si>
  <si>
    <t>SVIP777</t>
    <phoneticPr fontId="2" type="noConversion"/>
  </si>
  <si>
    <t>SVIP888</t>
    <phoneticPr fontId="2" type="noConversion"/>
  </si>
  <si>
    <t>問劍666</t>
    <phoneticPr fontId="2" type="noConversion"/>
  </si>
  <si>
    <t>問劍888</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</si>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</sst>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zoomScaleNormal="100" workbookViewId="0">
      <pane xSplit="1" ySplit="1" topLeftCell="I301" activePane="bottomRight" state="frozen"/>
      <selection pane="topRight" activeCell="B1" sqref="B1"/>
      <selection pane="bottomLeft" activeCell="A2" sqref="A2"/>
      <selection pane="bottomRight" activeCell="I315" sqref="I315"/>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5819</v>
      </c>
      <c r="S309" s="59">
        <v>439</v>
      </c>
      <c r="T309" s="1" t="s">
        <v>4657</v>
      </c>
      <c r="U309" s="59">
        <v>159</v>
      </c>
      <c r="V309" s="1" t="s">
        <v>4658</v>
      </c>
      <c r="W309" s="59">
        <v>32</v>
      </c>
      <c r="X309" s="1" t="s">
        <v>5820</v>
      </c>
      <c r="Y309" s="59">
        <v>159</v>
      </c>
      <c r="Z309" s="1" t="s">
        <v>5821</v>
      </c>
      <c r="AA309" s="59">
        <v>296</v>
      </c>
      <c r="AB309" s="1" t="s">
        <v>5822</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5" si="14">IF(A312="", "", "gift-codes.html?game=" &amp; A312)</f>
        <v>gift-codes.html?game=英雄來搞鬼</v>
      </c>
      <c r="G312" s="2" t="s">
        <v>5737</v>
      </c>
      <c r="H312" s="38" t="str">
        <f t="shared" ref="H312:H375"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5802</v>
      </c>
      <c r="C313" s="37" t="s">
        <v>5770</v>
      </c>
      <c r="D313" s="38" t="s">
        <v>5776</v>
      </c>
      <c r="E313" s="38" t="s">
        <v>5777</v>
      </c>
      <c r="F313" s="37" t="str">
        <f t="shared" si="14"/>
        <v>gift-codes.html?game=RO新世代：攜手同行</v>
      </c>
      <c r="G313" s="2" t="s">
        <v>5806</v>
      </c>
      <c r="H313" s="38" t="str">
        <f t="shared" si="15"/>
        <v>https://www.ssbuy.tw/game-detail.html?game=RO新世代：攜手同行</v>
      </c>
      <c r="I313" s="39" t="s">
        <v>5823</v>
      </c>
      <c r="J313" s="2" t="s">
        <v>5424</v>
      </c>
      <c r="K313" s="88" t="s">
        <v>5454</v>
      </c>
    </row>
    <row r="314" spans="1:31" ht="22.5" customHeight="1" thickBot="1">
      <c r="A314" s="83" t="s">
        <v>5803</v>
      </c>
      <c r="C314" s="37" t="s">
        <v>5767</v>
      </c>
      <c r="D314" s="38" t="s">
        <v>5768</v>
      </c>
      <c r="E314" s="38" t="s">
        <v>5769</v>
      </c>
      <c r="F314" s="37" t="str">
        <f t="shared" si="14"/>
        <v>gift-codes.html?game=星落</v>
      </c>
      <c r="G314" s="2" t="s">
        <v>5807</v>
      </c>
      <c r="H314" s="38" t="str">
        <f t="shared" si="15"/>
        <v>https://www.ssbuy.tw/game-detail.html?game=星落</v>
      </c>
      <c r="I314" s="39" t="s">
        <v>5825</v>
      </c>
      <c r="J314" s="2" t="s">
        <v>5424</v>
      </c>
      <c r="K314" s="88" t="s">
        <v>5454</v>
      </c>
    </row>
    <row r="315" spans="1:31" ht="22.5" customHeight="1" thickBot="1">
      <c r="A315" s="83" t="s">
        <v>5804</v>
      </c>
      <c r="C315" s="37" t="s">
        <v>5771</v>
      </c>
      <c r="D315" s="38" t="s">
        <v>5772</v>
      </c>
      <c r="E315" s="38" t="s">
        <v>5778</v>
      </c>
      <c r="F315" s="37" t="str">
        <f t="shared" si="14"/>
        <v>gift-codes.html?game=超自然行動組</v>
      </c>
      <c r="G315" s="2" t="s">
        <v>5808</v>
      </c>
      <c r="H315" s="38" t="str">
        <f t="shared" si="15"/>
        <v>https://www.ssbuy.tw/game-detail.html?game=超自然行動組</v>
      </c>
      <c r="I315" s="39" t="s">
        <v>5826</v>
      </c>
      <c r="J315" s="2" t="s">
        <v>5424</v>
      </c>
      <c r="K315" s="88" t="s">
        <v>5454</v>
      </c>
      <c r="L315" s="1" t="s">
        <v>5810</v>
      </c>
      <c r="M315" s="59">
        <v>2605</v>
      </c>
      <c r="N315" s="1" t="s">
        <v>5811</v>
      </c>
      <c r="O315" s="59">
        <v>1323</v>
      </c>
      <c r="P315" s="1" t="s">
        <v>5812</v>
      </c>
      <c r="Q315" s="59">
        <v>797</v>
      </c>
      <c r="R315" s="1" t="s">
        <v>5813</v>
      </c>
      <c r="S315" s="59">
        <v>600</v>
      </c>
      <c r="T315" s="1" t="s">
        <v>5814</v>
      </c>
      <c r="U315" s="59">
        <v>281</v>
      </c>
      <c r="V315" s="1" t="s">
        <v>5815</v>
      </c>
      <c r="W315" s="59">
        <v>140</v>
      </c>
      <c r="X315" s="1" t="s">
        <v>5816</v>
      </c>
      <c r="Y315" s="59">
        <v>86</v>
      </c>
      <c r="Z315" s="1" t="s">
        <v>5817</v>
      </c>
      <c r="AA315" s="59">
        <v>591</v>
      </c>
      <c r="AB315" s="1" t="s">
        <v>5818</v>
      </c>
      <c r="AC315" s="59">
        <v>314</v>
      </c>
    </row>
    <row r="316" spans="1:31" ht="22.5" customHeight="1" thickBot="1">
      <c r="A316" s="83" t="s">
        <v>5805</v>
      </c>
      <c r="C316" s="37" t="s">
        <v>5773</v>
      </c>
      <c r="D316" s="38" t="s">
        <v>5774</v>
      </c>
      <c r="E316" s="38" t="s">
        <v>5775</v>
      </c>
      <c r="F316" s="37" t="str">
        <f t="shared" si="14"/>
        <v>gift-codes.html?game=問劍長生</v>
      </c>
      <c r="G316" s="2" t="s">
        <v>5809</v>
      </c>
      <c r="H316" s="38" t="str">
        <f t="shared" si="15"/>
        <v>https://www.ssbuy.tw/game-detail.html?game=問劍長生</v>
      </c>
      <c r="I316" s="39" t="s">
        <v>5824</v>
      </c>
      <c r="J316" s="2" t="s">
        <v>5424</v>
      </c>
      <c r="K316" s="88" t="s">
        <v>5454</v>
      </c>
    </row>
    <row r="317" spans="1:31" ht="22.5" customHeight="1">
      <c r="F317" s="37" t="str">
        <f t="shared" si="14"/>
        <v/>
      </c>
      <c r="H317" s="38" t="str">
        <f t="shared" si="15"/>
        <v/>
      </c>
    </row>
    <row r="318" spans="1:31" ht="22.5" customHeight="1">
      <c r="F318" s="37" t="str">
        <f t="shared" si="14"/>
        <v/>
      </c>
      <c r="H318" s="38" t="str">
        <f t="shared" si="15"/>
        <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s>
  <pageMargins left="0.7" right="0.7" top="0.75" bottom="0.75" header="0.3" footer="0.3"/>
  <pageSetup paperSize="9" orientation="portrait" r:id="rId29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tabSelected="1" workbookViewId="0">
      <pane xSplit="1" ySplit="1" topLeftCell="M305" activePane="bottomRight" state="frozen"/>
      <selection pane="topRight" activeCell="B1" sqref="B1"/>
      <selection pane="bottomLeft" activeCell="A2" sqref="A2"/>
      <selection pane="bottomRight" activeCell="AA313" sqref="AA31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row>
    <row r="310" spans="1:3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1">
      <c r="A312" s="10" t="str">
        <f>IF(games!A312="", "", games!A312)</f>
        <v>英雄來搞鬼</v>
      </c>
      <c r="C312" s="10" t="str">
        <f t="shared" ref="C312:C375" si="14">IF(A312="","", "giftcodesbanner/" &amp; A312 &amp; "-禮包碼.jpg")</f>
        <v>giftcodesbanner/英雄來搞鬼-禮包碼.jpg</v>
      </c>
      <c r="D312" s="10" t="str">
        <f t="shared" ref="D312:D375"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5827</v>
      </c>
      <c r="Q312" s="15" t="s">
        <v>5828</v>
      </c>
      <c r="S312" s="15" t="s">
        <v>5829</v>
      </c>
      <c r="U312" s="15" t="s">
        <v>5830</v>
      </c>
      <c r="W312" s="15" t="s">
        <v>5831</v>
      </c>
      <c r="Y312" s="15" t="s">
        <v>5832</v>
      </c>
      <c r="AA312" s="15" t="s">
        <v>5833</v>
      </c>
    </row>
    <row r="313" spans="1:3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5792</v>
      </c>
      <c r="O313" s="15" t="s">
        <v>5793</v>
      </c>
      <c r="Q313" s="15" t="s">
        <v>5794</v>
      </c>
      <c r="S313" s="15" t="s">
        <v>5795</v>
      </c>
      <c r="U313" s="15" t="s">
        <v>5796</v>
      </c>
      <c r="W313" s="15" t="s">
        <v>5797</v>
      </c>
      <c r="Y313" s="15" t="s">
        <v>5798</v>
      </c>
      <c r="AA313" s="15" t="s">
        <v>5799</v>
      </c>
      <c r="AC313" s="15" t="s">
        <v>5800</v>
      </c>
      <c r="AE313" s="15" t="s">
        <v>5801</v>
      </c>
    </row>
    <row r="314" spans="1:31">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5789</v>
      </c>
      <c r="G314" s="10" t="s">
        <v>5790</v>
      </c>
      <c r="H314" s="10" t="s">
        <v>2625</v>
      </c>
      <c r="K314" s="89" t="s">
        <v>5510</v>
      </c>
      <c r="L314" s="10" t="s">
        <v>5511</v>
      </c>
      <c r="M314" s="15" t="s">
        <v>5791</v>
      </c>
    </row>
    <row r="315" spans="1:3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5781</v>
      </c>
      <c r="I316" s="10" t="s">
        <v>2625</v>
      </c>
      <c r="K316" s="89" t="s">
        <v>5510</v>
      </c>
      <c r="L316" s="10" t="s">
        <v>5511</v>
      </c>
      <c r="M316" s="15" t="s">
        <v>5782</v>
      </c>
      <c r="O316" s="15" t="s">
        <v>3331</v>
      </c>
      <c r="Q316" s="15" t="s">
        <v>5783</v>
      </c>
      <c r="S316" s="15" t="s">
        <v>5784</v>
      </c>
      <c r="U316" s="15" t="s">
        <v>5785</v>
      </c>
      <c r="W316" s="15" t="s">
        <v>5786</v>
      </c>
      <c r="Y316" s="15" t="s">
        <v>5787</v>
      </c>
      <c r="AA316" s="15" t="s">
        <v>5788</v>
      </c>
    </row>
    <row r="317" spans="1:31">
      <c r="A317" s="10" t="str">
        <f>IF(games!A317="", "", games!A317)</f>
        <v/>
      </c>
      <c r="C317" s="10" t="str">
        <f t="shared" si="14"/>
        <v/>
      </c>
      <c r="D317" s="10" t="str">
        <f t="shared" si="15"/>
        <v/>
      </c>
      <c r="E317" s="11" t="str">
        <f>IF(games!I317&lt;&gt;"", games!I317, "")</f>
        <v/>
      </c>
    </row>
    <row r="318" spans="1:31">
      <c r="A318" s="10" t="str">
        <f>IF(games!A318="", "", games!A318)</f>
        <v/>
      </c>
      <c r="C318" s="10" t="str">
        <f t="shared" si="14"/>
        <v/>
      </c>
      <c r="D318" s="10" t="str">
        <f t="shared" si="15"/>
        <v/>
      </c>
      <c r="E318" s="11" t="str">
        <f>IF(games!I318&lt;&gt;"", games!I318, "")</f>
        <v/>
      </c>
    </row>
    <row r="319" spans="1:31">
      <c r="A319" s="10" t="str">
        <f>IF(games!A319="", "", games!A319)</f>
        <v/>
      </c>
      <c r="C319" s="10" t="str">
        <f t="shared" si="14"/>
        <v/>
      </c>
      <c r="D319" s="10" t="str">
        <f t="shared" si="15"/>
        <v/>
      </c>
      <c r="E319" s="11" t="str">
        <f>IF(games!I319&lt;&gt;"", games!I319, "")</f>
        <v/>
      </c>
    </row>
    <row r="320" spans="1:31">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s>
  <pageMargins left="0.7" right="0.7" top="0.75" bottom="0.75" header="0.3" footer="0.3"/>
  <pageSetup paperSize="9" orientation="portrait" r:id="rId5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2025-11-24T08:20:35Z</dcterms:modified>
</cp:coreProperties>
</file>