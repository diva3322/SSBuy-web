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<sst xmlns="http://schemas.openxmlformats.org/spreadsheetml/2006/main" count="6773" uniqueCount="4574">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</sst>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
      <sz val="14"/>
      <color rgb="FFE2E5E9"/>
      <name val="Segoe UI Historic"/>
      <family val="2"/>
    </font>
    <font>
      <sz val="11"/>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5">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xf numFmtId="0" fontId="20" fillId="4" borderId="0" xfId="0" applyFont="1" applyFill="1" applyAlignment="1">
      <alignment horizontal="center" vertical="center" wrapText="1"/>
    </xf>
    <xf numFmtId="0" fontId="1" fillId="0" borderId="0" xfId="1"/>
    <xf numFmtId="0" fontId="23" fillId="0" borderId="0" xfId="0" applyFont="1"/>
    <xf numFmtId="0" fontId="3" fillId="3" borderId="0" xfId="0" applyFont="1" applyFill="1"/>
    <xf numFmtId="0" fontId="24" fillId="0" borderId="0" xfId="0" applyFont="1"/>
    <xf numFmtId="0" fontId="1" fillId="0" borderId="9"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45" Type="http://schemas.openxmlformats.org/officeDocument/2006/relationships/hyperlink" Target="https://dbg-squadra.bn-ent.net/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printerSettings" Target="../printerSettings/printerSettings1.bin"/><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J242" activePane="bottomRight" state="frozen"/>
      <selection pane="topRight" activeCell="B1" sqref="B1"/>
      <selection pane="bottomLeft" activeCell="A2" sqref="A2"/>
      <selection pane="bottomRight" activeCell="N236" sqref="N236"/>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235</v>
      </c>
      <c r="K239" s="2">
        <v>2286</v>
      </c>
      <c r="L239" s="1" t="s">
        <v>204</v>
      </c>
      <c r="M239" s="2">
        <v>1139</v>
      </c>
      <c r="N239" s="1" t="s">
        <v>1292</v>
      </c>
      <c r="O239" s="2">
        <v>757</v>
      </c>
      <c r="P239" s="1" t="s">
        <v>4496</v>
      </c>
      <c r="Q239" s="2">
        <v>519</v>
      </c>
      <c r="R239" s="1" t="s">
        <v>205</v>
      </c>
      <c r="S239" s="2">
        <v>256</v>
      </c>
      <c r="T239" s="1" t="s">
        <v>239</v>
      </c>
      <c r="U239" s="2">
        <v>140</v>
      </c>
      <c r="V239" s="1" t="s">
        <v>240</v>
      </c>
      <c r="W239" s="2">
        <v>27</v>
      </c>
      <c r="X239" s="1" t="s">
        <v>4497</v>
      </c>
      <c r="Y239" s="2">
        <v>380</v>
      </c>
      <c r="Z239" s="1" t="s">
        <v>4498</v>
      </c>
      <c r="AA239" s="2">
        <v>256</v>
      </c>
    </row>
    <row r="240" spans="1:33" ht="22.5" customHeight="1" thickBot="1">
      <c r="A240" s="102" t="s">
        <v>4459</v>
      </c>
      <c r="C240" s="47" t="s">
        <v>4435</v>
      </c>
      <c r="D240" s="48" t="s">
        <v>4436</v>
      </c>
      <c r="E240" s="48" t="s">
        <v>4434</v>
      </c>
      <c r="F240" s="48" t="str">
        <f t="shared" si="6"/>
        <v>https://www.ssbuy.tw/detail_giftcode/dist/giftcodes/龍息：神寂.html</v>
      </c>
      <c r="G240" s="48" t="s">
        <v>4437</v>
      </c>
      <c r="H240" s="48" t="str">
        <f t="shared" si="7"/>
        <v>https://www.ssbuy.tw/detail_giftcode/dist/gamedetail/龍息：神寂.html</v>
      </c>
      <c r="I240" s="49" t="s">
        <v>4438</v>
      </c>
      <c r="J240" s="1" t="s">
        <v>4446</v>
      </c>
      <c r="K240" s="2">
        <v>2479</v>
      </c>
      <c r="L240" s="1" t="s">
        <v>4447</v>
      </c>
      <c r="M240" s="2">
        <v>1292</v>
      </c>
      <c r="N240" s="1" t="s">
        <v>4448</v>
      </c>
      <c r="O240" s="2">
        <v>757</v>
      </c>
      <c r="P240" s="1" t="s">
        <v>4449</v>
      </c>
      <c r="Q240" s="2">
        <v>380</v>
      </c>
      <c r="R240" s="1" t="s">
        <v>4450</v>
      </c>
      <c r="S240" s="2">
        <v>140</v>
      </c>
      <c r="T240" s="1" t="s">
        <v>4451</v>
      </c>
      <c r="U240" s="2">
        <v>50</v>
      </c>
    </row>
    <row r="241" spans="1:29" ht="22.5" customHeight="1" thickBot="1">
      <c r="A241" s="80" t="s">
        <v>4460</v>
      </c>
      <c r="C241" s="47" t="s">
        <v>4467</v>
      </c>
      <c r="D241" s="47" t="s">
        <v>4465</v>
      </c>
      <c r="E241" s="48" t="s">
        <v>4466</v>
      </c>
      <c r="F241" s="48" t="str">
        <f t="shared" si="6"/>
        <v>https://www.ssbuy.tw/detail_giftcode/dist/giftcodes/玩具對決.html</v>
      </c>
      <c r="G241" s="48" t="s">
        <v>4464</v>
      </c>
      <c r="H241" s="48" t="str">
        <f t="shared" si="7"/>
        <v>https://www.ssbuy.tw/detail_giftcode/dist/gamedetail/玩具對決.html</v>
      </c>
      <c r="I241" t="s">
        <v>4477</v>
      </c>
      <c r="J241" s="1" t="s">
        <v>4481</v>
      </c>
      <c r="K241" s="2">
        <v>2286</v>
      </c>
      <c r="L241" s="1" t="s">
        <v>4482</v>
      </c>
      <c r="M241" s="2">
        <v>1139</v>
      </c>
      <c r="N241" s="1" t="s">
        <v>4206</v>
      </c>
      <c r="O241" s="2">
        <v>535</v>
      </c>
      <c r="P241" s="1" t="s">
        <v>4483</v>
      </c>
      <c r="Q241" s="2">
        <v>248</v>
      </c>
      <c r="R241" s="1" t="s">
        <v>27</v>
      </c>
      <c r="S241" s="2">
        <v>124</v>
      </c>
      <c r="T241" s="1" t="s">
        <v>3591</v>
      </c>
      <c r="U241" s="2">
        <v>25</v>
      </c>
      <c r="V241" s="1" t="s">
        <v>4484</v>
      </c>
      <c r="W241" s="2">
        <v>248</v>
      </c>
      <c r="X241" s="1" t="s">
        <v>1560</v>
      </c>
      <c r="Y241" s="2">
        <v>171</v>
      </c>
      <c r="Z241" s="1" t="s">
        <v>4485</v>
      </c>
      <c r="AA241" s="2">
        <v>124</v>
      </c>
    </row>
    <row r="242" spans="1:29" ht="22.5" customHeight="1" thickBot="1">
      <c r="A242" s="3" t="s">
        <v>4461</v>
      </c>
      <c r="C242" s="48" t="s">
        <v>4469</v>
      </c>
      <c r="D242" s="48" t="s">
        <v>4469</v>
      </c>
      <c r="E242" s="48" t="s">
        <v>4469</v>
      </c>
      <c r="F242" s="48" t="str">
        <f t="shared" si="6"/>
        <v>https://www.ssbuy.tw/detail_giftcode/dist/giftcodes/幸福都市：市長模擬器.html</v>
      </c>
      <c r="G242" s="48" t="s">
        <v>4468</v>
      </c>
      <c r="H242" s="48" t="str">
        <f t="shared" si="7"/>
        <v>https://www.ssbuy.tw/detail_giftcode/dist/gamedetail/幸福都市：市長模擬器.html</v>
      </c>
      <c r="I242" t="s">
        <v>4478</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29" ht="22.5" customHeight="1" thickBot="1">
      <c r="A243" s="3" t="s">
        <v>4462</v>
      </c>
      <c r="C243" s="47" t="s">
        <v>4476</v>
      </c>
      <c r="D243" s="48" t="s">
        <v>4474</v>
      </c>
      <c r="E243" s="48" t="s">
        <v>4471</v>
      </c>
      <c r="F243" s="48" t="str">
        <f t="shared" si="6"/>
        <v>https://www.ssbuy.tw/detail_giftcode/dist/giftcodes/黑道傳奇.html</v>
      </c>
      <c r="G243" s="48" t="s">
        <v>4470</v>
      </c>
      <c r="H243" s="48" t="str">
        <f t="shared" si="7"/>
        <v>https://www.ssbuy.tw/detail_giftcode/dist/gamedetail/黑道傳奇.html</v>
      </c>
      <c r="I243" t="s">
        <v>4479</v>
      </c>
      <c r="J243" s="1" t="s">
        <v>4486</v>
      </c>
      <c r="K243" s="2">
        <v>2479</v>
      </c>
      <c r="L243" s="1" t="s">
        <v>4487</v>
      </c>
      <c r="M243" s="2">
        <v>1292</v>
      </c>
      <c r="N243" s="1" t="s">
        <v>4488</v>
      </c>
      <c r="O243" s="2">
        <v>757</v>
      </c>
      <c r="P243" s="1" t="s">
        <v>4489</v>
      </c>
      <c r="Q243" s="2">
        <v>634</v>
      </c>
      <c r="R243" s="1" t="s">
        <v>127</v>
      </c>
      <c r="S243" s="2">
        <v>380</v>
      </c>
      <c r="T243" s="1" t="s">
        <v>128</v>
      </c>
      <c r="U243" s="2">
        <v>256</v>
      </c>
      <c r="V243" s="1" t="s">
        <v>4490</v>
      </c>
      <c r="W243" s="2">
        <v>140</v>
      </c>
      <c r="X243" s="1" t="s">
        <v>4491</v>
      </c>
      <c r="Y243" s="2">
        <v>83</v>
      </c>
      <c r="Z243" s="1" t="s">
        <v>4492</v>
      </c>
      <c r="AA243" s="2">
        <v>57</v>
      </c>
    </row>
    <row r="244" spans="1:29" ht="22.5" customHeight="1" thickBot="1">
      <c r="A244" s="80" t="s">
        <v>4463</v>
      </c>
      <c r="C244" s="47" t="s">
        <v>3659</v>
      </c>
      <c r="D244" s="48" t="s">
        <v>4475</v>
      </c>
      <c r="E244" s="48" t="s">
        <v>4472</v>
      </c>
      <c r="F244" s="48" t="str">
        <f t="shared" si="6"/>
        <v>https://www.ssbuy.tw/detail_giftcode/dist/giftcodes/The kingdom：medieval tales.html</v>
      </c>
      <c r="G244" s="48" t="s">
        <v>4473</v>
      </c>
      <c r="H244" s="48" t="str">
        <f t="shared" si="7"/>
        <v>https://www.ssbuy.tw/detail_giftcode/dist/gamedetail/The kingdom：medieval tales.html</v>
      </c>
      <c r="I244" t="s">
        <v>4480</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4493</v>
      </c>
      <c r="Y244" s="2">
        <v>225</v>
      </c>
      <c r="Z244" s="1" t="s">
        <v>4494</v>
      </c>
      <c r="AA244" s="2">
        <v>302</v>
      </c>
      <c r="AB244" s="1" t="s">
        <v>4495</v>
      </c>
      <c r="AC244" s="2">
        <v>612</v>
      </c>
    </row>
    <row r="245" spans="1:29" ht="22.5" customHeight="1" thickBot="1">
      <c r="A245" s="3" t="s">
        <v>4517</v>
      </c>
      <c r="C245" s="5" t="s">
        <v>4528</v>
      </c>
      <c r="D245" s="4" t="s">
        <v>4518</v>
      </c>
      <c r="E245" s="48" t="s">
        <v>4510</v>
      </c>
      <c r="F245" s="48" t="str">
        <f t="shared" si="6"/>
        <v>https://www.ssbuy.tw/detail_giftcode/dist/giftcodes/七龍珠激震小隊.html</v>
      </c>
      <c r="G245" s="48" t="s">
        <v>4509</v>
      </c>
      <c r="H245" s="48" t="str">
        <f t="shared" si="7"/>
        <v>https://www.ssbuy.tw/detail_giftcode/dist/gamedetail/七龍珠激震小隊.html</v>
      </c>
      <c r="I245" s="49" t="s">
        <v>4524</v>
      </c>
      <c r="J245" s="1" t="s">
        <v>4530</v>
      </c>
      <c r="K245" s="2">
        <v>2056</v>
      </c>
      <c r="L245" s="1" t="s">
        <v>4531</v>
      </c>
      <c r="M245" s="2">
        <v>1009</v>
      </c>
      <c r="N245" s="1" t="s">
        <v>4532</v>
      </c>
      <c r="O245" s="2">
        <v>519</v>
      </c>
      <c r="P245" s="1" t="s">
        <v>4533</v>
      </c>
      <c r="Q245" s="2">
        <v>178</v>
      </c>
      <c r="R245" s="1" t="s">
        <v>4534</v>
      </c>
      <c r="S245" s="2">
        <v>58</v>
      </c>
      <c r="T245" s="1" t="s">
        <v>4535</v>
      </c>
      <c r="U245" s="2">
        <v>1139</v>
      </c>
      <c r="V245" s="1" t="s">
        <v>4536</v>
      </c>
      <c r="W245" s="2">
        <v>256</v>
      </c>
    </row>
    <row r="246" spans="1:29" ht="22.5" customHeight="1" thickBot="1">
      <c r="A246" s="80" t="s">
        <v>4506</v>
      </c>
      <c r="C246" s="47" t="s">
        <v>4529</v>
      </c>
      <c r="D246" s="48" t="s">
        <v>4523</v>
      </c>
      <c r="E246" s="4" t="s">
        <v>4511</v>
      </c>
      <c r="F246" s="48" t="str">
        <f t="shared" si="6"/>
        <v>https://www.ssbuy.tw/detail_giftcode/dist/giftcodes/Grave Strikers.html</v>
      </c>
      <c r="G246" s="48" t="s">
        <v>4512</v>
      </c>
      <c r="H246" s="48" t="str">
        <f t="shared" si="7"/>
        <v>https://www.ssbuy.tw/detail_giftcode/dist/gamedetail/Grave Strikers.html</v>
      </c>
      <c r="I246" s="49" t="s">
        <v>4525</v>
      </c>
      <c r="J246" s="1" t="s">
        <v>4552</v>
      </c>
      <c r="K246" s="2">
        <v>1139</v>
      </c>
      <c r="L246" s="1" t="s">
        <v>4553</v>
      </c>
      <c r="M246" s="2">
        <v>225</v>
      </c>
      <c r="N246" s="1" t="s">
        <v>4554</v>
      </c>
      <c r="O246" s="2">
        <v>99</v>
      </c>
      <c r="P246" s="1" t="s">
        <v>4555</v>
      </c>
      <c r="Q246" s="2">
        <v>25</v>
      </c>
    </row>
    <row r="247" spans="1:29" ht="22.5" customHeight="1" thickBot="1">
      <c r="A247" s="80" t="s">
        <v>4507</v>
      </c>
      <c r="C247" s="47" t="s">
        <v>4522</v>
      </c>
      <c r="D247" s="48" t="s">
        <v>4521</v>
      </c>
      <c r="E247" s="48" t="s">
        <v>4513</v>
      </c>
      <c r="F247" s="48" t="str">
        <f t="shared" si="6"/>
        <v>https://www.ssbuy.tw/detail_giftcode/dist/giftcodes/Stellar Sanctuary.html</v>
      </c>
      <c r="G247" s="48" t="s">
        <v>4514</v>
      </c>
      <c r="H247" s="48" t="str">
        <f t="shared" si="7"/>
        <v>https://www.ssbuy.tw/detail_giftcode/dist/gamedetail/Stellar Sanctuary.html</v>
      </c>
      <c r="I247" s="49" t="s">
        <v>4526</v>
      </c>
      <c r="J247" s="1" t="s">
        <v>4551</v>
      </c>
      <c r="K247" s="2">
        <v>2623</v>
      </c>
      <c r="L247" s="1" t="s">
        <v>4556</v>
      </c>
      <c r="M247" s="2">
        <v>2623</v>
      </c>
      <c r="N247" s="1" t="s">
        <v>4557</v>
      </c>
      <c r="O247" s="2">
        <v>1330</v>
      </c>
      <c r="P247" s="1" t="s">
        <v>4558</v>
      </c>
      <c r="Q247" s="2">
        <v>543</v>
      </c>
      <c r="R247" s="1" t="s">
        <v>4559</v>
      </c>
      <c r="S247" s="2">
        <v>271</v>
      </c>
      <c r="T247" s="1" t="s">
        <v>4560</v>
      </c>
      <c r="U247" s="2">
        <v>149</v>
      </c>
      <c r="V247" s="1" t="s">
        <v>4561</v>
      </c>
      <c r="W247" s="2">
        <v>29</v>
      </c>
    </row>
    <row r="248" spans="1:29" ht="22.5" customHeight="1" thickBot="1">
      <c r="A248" s="80" t="s">
        <v>4508</v>
      </c>
      <c r="C248" s="47" t="s">
        <v>4519</v>
      </c>
      <c r="D248" s="4" t="s">
        <v>4520</v>
      </c>
      <c r="E248" s="48" t="s">
        <v>4515</v>
      </c>
      <c r="F248" s="48" t="str">
        <f t="shared" si="6"/>
        <v>https://www.ssbuy.tw/detail_giftcode/dist/giftcodes/古惑仔：風雲再起.html</v>
      </c>
      <c r="G248" s="48" t="s">
        <v>4516</v>
      </c>
      <c r="H248" s="48" t="str">
        <f t="shared" si="7"/>
        <v>https://www.ssbuy.tw/detail_giftcode/dist/gamedetail/古惑仔：風雲再起.html</v>
      </c>
      <c r="I248" s="49" t="s">
        <v>4527</v>
      </c>
      <c r="J248" s="1" t="s">
        <v>4537</v>
      </c>
      <c r="K248" s="2">
        <v>2449</v>
      </c>
      <c r="L248" s="1" t="s">
        <v>4538</v>
      </c>
      <c r="M248" s="2">
        <v>1911</v>
      </c>
      <c r="N248" s="1" t="s">
        <v>4539</v>
      </c>
      <c r="O248" s="2">
        <v>1529</v>
      </c>
      <c r="P248" s="1" t="s">
        <v>4540</v>
      </c>
      <c r="Q248" s="2">
        <v>1254</v>
      </c>
      <c r="R248" s="1" t="s">
        <v>4541</v>
      </c>
      <c r="S248" s="2">
        <v>757</v>
      </c>
      <c r="T248" s="1" t="s">
        <v>4542</v>
      </c>
      <c r="U248" s="2">
        <v>380</v>
      </c>
      <c r="V248" s="1" t="s">
        <v>4543</v>
      </c>
      <c r="W248" s="2">
        <v>264</v>
      </c>
      <c r="X248" s="1" t="s">
        <v>4544</v>
      </c>
      <c r="Y248" s="2">
        <v>124</v>
      </c>
      <c r="Z248" s="1" t="s">
        <v>4545</v>
      </c>
      <c r="AA248" s="2">
        <v>25</v>
      </c>
    </row>
    <row r="249" spans="1:29" ht="22.5" customHeight="1">
      <c r="F249" s="48" t="str">
        <f t="shared" si="6"/>
        <v/>
      </c>
      <c r="H249" s="48" t="str">
        <f t="shared" si="7"/>
        <v/>
      </c>
    </row>
    <row r="250" spans="1:29" ht="22.5" customHeight="1">
      <c r="F250" s="48" t="str">
        <f t="shared" si="6"/>
        <v/>
      </c>
      <c r="H250" s="48" t="str">
        <f t="shared" si="7"/>
        <v/>
      </c>
    </row>
    <row r="251" spans="1:29" ht="22.5" customHeight="1">
      <c r="F251" s="48" t="str">
        <f t="shared" si="6"/>
        <v/>
      </c>
      <c r="H251" s="48" t="str">
        <f t="shared" si="7"/>
        <v/>
      </c>
    </row>
    <row r="252" spans="1:29" ht="22.5" customHeight="1">
      <c r="F252" s="48" t="str">
        <f t="shared" si="6"/>
        <v/>
      </c>
      <c r="H252" s="48" t="str">
        <f t="shared" si="7"/>
        <v/>
      </c>
    </row>
    <row r="253" spans="1:29" ht="22.5" customHeight="1">
      <c r="F253" s="48" t="str">
        <f t="shared" si="6"/>
        <v/>
      </c>
      <c r="H253" s="48" t="str">
        <f t="shared" si="7"/>
        <v/>
      </c>
    </row>
    <row r="254" spans="1:29" ht="22.5" customHeight="1">
      <c r="F254" s="48" t="str">
        <f t="shared" si="6"/>
        <v/>
      </c>
      <c r="H254" s="48" t="str">
        <f t="shared" si="7"/>
        <v/>
      </c>
    </row>
    <row r="255" spans="1:29" ht="22.5" customHeight="1">
      <c r="F255" s="48" t="str">
        <f t="shared" si="6"/>
        <v/>
      </c>
      <c r="H255" s="48" t="str">
        <f t="shared" si="7"/>
        <v/>
      </c>
    </row>
    <row r="256" spans="1:29"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IF(A573="", "", "gift-codes.html?game=" &amp; A573)</f>
        <v/>
      </c>
      <c r="H573" s="48" t="str">
        <f t="shared" ref="H573:H631" si="20">IF(A573="", "", "https://www.ssbuy.tw/game-detail.html?game="&amp;A573)</f>
        <v/>
      </c>
    </row>
    <row r="574" spans="6:8">
      <c r="F574" s="47" t="str">
        <f>IF(A574="", "", "gift-codes.html?game=" &amp; A574)</f>
        <v/>
      </c>
      <c r="H574" s="48" t="str">
        <f t="shared" si="20"/>
        <v/>
      </c>
    </row>
    <row r="575" spans="6:8">
      <c r="F575" s="47" t="str">
        <f>IF(A575="", "", "gift-codes.html?game=" &amp; A575)</f>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s>
  <pageMargins left="0.7" right="0.7" top="0.75" bottom="0.75" header="0.3" footer="0.3"/>
  <pageSetup paperSize="9" orientation="portrait" r:id="rId1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F239" activePane="bottomRight" state="frozen"/>
      <selection pane="topRight" activeCell="B1" sqref="B1"/>
      <selection pane="bottomLeft" activeCell="A2" sqref="A2"/>
      <selection pane="bottomRight" activeCell="F248" sqref="F248"/>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4"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4"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c r="AG148" s="18" t="s">
        <v>4452</v>
      </c>
      <c r="AH148" s="13" t="s">
        <v>1922</v>
      </c>
    </row>
    <row r="149" spans="1:34"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4"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4"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4"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4"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4"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4"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4"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c r="M156" s="18" t="s">
        <v>4453</v>
      </c>
      <c r="O156" s="18" t="s">
        <v>4454</v>
      </c>
      <c r="Q156" s="18" t="s">
        <v>4455</v>
      </c>
      <c r="S156" s="18" t="s">
        <v>4456</v>
      </c>
      <c r="U156" s="18" t="s">
        <v>4457</v>
      </c>
      <c r="W156" s="18" t="s">
        <v>4458</v>
      </c>
    </row>
    <row r="157" spans="1:34"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4"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4"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4"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0" t="s">
        <v>4425</v>
      </c>
      <c r="G225" s="79" t="s">
        <v>4426</v>
      </c>
      <c r="H225" s="79" t="s">
        <v>4427</v>
      </c>
      <c r="I225" s="79" t="s">
        <v>4428</v>
      </c>
      <c r="J225" s="79" t="s">
        <v>4429</v>
      </c>
      <c r="K225" s="79" t="s">
        <v>4411</v>
      </c>
      <c r="L225" s="76" t="s">
        <v>2648</v>
      </c>
      <c r="M225" s="79" t="s">
        <v>4412</v>
      </c>
      <c r="O225" s="79" t="s">
        <v>4413</v>
      </c>
      <c r="Q225" s="79" t="s">
        <v>4414</v>
      </c>
      <c r="S225" s="79" t="s">
        <v>4415</v>
      </c>
      <c r="U225" s="79" t="s">
        <v>4416</v>
      </c>
      <c r="W225" s="79" t="s">
        <v>4417</v>
      </c>
      <c r="Y225" s="79" t="s">
        <v>4418</v>
      </c>
      <c r="AA225" s="79" t="s">
        <v>4419</v>
      </c>
      <c r="AC225" s="79" t="s">
        <v>4420</v>
      </c>
      <c r="AE225" s="79" t="s">
        <v>4421</v>
      </c>
      <c r="AG225" s="79" t="s">
        <v>4422</v>
      </c>
      <c r="AI225" s="79" t="s">
        <v>4423</v>
      </c>
      <c r="AK225" s="79" t="s">
        <v>4424</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c r="M227" s="18" t="s">
        <v>4298</v>
      </c>
      <c r="O227" s="18" t="s">
        <v>4299</v>
      </c>
      <c r="Q227" s="101" t="s">
        <v>4430</v>
      </c>
      <c r="R227" s="13" t="s">
        <v>4433</v>
      </c>
      <c r="S227" s="101" t="s">
        <v>4431</v>
      </c>
      <c r="T227" s="13" t="s">
        <v>4433</v>
      </c>
      <c r="U227" s="101" t="s">
        <v>4432</v>
      </c>
      <c r="V227" s="13" t="s">
        <v>4433</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4569</v>
      </c>
      <c r="G228" s="76" t="s">
        <v>4570</v>
      </c>
      <c r="H228" s="13" t="s">
        <v>2633</v>
      </c>
      <c r="I228" s="13" t="s">
        <v>3789</v>
      </c>
      <c r="K228" s="79" t="s">
        <v>1784</v>
      </c>
      <c r="L228" s="76"/>
      <c r="M228" s="79" t="s">
        <v>1716</v>
      </c>
      <c r="O228" s="79" t="s">
        <v>1717</v>
      </c>
      <c r="Q228" s="79" t="s">
        <v>1822</v>
      </c>
      <c r="S228" s="79" t="s">
        <v>4566</v>
      </c>
      <c r="U228" s="79" t="s">
        <v>4567</v>
      </c>
      <c r="W228" s="79" t="s">
        <v>4568</v>
      </c>
      <c r="Y228" s="79" t="s">
        <v>2548</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4127</v>
      </c>
      <c r="G234" s="76" t="s">
        <v>4409</v>
      </c>
      <c r="H234" s="13" t="s">
        <v>2633</v>
      </c>
      <c r="I234" s="13" t="s">
        <v>4410</v>
      </c>
      <c r="K234" s="79" t="s">
        <v>4405</v>
      </c>
      <c r="L234" s="79" t="s">
        <v>4407</v>
      </c>
      <c r="M234" s="79" t="s">
        <v>4406</v>
      </c>
      <c r="N234" s="79" t="s">
        <v>4408</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4127</v>
      </c>
      <c r="G235" s="76" t="s">
        <v>4403</v>
      </c>
      <c r="H235" s="13" t="s">
        <v>2633</v>
      </c>
      <c r="I235" s="13" t="s">
        <v>4404</v>
      </c>
      <c r="K235" s="75" t="s">
        <v>4392</v>
      </c>
      <c r="L235" s="76" t="s">
        <v>2648</v>
      </c>
      <c r="M235" s="79" t="s">
        <v>4393</v>
      </c>
      <c r="O235" s="79" t="s">
        <v>4394</v>
      </c>
      <c r="Q235" s="79" t="s">
        <v>4395</v>
      </c>
      <c r="S235" s="79" t="s">
        <v>4396</v>
      </c>
      <c r="U235" s="79" t="s">
        <v>4394</v>
      </c>
      <c r="W235" s="79" t="s">
        <v>4397</v>
      </c>
      <c r="Y235" s="99" t="s">
        <v>2301</v>
      </c>
      <c r="Z235" s="99"/>
      <c r="AA235" s="99" t="s">
        <v>4398</v>
      </c>
      <c r="AC235" s="79" t="s">
        <v>2300</v>
      </c>
      <c r="AE235" s="79" t="s">
        <v>1821</v>
      </c>
      <c r="AG235" s="79" t="s">
        <v>1784</v>
      </c>
      <c r="AI235" s="79" t="s">
        <v>1716</v>
      </c>
      <c r="AK235" s="79" t="s">
        <v>1717</v>
      </c>
      <c r="AM235" s="79" t="s">
        <v>1822</v>
      </c>
      <c r="AO235" s="79" t="s">
        <v>4399</v>
      </c>
      <c r="AQ235" s="79" t="s">
        <v>4400</v>
      </c>
      <c r="AS235" s="79" t="s">
        <v>4401</v>
      </c>
      <c r="AU235" s="79" t="s">
        <v>4402</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0" t="s">
        <v>4499</v>
      </c>
      <c r="G236" s="76" t="s">
        <v>4500</v>
      </c>
      <c r="K236" s="103" t="s">
        <v>4501</v>
      </c>
      <c r="L236" s="76"/>
      <c r="M236" s="103" t="s">
        <v>4502</v>
      </c>
      <c r="O236" s="103" t="s">
        <v>4503</v>
      </c>
      <c r="Q236" s="103" t="s">
        <v>4504</v>
      </c>
      <c r="S236" s="103" t="s">
        <v>4505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75" t="s">
        <v>2648</v>
      </c>
      <c r="G237" s="76" t="s">
        <v>2648</v>
      </c>
      <c r="K237" s="75" t="s">
        <v>2648</v>
      </c>
      <c r="L237" s="76" t="s">
        <v>2648</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75" t="s">
        <v>2648</v>
      </c>
      <c r="G238" s="76" t="s">
        <v>2648</v>
      </c>
      <c r="K238" s="75" t="s">
        <v>2648</v>
      </c>
      <c r="L238" s="76" t="s">
        <v>2648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2648</v>
      </c>
      <c r="G239" s="76" t="s">
        <v>2648</v>
      </c>
      <c r="K239" s="75" t="s">
        <v>2648</v>
      </c>
      <c r="L239" s="76" t="s">
        <v>2648</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4444</v>
      </c>
      <c r="G240" s="13" t="s">
        <v>4445</v>
      </c>
      <c r="H240" s="13" t="s">
        <v>2633</v>
      </c>
      <c r="I240" s="13" t="s">
        <v>4404</v>
      </c>
      <c r="K240" s="17" t="s">
        <v>4439</v>
      </c>
      <c r="L240" s="13" t="s">
        <v>4441</v>
      </c>
      <c r="M240" s="18" t="s">
        <v>4440</v>
      </c>
      <c r="N240" s="13" t="s">
        <v>4441</v>
      </c>
      <c r="O240" s="18" t="s">
        <v>4442</v>
      </c>
      <c r="P240" s="13" t="s">
        <v>4443</v>
      </c>
    </row>
    <row r="241" spans="1:1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75" t="s">
        <v>2648</v>
      </c>
      <c r="G241" s="76" t="s">
        <v>2648</v>
      </c>
      <c r="K241" s="17" t="s">
        <v>4572</v>
      </c>
      <c r="L241" s="13" t="s">
        <v>4562</v>
      </c>
    </row>
    <row r="242" spans="1:1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75" t="s">
        <v>2648</v>
      </c>
      <c r="G242" s="76" t="s">
        <v>2648</v>
      </c>
      <c r="K242" s="75" t="s">
        <v>2648</v>
      </c>
      <c r="L242" s="76" t="s">
        <v>2648</v>
      </c>
    </row>
    <row r="243" spans="1:1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75" t="s">
        <v>2648</v>
      </c>
      <c r="G243" s="76" t="s">
        <v>2648</v>
      </c>
      <c r="K243" s="75" t="s">
        <v>2648</v>
      </c>
      <c r="L243" s="76" t="s">
        <v>2648</v>
      </c>
    </row>
    <row r="244" spans="1:1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75" t="s">
        <v>2648</v>
      </c>
      <c r="G244" s="76" t="s">
        <v>2648</v>
      </c>
      <c r="K244" s="75" t="s">
        <v>2648</v>
      </c>
      <c r="L244" s="76" t="s">
        <v>2648</v>
      </c>
    </row>
    <row r="245" spans="1:1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4" t="s">
        <v>4573</v>
      </c>
      <c r="G245" s="13" t="s">
        <v>4571</v>
      </c>
      <c r="K245" s="17" t="s">
        <v>4572</v>
      </c>
      <c r="L245" s="13" t="s">
        <v>4562</v>
      </c>
    </row>
    <row r="246" spans="1:1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4572</v>
      </c>
      <c r="G246" s="13" t="s">
        <v>4562</v>
      </c>
      <c r="K246" s="17" t="s">
        <v>4572</v>
      </c>
      <c r="L246" s="13" t="s">
        <v>4562</v>
      </c>
    </row>
    <row r="247" spans="1:1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4563</v>
      </c>
      <c r="G247" s="13" t="s">
        <v>4564</v>
      </c>
      <c r="H247" s="13" t="s">
        <v>2633</v>
      </c>
      <c r="I247" s="13" t="s">
        <v>4404</v>
      </c>
      <c r="K247" s="17" t="s">
        <v>4572</v>
      </c>
      <c r="L247" s="13" t="s">
        <v>4562</v>
      </c>
    </row>
    <row r="248" spans="1:1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4565</v>
      </c>
      <c r="G248" s="13" t="s">
        <v>4445</v>
      </c>
      <c r="H248" s="13" t="s">
        <v>2633</v>
      </c>
      <c r="I248" s="13" t="s">
        <v>4404</v>
      </c>
      <c r="K248" s="17" t="s">
        <v>1934</v>
      </c>
      <c r="L248" s="13" t="s">
        <v>4549</v>
      </c>
      <c r="M248" s="18" t="s">
        <v>4546</v>
      </c>
      <c r="N248" s="13" t="s">
        <v>4550</v>
      </c>
      <c r="O248" s="18" t="s">
        <v>4547</v>
      </c>
      <c r="P248" s="13" t="s">
        <v>4548</v>
      </c>
    </row>
    <row r="249" spans="1:16" ht="22.5" customHeight="1">
      <c r="A249" s="13" t="str">
        <f>IF(games!A249="", "", games!A249)</f>
        <v/>
      </c>
      <c r="C249" s="13" t="str">
        <f t="shared" si="7"/>
        <v/>
      </c>
      <c r="D249" s="13" t="str">
        <f t="shared" si="8"/>
        <v/>
      </c>
      <c r="E249" s="14" t="str">
        <f>IF(games!I249&lt;&gt;"", games!I249, "")</f>
        <v/>
      </c>
    </row>
    <row r="250" spans="1:16" ht="22.5" customHeight="1">
      <c r="A250" s="13" t="str">
        <f>IF(games!A250="", "", games!A250)</f>
        <v/>
      </c>
      <c r="C250" s="13" t="str">
        <f t="shared" si="7"/>
        <v/>
      </c>
      <c r="D250" s="13" t="str">
        <f t="shared" si="8"/>
        <v/>
      </c>
      <c r="E250" s="14" t="str">
        <f>IF(games!I250&lt;&gt;"", games!I250, "")</f>
        <v/>
      </c>
    </row>
    <row r="251" spans="1:16" ht="22.5" customHeight="1">
      <c r="C251" s="13" t="str">
        <f t="shared" si="7"/>
        <v/>
      </c>
      <c r="D251" s="13" t="str">
        <f t="shared" si="8"/>
        <v/>
      </c>
      <c r="E251" s="14" t="str">
        <f>IF(games!I251&lt;&gt;"", games!I251, "")</f>
        <v/>
      </c>
    </row>
    <row r="252" spans="1:16" ht="22.5" customHeight="1">
      <c r="C252" s="13" t="str">
        <f t="shared" si="7"/>
        <v/>
      </c>
      <c r="D252" s="13" t="str">
        <f t="shared" si="8"/>
        <v/>
      </c>
      <c r="E252" s="14" t="str">
        <f>IF(games!I252&lt;&gt;"", games!I252, "")</f>
        <v/>
      </c>
    </row>
    <row r="253" spans="1:16" ht="22.5" customHeight="1">
      <c r="C253" s="13" t="str">
        <f t="shared" ref="C253:C316" si="9">IF(A253="","", "giftcodesbanner/" &amp; A253 &amp; "-禮包碼.jpg")</f>
        <v/>
      </c>
      <c r="D253" s="13" t="str">
        <f t="shared" si="8"/>
        <v/>
      </c>
      <c r="E253" s="14" t="str">
        <f>IF(games!I253&lt;&gt;"", games!I253, "")</f>
        <v/>
      </c>
    </row>
    <row r="254" spans="1:16" ht="22.5" customHeight="1">
      <c r="C254" s="13" t="str">
        <f t="shared" si="9"/>
        <v/>
      </c>
      <c r="D254" s="13" t="str">
        <f t="shared" si="8"/>
        <v/>
      </c>
      <c r="E254" s="14" t="str">
        <f>IF(games!I254&lt;&gt;"", games!I254, "")</f>
        <v/>
      </c>
    </row>
    <row r="255" spans="1:16" ht="22.5" customHeight="1">
      <c r="C255" s="13" t="str">
        <f t="shared" si="9"/>
        <v/>
      </c>
      <c r="D255" s="13" t="str">
        <f t="shared" si="8"/>
        <v/>
      </c>
    </row>
    <row r="256" spans="1:16"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2025-09-21T07:58:37Z</dcterms:modified>
</cp:coreProperties>
</file>