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<sst xmlns="http://schemas.openxmlformats.org/spreadsheetml/2006/main" count="8719" uniqueCount="5955">
  <si>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</si>
  <si>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</si>
  <si>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</si>
  <si>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</si>
  <si>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</si>
  <si>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</si>
  <si>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</si>
  <si>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</si>
  <si>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</si>
  <si>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</si>
  <si>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</si>
  <si>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</si>
  <si>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</si>
  <si>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</si>
  <si>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</si>
  <si>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</si>
  <si>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</si>
  <si>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</si>
  <si>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</si>
  <si>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</si>
  <si>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</si>
  <si>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</si>
  <si>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</si>
  <si>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</si>
  <si>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</si>
  <si>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</si>
  <si>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</si>
  <si>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</si>
  <si>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</si>
  <si>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</si>
  <si>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</si>
  <si>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</si>
  <si>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</si>
  <si>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</si>
  <si>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</si>
  <si>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</si>
  <si>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</si>
  <si>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</si>
  <si>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</si>
  <si>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</si>
  <si>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</si>
  <si>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</si>
  <si>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</si>
  <si>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</si>
  <si>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</si>
  <si>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</si>
  <si>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</si>
  <si>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</si>
  <si>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</si>
  <si>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</si>
  <si>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</si>
  <si>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</si>
  <si>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</si>
  <si>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</si>
  <si>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</si>
  <si>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</si>
  <si>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</si>
  <si>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</si>
  <si>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</si>
  <si>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</si>
  <si>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</si>
  <si>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</si>
  <si>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</si>
  <si>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</si>
  <si>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</si>
  <si>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</si>
  <si>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</si>
  <si>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</si>
  <si>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</si>
  <si>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</si>
  <si>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</si>
  <si>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</si>
  <si>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</si>
  <si>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</si>
  <si>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</si>
  <si>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</si>
  <si>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</si>
  <si>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</si>
  <si>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</si>
  <si>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</si>
  <si>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</si>
  <si>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</si>
  <si>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</si>
  <si>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</si>
  <si>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</si>
  <si>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</si>
  <si>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</si>
  <si>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</si>
  <si>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</si>
  <si>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</si>
  <si>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</si>
  <si>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</si>
  <si>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</si>
  <si>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</si>
  <si>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</si>
  <si>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</si>
  <si>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</si>
  <si>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</si>
  <si>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</si>
  <si>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</si>
  <si>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</si>
  <si>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</si>
  <si>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</si>
  <si>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</si>
  <si>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</si>
  <si>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</si>
  <si>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</si>
  <si>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</si>
  <si>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</si>
  <si>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</si>
  <si>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</si>
  <si>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</si>
  <si>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</si>
  <si>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</si>
  <si>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</si>
  <si>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</si>
  <si>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</si>
  <si>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</si>
  <si>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</si>
  <si>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</si>
  <si>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</si>
  <si>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</si>
  <si>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</si>
  <si>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</si>
  <si>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</si>
  <si>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</si>
  <si>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</si>
  <si>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</si>
  <si>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</si>
  <si>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</si>
  <si>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</si>
  <si>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</si>
  <si>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</si>
  <si>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</si>
  <si>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</si>
  <si>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</si>
  <si>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</si>
  <si>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</si>
  <si>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</si>
  <si>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</si>
  <si>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</si>
  <si>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</si>
  <si>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</si>
  <si>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</si>
  <si>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</si>
  <si>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</si>
  <si>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</si>
  <si>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</si>
  <si>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</si>
  <si>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</si>
  <si>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</si>
  <si>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</si>
  <si>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</si>
  <si>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</si>
  <si>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</si>
  <si>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</si>
  <si>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</si>
  <si>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</si>
  <si>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</si>
  <si>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</si>
  <si>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</si>
  <si>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</si>
  <si>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</si>
  <si>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</si>
  <si>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</si>
  <si>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</si>
  <si>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</si>
  <si>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</si>
  <si>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</si>
  <si>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</si>
  <si>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</si>
  <si>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</si>
  <si>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</si>
  <si>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</si>
  <si>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</si>
  <si>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</si>
  <si>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</si>
  <si>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</si>
  <si>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</si>
  <si>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</si>
  <si>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</si>
  <si>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</si>
  <si>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</si>
  <si>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</si>
  <si>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</si>
  <si>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</si>
  <si>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</si>
  <si>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</si>
  <si>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</si>
  <si>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</si>
  <si>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</si>
  <si>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</si>
  <si>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</si>
  <si>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</si>
  <si>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</si>
  <si>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</si>
  <si>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</si>
  <si>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</si>
  <si>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</si>
  <si>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</si>
  <si>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</si>
  <si>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</si>
  <si>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</si>
  <si>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</si>
  <si>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</si>
  <si>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</si>
  <si>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</si>
  <si>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</si>
  <si>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</si>
  <si>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</si>
  <si>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</si>
  <si>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</si>
  <si>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</si>
  <si>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</si>
  <si>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</si>
  <si>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</si>
  <si>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</si>
  <si>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</si>
  <si>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</si>
  <si>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</si>
  <si>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</si>
  <si>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</si>
  <si>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</si>
  <si>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</si>
  <si>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</si>
  <si>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</si>
  <si>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</si>
  <si>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</si>
  <si>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</si>
  <si>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</si>
  <si>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</si>
  <si>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</si>
  <si>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</si>
  <si>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</si>
  <si>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</si>
  <si>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</si>
  <si>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</si>
  <si>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</si>
  <si>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</si>
  <si>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</si>
  <si>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</si>
  <si>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</si>
  <si>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</si>
  <si>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</si>
  <si>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</si>
  <si>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</si>
  <si>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</si>
  <si>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</si>
  <si>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</si>
  <si>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</si>
  <si>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</si>
  <si>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</si>
  <si>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</si>
  <si>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</si>
  <si>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</si>
  <si>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</si>
  <si>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</si>
  <si>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</si>
  <si>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</si>
  <si>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</si>
  <si>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</si>
  <si>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</si>
  <si>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</si>
  <si>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</si>
  <si>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</si>
  <si>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</si>
  <si>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</si>
  <si>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</si>
  <si>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</si>
  <si>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</si>
  <si>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</si>
  <si>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</si>
  <si>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</si>
  <si>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</si>
  <si>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</si>
  <si>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</si>
  <si>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</si>
  <si>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</si>
  <si>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</si>
  <si>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</si>
  <si>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</si>
  <si>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</si>
  <si>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</si>
  <si>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</si>
  <si>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</si>
  <si>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</si>
  <si>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</si>
  <si>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</si>
  <si>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</si>
  <si>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</si>
  <si>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</si>
  <si>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</si>
  <si>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</si>
  <si>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</si>
  <si>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</si>
  <si>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</si>
  <si>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</si>
  <si>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</si>
  <si>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</si>
  <si>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</si>
  <si>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</si>
  <si>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</si>
  <si>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</si>
  <si>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</si>
  <si>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</si>
  <si>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</si>
  <si>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</si>
  <si>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</si>
  <si>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</si>
  <si>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</si>
  <si>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</si>
  <si>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</si>
  <si>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</si>
  <si>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</si>
  <si>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</si>
  <si>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</si>
  <si>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</si>
  <si>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</si>
  <si>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</si>
  <si>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</si>
  <si>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</si>
  <si>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</si>
  <si>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</si>
  <si>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</si>
  <si>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</si>
  <si>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</si>
  <si>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</si>
  <si>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</si>
  <si>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</si>
  <si>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</si>
  <si>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</si>
  <si>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</si>
  <si>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</si>
  <si>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</si>
  <si>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</si>
  <si>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</si>
  <si>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</si>
  <si>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</si>
  <si>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</si>
  <si>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</si>
  <si>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</si>
  <si>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</si>
  <si>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</si>
  <si>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</si>
  <si>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</si>
  <si>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</si>
  <si>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</si>
  <si>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</si>
  <si>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</si>
  <si>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</si>
  <si>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</si>
  <si>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</si>
  <si>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</si>
  <si>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</si>
  <si>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</si>
  <si>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</si>
  <si>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</si>
  <si>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</si>
  <si>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</si>
  <si>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</si>
  <si>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</si>
  <si>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</si>
  <si>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</si>
  <si>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</si>
  <si>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</si>
  <si>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</si>
  <si>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</si>
  <si>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</si>
  <si>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</si>
  <si>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</si>
  <si>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</si>
  <si>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</si>
  <si>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</si>
  <si>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</si>
  <si>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</si>
  <si>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</si>
  <si>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</si>
  <si>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</si>
  <si>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</si>
  <si>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</si>
  <si>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</si>
  <si>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</si>
  <si>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</si>
  <si>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</si>
  <si>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</si>
  <si>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</si>
  <si>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</si>
  <si>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</si>
  <si>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</si>
  <si>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</si>
  <si>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</si>
  <si>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</si>
  <si>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</si>
  <si>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</si>
  <si>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</si>
  <si>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</si>
  <si>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</si>
  <si>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</si>
  <si>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</si>
  <si>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</si>
  <si>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</si>
  <si>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</si>
  <si>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</si>
  <si>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</si>
  <si>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</si>
  <si>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</si>
  <si>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</si>
  <si>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</si>
  <si>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</si>
  <si>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</si>
  <si>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</si>
  <si>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</si>
  <si>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</si>
  <si>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</si>
  <si>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</si>
  <si>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</si>
  <si>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</si>
  <si>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</si>
  <si>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</si>
  <si>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</si>
  <si>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</si>
  <si>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</si>
  <si>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</si>
  <si>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</si>
  <si>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</si>
  <si>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</si>
  <si>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</si>
  <si>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</si>
  <si>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</si>
  <si>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</si>
  <si>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</si>
  <si>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</si>
  <si>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</si>
  <si>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</si>
  <si>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</si>
  <si>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</si>
  <si>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</si>
  <si>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</si>
  <si>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</si>
  <si>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</si>
  <si>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</si>
  <si>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</si>
  <si>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</si>
  <si>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</si>
  <si>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</si>
  <si>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</si>
  <si>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</si>
  <si>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</si>
  <si>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</si>
  <si>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</si>
  <si>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</si>
  <si>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</si>
  <si>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</si>
  <si>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</si>
  <si>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</si>
  <si>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</si>
  <si>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</si>
  <si>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</si>
  <si>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</si>
  <si>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</si>
  <si>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</si>
  <si>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</si>
  <si>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</si>
  <si>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</si>
  <si>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</si>
  <si>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</si>
  <si>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</si>
  <si>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</si>
  <si>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</si>
  <si>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</si>
  <si>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</si>
  <si>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</si>
  <si>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</si>
  <si>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</si>
  <si>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</si>
  <si>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</si>
  <si>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</si>
  <si>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</si>
  <si>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</si>
  <si>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</si>
  <si>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</si>
  <si>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</si>
  <si>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</si>
  <si>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</si>
  <si>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</si>
  <si>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</si>
  <si>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</si>
  <si>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</si>
  <si>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</si>
  <si>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</si>
  <si>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</si>
  <si>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</si>
  <si>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</si>
  <si>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</si>
  <si>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</si>
  <si>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</si>
  <si>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</si>
  <si>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</si>
  <si>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</si>
  <si>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</si>
  <si>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</si>
  <si>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</si>
  <si>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</si>
  <si>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</si>
  <si>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</si>
  <si>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</si>
  <si>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</si>
  <si>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</si>
  <si>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</si>
  <si>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</si>
  <si>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</si>
  <si>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</si>
  <si>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</si>
  <si>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</si>
  <si>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</si>
  <si>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</si>
  <si>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</si>
  <si>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</si>
  <si>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</si>
  <si>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</si>
  <si>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</si>
  <si>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</si>
  <si>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</si>
  <si>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</si>
  <si>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</si>
  <si>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</si>
  <si>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</si>
  <si>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</si>
  <si>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</si>
  <si>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</si>
  <si>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</si>
  <si>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</si>
  <si>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</si>
  <si>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</si>
  <si>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</si>
  <si>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</si>
  <si>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</si>
  <si>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</si>
  <si>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</si>
  <si>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</si>
  <si>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</si>
  <si>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</si>
  <si>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</si>
  <si>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</si>
  <si>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</si>
  <si>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</si>
  <si>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</si>
  <si>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</si>
  <si>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</si>
  <si>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</si>
  <si>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</si>
  <si>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</si>
  <si>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</si>
  <si>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</si>
  <si>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</si>
  <si>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</si>
  <si>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</si>
  <si>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</si>
  <si>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</si>
  <si>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</si>
  <si>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</si>
  <si>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</si>
  <si>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</si>
  <si>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</si>
  <si>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</si>
  <si>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</si>
  <si>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</si>
  <si>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</si>
  <si>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</si>
  <si>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</si>
  <si>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</si>
  <si>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</si>
  <si>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</si>
  <si>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</si>
  <si>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</si>
  <si>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</si>
  <si>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</si>
  <si>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</si>
  <si>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</si>
  <si>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</si>
  <si>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</si>
  <si>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</si>
  <si>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</si>
  <si>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</si>
  <si>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</si>
  <si>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</si>
  <si>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</si>
  <si>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</si>
  <si>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</si>
  <si>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</si>
  <si>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</si>
  <si>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</si>
  <si>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</si>
  <si>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</si>
  <si>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</si>
  <si>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</si>
  <si>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</si>
  <si>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</si>
  <si>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</si>
  <si>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</si>
  <si>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</si>
  <si>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</si>
  <si>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</si>
  <si>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</si>
  <si>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</si>
  <si>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</si>
  <si>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</si>
  <si>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</si>
  <si>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</si>
  <si>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</si>
  <si>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</si>
  <si>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</si>
  <si>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</si>
  <si>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</si>
  <si>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</si>
  <si>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</si>
  <si>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</si>
  <si>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</si>
  <si>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</si>
  <si>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</si>
  <si>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</si>
  <si>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</si>
  <si>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</si>
  <si>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</si>
  <si>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</si>
  <si>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</si>
  <si>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</si>
  <si>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</si>
  <si>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</si>
  <si>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</si>
  <si>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</si>
  <si>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</si>
  <si>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</si>
  <si>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</si>
  <si>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</si>
  <si>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</si>
  <si>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</si>
  <si>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</si>
  <si>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</si>
  <si>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</si>
  <si>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</si>
  <si>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</si>
  <si>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</si>
  <si>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</si>
  <si>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</si>
  <si>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</si>
  <si>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</si>
  <si>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</si>
  <si>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</si>
  <si>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</si>
  <si>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</si>
  <si>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</si>
  <si>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</si>
  <si>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</si>
  <si>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</si>
  <si>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</si>
  <si>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</si>
  <si>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</si>
  <si>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</si>
  <si>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</si>
  <si>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</si>
  <si>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</si>
  <si>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</si>
  <si>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</si>
  <si>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</si>
  <si>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</si>
  <si>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</si>
  <si>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</si>
  <si>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</si>
  <si>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</si>
  <si>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</si>
  <si>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</si>
  <si>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</si>
  <si>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</si>
  <si>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</si>
  <si>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</si>
  <si>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</si>
  <si>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</si>
  <si>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</si>
  <si>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</si>
  <si>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</si>
  <si>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</si>
  <si>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</si>
  <si>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</si>
  <si>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</si>
  <si>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</si>
  <si>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</si>
  <si>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</si>
  <si>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</si>
  <si>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</si>
  <si>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</si>
  <si>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</si>
  <si>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</si>
  <si>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</si>
  <si>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</si>
  <si>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</si>
  <si>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</si>
  <si>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</si>
  <si>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</si>
  <si>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</si>
  <si>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</si>
  <si>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</si>
  <si>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</si>
  <si>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</si>
  <si>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</si>
  <si>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</si>
  <si>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</si>
  <si>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</si>
  <si>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</si>
  <si>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</si>
  <si>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</si>
  <si>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</si>
  <si>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</si>
  <si>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</si>
  <si>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</si>
  <si>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</si>
  <si>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</si>
  <si>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</si>
  <si>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</si>
  <si>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</si>
  <si>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</si>
  <si>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</si>
  <si>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</si>
  <si>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</si>
  <si>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</si>
  <si>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</si>
  <si>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</si>
  <si>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</si>
  <si>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</si>
  <si>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</si>
  <si>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</si>
  <si>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</si>
  <si>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</si>
  <si>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</si>
  <si>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</si>
  <si>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</si>
  <si>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</si>
  <si>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</si>
  <si>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</si>
  <si>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</si>
  <si>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</si>
  <si>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</si>
  <si>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</si>
  <si>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</si>
  <si>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</si>
  <si>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</si>
  <si>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</si>
  <si>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</si>
  <si>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</si>
  <si>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</si>
  <si>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</si>
  <si>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</si>
  <si>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</si>
  <si>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</si>
  <si>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</si>
  <si>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</si>
  <si>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</si>
  <si>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</si>
  <si>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</si>
  <si>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</si>
  <si>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</si>
  <si>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</si>
  <si>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</si>
  <si>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</si>
  <si>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</si>
  <si>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</si>
  <si>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</si>
  <si>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</si>
  <si>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</si>
  <si>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</si>
  <si>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</si>
  <si>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</si>
  <si>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</si>
  <si>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</si>
  <si>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</si>
  <si>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</si>
  <si>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</si>
  <si>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</si>
  <si>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</si>
  <si>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</si>
  <si>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</si>
  <si>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</si>
  <si>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</si>
  <si>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</si>
  <si>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</si>
  <si>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</si>
  <si>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</si>
  <si>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</si>
  <si>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</si>
  <si>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</si>
  <si>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</si>
  <si>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</si>
  <si>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</si>
  <si>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</si>
  <si>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</si>
  <si>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</si>
  <si>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</si>
  <si>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</si>
  <si>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</si>
  <si>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</si>
  <si>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</si>
  <si>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</si>
  <si>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</si>
  <si>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</si>
  <si>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</si>
  <si>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</si>
  <si>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</si>
  <si>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</si>
  <si>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</si>
  <si>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</si>
  <si>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</si>
  <si>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</si>
  <si>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</si>
  <si>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</si>
  <si>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</si>
  <si>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</si>
  <si>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</si>
  <si>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</si>
  <si>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</si>
  <si>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</si>
  <si>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</si>
  <si>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</si>
  <si>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</si>
  <si>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</si>
  <si>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</si>
  <si>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</si>
  <si>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</si>
  <si>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</si>
  <si>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</si>
  <si>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</si>
  <si>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</si>
  <si>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</si>
  <si>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</si>
  <si>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</si>
  <si>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</si>
  <si>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</si>
  <si>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</si>
  <si>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</si>
  <si>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</si>
  <si>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</si>
  <si>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</si>
  <si>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</si>
  <si>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</si>
  <si>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</si>
  <si>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</si>
  <si>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</si>
  <si>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</si>
  <si>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</si>
  <si>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</si>
  <si>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</si>
  <si>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</si>
  <si>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</si>
  <si>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</si>
  <si>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</si>
  <si>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</si>
  <si>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</si>
  <si>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</si>
  <si>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</si>
  <si>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</si>
  <si>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</si>
  <si>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</si>
  <si>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</si>
  <si>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</si>
  <si>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</si>
  <si>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</si>
  <si>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</si>
  <si>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</si>
  <si>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</si>
  <si>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</si>
  <si>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</si>
  <si>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</si>
  <si>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</si>
  <si>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</si>
  <si>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</si>
  <si>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</si>
  <si>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</si>
  <si>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</si>
  <si>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</si>
  <si>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</si>
  <si>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</si>
  <si>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</si>
  <si>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</si>
  <si>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</si>
  <si>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</si>
  <si>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</si>
  <si>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</si>
  <si>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</si>
  <si>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</si>
  <si>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</si>
  <si>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</si>
  <si>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</si>
  <si>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</si>
  <si>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</si>
  <si>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</si>
  <si>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</si>
  <si>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</si>
  <si>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</si>
  <si>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</si>
  <si>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</si>
  <si>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</si>
  <si>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</si>
  <si>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</si>
  <si>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</si>
  <si>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</si>
  <si>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</si>
  <si>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</si>
  <si>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</si>
  <si>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</si>
  <si>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</si>
  <si>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</si>
  <si>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</si>
  <si>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</si>
  <si>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</si>
  <si>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</si>
  <si>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</si>
  <si>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</si>
  <si>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</si>
  <si>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</si>
  <si>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</si>
  <si>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</si>
  <si>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</si>
  <si>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</si>
  <si>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</si>
  <si>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</si>
  <si>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</si>
  <si>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</si>
  <si>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</si>
  <si>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</si>
  <si>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</si>
  <si>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</si>
  <si>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</si>
  <si>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</si>
  <si>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</si>
  <si>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</si>
  <si>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</si>
  <si>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</si>
  <si>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</si>
  <si>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</si>
  <si>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</si>
  <si>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</si>
  <si>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</si>
  <si>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</si>
  <si>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</si>
  <si>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</si>
  <si>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</si>
  <si>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</si>
  <si>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</si>
  <si>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</si>
  <si>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</si>
  <si>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</si>
  <si>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</si>
  <si>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</si>
  <si>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</si>
  <si>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</si>
  <si>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</si>
  <si>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</si>
  <si>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</si>
  <si>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</si>
  <si>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</si>
  <si>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</si>
  <si>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</si>
  <si>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</si>
  <si>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</si>
  <si>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</si>
  <si>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</si>
  <si>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</si>
  <si>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</si>
  <si>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</si>
  <si>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</si>
  <si>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</si>
  <si>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</si>
  <si>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</si>
  <si>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</si>
  <si>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</si>
  <si>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</si>
  <si>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</si>
  <si>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</si>
  <si>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</si>
  <si>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</si>
  <si>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</si>
  <si>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</si>
  <si>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</si>
  <si>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</si>
  <si>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</si>
  <si>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</si>
  <si>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</si>
  <si>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</si>
  <si>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</si>
  <si>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</si>
  <si>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</si>
  <si>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</si>
  <si>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</si>
  <si>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</si>
  <si>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</si>
  <si>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</si>
  <si>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</si>
  <si>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</si>
  <si>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</si>
  <si>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</si>
  <si>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</si>
  <si>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</si>
  <si>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</si>
  <si>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</si>
  <si>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</si>
  <si>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</si>
  <si>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</si>
  <si>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</si>
  <si>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</si>
  <si>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</si>
  <si>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</si>
  <si>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</si>
  <si>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</si>
  <si>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</si>
  <si>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</si>
  <si>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</si>
  <si>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</si>
  <si>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</si>
  <si>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</si>
  <si>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</si>
  <si>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</si>
  <si>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</si>
  <si>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</si>
  <si>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</si>
  <si>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</si>
  <si>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</si>
  <si>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</si>
  <si>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</si>
  <si>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</si>
  <si>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</si>
  <si>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</si>
  <si>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</si>
  <si>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</si>
  <si>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</si>
  <si>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</si>
  <si>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</si>
  <si>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</si>
  <si>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</si>
  <si>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</si>
  <si>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</si>
  <si>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</si>
  <si>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</si>
  <si>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</si>
  <si>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</si>
  <si>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</si>
  <si>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</si>
  <si>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</si>
  <si>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</si>
  <si>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</si>
  <si>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</si>
  <si>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</si>
  <si>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</si>
  <si>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</si>
  <si>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</si>
  <si>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</si>
  <si>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</si>
  <si>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</si>
  <si>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</si>
  <si>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</si>
  <si>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</si>
  <si>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</si>
  <si>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</si>
  <si>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</si>
  <si>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</si>
  <si>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</si>
  <si>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</si>
  <si>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</si>
  <si>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</si>
  <si>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</si>
  <si>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</si>
  <si>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</si>
  <si>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</si>
  <si>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</si>
  <si>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</si>
  <si>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</si>
  <si>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</si>
  <si>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</si>
  <si>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</si>
  <si>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</si>
  <si>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</si>
  <si>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</si>
  <si>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</si>
  <si>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</si>
  <si>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</si>
  <si>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</si>
  <si>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</si>
  <si>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</si>
  <si>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</si>
  <si>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</si>
  <si>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</si>
  <si>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</si>
  <si>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</si>
  <si>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</si>
  <si>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</si>
  <si>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</si>
  <si>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</si>
  <si>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</si>
  <si>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</si>
  <si>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</si>
  <si>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</si>
  <si>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</si>
  <si>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</si>
  <si>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</si>
  <si>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</si>
  <si>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</si>
  <si>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</si>
  <si>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</si>
  <si>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</si>
  <si>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</si>
  <si>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</si>
  <si>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</si>
  <si>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</si>
  <si>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</si>
  <si>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</si>
  <si>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</si>
  <si>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</si>
  <si>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</si>
  <si>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</si>
  <si>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</si>
  <si>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</si>
  <si>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</si>
  <si>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</si>
  <si>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</si>
  <si>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</si>
  <si>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</si>
  <si>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</si>
  <si>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</si>
  <si>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</si>
  <si>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</si>
  <si>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</si>
  <si>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</si>
  <si>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</si>
  <si>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</si>
  <si>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</si>
  <si>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</si>
  <si>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</si>
  <si>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</si>
  <si>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</si>
  <si>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</si>
  <si>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</si>
  <si>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</si>
  <si>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</si>
  <si>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</si>
  <si>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</si>
  <si>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</si>
  <si>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</si>
  <si>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</si>
  <si>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</si>
  <si>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</si>
  <si>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</si>
  <si>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</si>
  <si>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</si>
  <si>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</si>
  <si>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</si>
  <si>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</si>
  <si>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</si>
  <si>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</si>
  <si>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</si>
  <si>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</si>
  <si>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</si>
  <si>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</si>
  <si>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</si>
  <si>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</si>
  <si>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</si>
  <si>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</si>
  <si>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</si>
  <si>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</si>
  <si>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</si>
  <si>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</si>
  <si>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</si>
  <si>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</si>
  <si>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</si>
  <si>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</si>
  <si>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</si>
  <si>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</si>
  <si>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</si>
  <si>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</si>
  <si>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</si>
  <si>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</si>
  <si>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</si>
  <si>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</si>
  <si>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</si>
  <si>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</si>
  <si>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</si>
  <si>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</si>
  <si>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</si>
  <si>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</si>
  <si>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</si>
  <si>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</si>
  <si>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</si>
  <si>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</si>
  <si>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</si>
  <si>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</si>
  <si>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</si>
  <si>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</si>
  <si>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</si>
  <si>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</si>
  <si>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</si>
  <si>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</si>
  <si>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</si>
  <si>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</si>
  <si>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</si>
  <si>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</si>
  <si>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</si>
  <si>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</si>
  <si>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</si>
  <si>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</si>
  <si>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</si>
  <si>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</si>
  <si>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</si>
  <si>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</si>
  <si>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</si>
  <si>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</si>
  <si>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</si>
  <si>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</si>
  <si>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</si>
  <si>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</si>
  <si>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</si>
  <si>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</si>
  <si>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</si>
  <si>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</si>
  <si>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</si>
  <si>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</si>
  <si>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</si>
  <si>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</si>
  <si>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</si>
  <si>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</si>
  <si>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</si>
  <si>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</si>
  <si>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</si>
  <si>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</si>
  <si>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</si>
  <si>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</si>
  <si>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</si>
  <si>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</si>
  <si>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</si>
  <si>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</si>
  <si>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</si>
  <si>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</si>
  <si>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</si>
  <si>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</si>
  <si>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</si>
  <si>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</si>
  <si>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</si>
  <si>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</si>
  <si>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</si>
  <si>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</si>
  <si>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</si>
  <si>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</si>
  <si>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</si>
  <si>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</si>
  <si>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</si>
  <si>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</si>
  <si>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</si>
  <si>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</si>
  <si>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</si>
  <si>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</si>
  <si>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</si>
  <si>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</si>
  <si>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</si>
  <si>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</si>
  <si>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</si>
  <si>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</si>
  <si>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</si>
  <si>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</si>
  <si>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</si>
  <si>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</si>
  <si>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</si>
  <si>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</si>
  <si>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</si>
  <si>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</si>
  <si>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</si>
  <si>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</si>
  <si>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</si>
  <si>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</si>
  <si>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</si>
  <si>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</si>
  <si>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</si>
  <si>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</si>
  <si>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</si>
  <si>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</si>
  <si>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</si>
  <si>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</si>
  <si>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</si>
  <si>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</si>
  <si>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</si>
  <si>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</si>
  <si>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</si>
  <si>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</si>
  <si>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</si>
  <si>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</si>
  <si>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</si>
  <si>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</si>
  <si>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</si>
  <si>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</si>
  <si>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</si>
  <si>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</si>
  <si>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</si>
  <si>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</si>
  <si>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</si>
  <si>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</si>
  <si>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</si>
  <si>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</si>
  <si>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</si>
  <si>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</si>
  <si>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</si>
  <si>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</si>
  <si>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</si>
  <si>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</si>
  <si>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</si>
  <si>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</si>
  <si>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</si>
  <si>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</si>
  <si>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</si>
  <si>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</si>
  <si>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</si>
  <si>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</si>
  <si>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</si>
  <si>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</si>
  <si>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</si>
  <si>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</si>
  <si>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</si>
  <si>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</si>
  <si>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</si>
  <si>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</si>
  <si>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</si>
  <si>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</si>
  <si>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</si>
  <si>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</si>
  <si>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</si>
  <si>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</si>
  <si>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</si>
  <si>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</si>
  <si>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</si>
  <si>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</si>
  <si>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</si>
  <si>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</si>
  <si>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</si>
  <si>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</si>
  <si>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</si>
  <si>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</si>
  <si>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</si>
  <si>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</si>
  <si>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</si>
  <si>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</si>
  <si>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</si>
  <si>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</si>
  <si>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</si>
  <si>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</si>
  <si>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</si>
  <si>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</si>
  <si>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</si>
  <si>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</si>
  <si>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</si>
  <si>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</si>
  <si>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</si>
  <si>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</si>
  <si>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</si>
  <si>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</si>
  <si>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</si>
  <si>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</si>
  <si>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</si>
  <si>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</si>
  <si>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</si>
  <si>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</si>
  <si>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</si>
  <si>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</si>
  <si>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</si>
  <si>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</si>
  <si>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</si>
  <si>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</si>
  <si>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</si>
  <si>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</si>
  <si>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</si>
  <si>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</si>
  <si>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</si>
  <si>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</si>
  <si>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</si>
  <si>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</si>
  <si>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</si>
  <si>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</si>
  <si>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</si>
  <si>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</si>
  <si>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</si>
  <si>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</si>
  <si>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</si>
  <si>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</si>
  <si>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</si>
  <si>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</si>
  <si>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</si>
  <si>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</si>
  <si>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</si>
  <si>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</si>
  <si>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</si>
  <si>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</si>
  <si>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</si>
  <si>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</si>
  <si>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</si>
  <si>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</si>
  <si>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</si>
  <si>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</si>
  <si>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</si>
  <si>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</si>
  <si>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</si>
  <si>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</si>
  <si>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</si>
  <si>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</si>
  <si>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</si>
  <si>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</si>
  <si>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</si>
  <si>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</si>
  <si>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</si>
  <si>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</si>
  <si>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</si>
  <si>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</si>
  <si>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</si>
  <si>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</si>
  <si>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</si>
  <si>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</si>
  <si>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</si>
  <si>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</si>
  <si>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</si>
  <si>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</si>
  <si>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</si>
  <si>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</si>
  <si>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</si>
  <si>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</si>
  <si>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</si>
  <si>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</si>
  <si>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</si>
  <si>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</si>
  <si>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</si>
  <si>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</si>
  <si>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</si>
  <si>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</si>
  <si>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</si>
  <si>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</si>
  <si>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</si>
  <si>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</si>
  <si>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</si>
  <si>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</si>
  <si>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</si>
  <si>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</si>
  <si>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</si>
  <si>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</si>
  <si>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</si>
  <si>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</si>
  <si>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</si>
  <si>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</si>
  <si>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</si>
  <si>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</si>
  <si>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</si>
  <si>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</si>
  <si>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</si>
  <si>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</si>
  <si>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</si>
  <si>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</si>
  <si>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</si>
  <si>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</si>
  <si>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</si>
  <si>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</si>
  <si>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</si>
  <si>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</si>
  <si>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</si>
  <si>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</si>
  <si>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</si>
  <si>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</si>
  <si>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</si>
  <si>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</si>
  <si>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</si>
  <si>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</si>
  <si>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</si>
  <si>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</si>
  <si>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</si>
  <si>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</si>
  <si>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</si>
  <si>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</si>
  <si>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</si>
  <si>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</si>
  <si>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</si>
  <si>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</si>
  <si>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</si>
  <si>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</si>
  <si>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</si>
  <si>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</si>
  <si>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</si>
  <si>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</si>
  <si>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</si>
  <si>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</si>
  <si>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</si>
  <si>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</si>
  <si>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</si>
  <si>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</si>
  <si>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</si>
  <si>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</si>
  <si>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</si>
  <si>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</si>
  <si>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</si>
  <si>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</si>
  <si>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</si>
  <si>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</si>
  <si>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</si>
  <si>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</si>
  <si>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</si>
  <si>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</si>
  <si>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</si>
  <si>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</si>
  <si>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</si>
  <si>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</si>
  <si>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</si>
  <si>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</si>
  <si>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</si>
  <si>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</si>
  <si>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</si>
  <si>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</si>
  <si>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</si>
  <si>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</si>
  <si>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</si>
  <si>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</si>
  <si>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</si>
  <si>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</si>
  <si>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</si>
  <si>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</si>
  <si>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</si>
  <si>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</si>
  <si>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</si>
  <si>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</si>
  <si>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</si>
  <si>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</si>
  <si>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</si>
  <si>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</si>
  <si>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</si>
  <si>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</si>
  <si>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</si>
  <si>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</si>
  <si>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</si>
  <si>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</si>
  <si>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</si>
  <si>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</si>
  <si>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</si>
  <si>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</si>
  <si>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</si>
  <si>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</si>
  <si>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</si>
  <si>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</si>
  <si>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</si>
  <si>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</si>
  <si>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</si>
  <si>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</si>
  <si>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</si>
  <si>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</si>
  <si>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</si>
  <si>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</si>
  <si>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</si>
  <si>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</si>
  <si>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</si>
  <si>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</si>
  <si>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</si>
  <si>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</si>
  <si>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</si>
  <si>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</si>
  <si>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</si>
  <si>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</si>
  <si>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</si>
  <si>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</si>
  <si>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</si>
  <si>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</si>
  <si>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</si>
  <si>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</si>
  <si>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</si>
  <si>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</si>
  <si>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</si>
  <si>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</si>
  <si>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</si>
  <si>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</si>
  <si>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</si>
  <si>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</si>
  <si>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</si>
  <si>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</si>
  <si>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</si>
  <si>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</si>
  <si>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</si>
  <si>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</si>
  <si>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</si>
  <si>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</si>
  <si>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</si>
  <si>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</si>
  <si>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</si>
  <si>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</si>
  <si>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</si>
  <si>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</si>
  <si>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</si>
  <si>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</si>
  <si>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</si>
  <si>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</si>
  <si>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</si>
  <si>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</si>
  <si>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</si>
  <si>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</si>
  <si>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</si>
  <si>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</si>
  <si>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</si>
  <si>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</si>
  <si>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</si>
  <si>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</si>
  <si>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</si>
  <si>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</si>
  <si>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</si>
  <si>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</si>
  <si>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</si>
  <si>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</si>
  <si>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</si>
  <si>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</si>
  <si>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</si>
  <si>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</si>
  <si>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</si>
  <si>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</si>
  <si>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</si>
  <si>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</si>
  <si>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</si>
  <si>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</si>
  <si>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</si>
  <si>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</si>
  <si>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</si>
  <si>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</si>
  <si>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</si>
  <si>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</si>
  <si>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</si>
  <si>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</si>
  <si>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</si>
  <si>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</si>
  <si>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</si>
  <si>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</si>
  <si>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</si>
  <si>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</si>
  <si>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</si>
  <si>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</si>
  <si>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</si>
  <si>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</si>
  <si>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</si>
  <si>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</si>
  <si>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</si>
  <si>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</si>
  <si>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</si>
  <si>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</si>
  <si>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</si>
  <si>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</si>
  <si>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</si>
  <si>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</si>
  <si>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</si>
  <si>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</si>
  <si>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</si>
  <si>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</si>
  <si>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</si>
  <si>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</si>
  <si>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</si>
  <si>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</si>
  <si>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</si>
  <si>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</si>
  <si>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</si>
  <si>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</si>
  <si>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</si>
  <si>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</si>
  <si>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</si>
  <si>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</si>
  <si>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</si>
  <si>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</si>
  <si>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</si>
  <si>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</si>
  <si>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</si>
  <si>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</si>
  <si>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</si>
  <si>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</si>
  <si>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</si>
  <si>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</si>
  <si>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</si>
  <si>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</si>
  <si>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</si>
  <si>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</si>
  <si>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</si>
  <si>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</si>
  <si>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</si>
  <si>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</si>
  <si>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</si>
  <si>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</si>
  <si>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</si>
  <si>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</si>
  <si>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</si>
  <si>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</si>
  <si>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</si>
  <si>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</si>
  <si>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</si>
  <si>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</si>
  <si>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</si>
  <si>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</si>
  <si>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</si>
  <si>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</si>
  <si>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</si>
  <si>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</si>
  <si>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</si>
  <si>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</si>
  <si>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</si>
  <si>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</si>
  <si>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</si>
  <si>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</si>
  <si>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</si>
  <si>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</si>
  <si>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</si>
  <si>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</si>
  <si>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</si>
  <si>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</si>
  <si>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</si>
  <si>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</si>
  <si>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</si>
  <si>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</si>
  <si>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</si>
  <si>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</si>
  <si>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</si>
  <si>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</si>
  <si>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</si>
  <si>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</si>
  <si>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</si>
  <si>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</si>
  <si>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</si>
  <si>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</si>
  <si>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</si>
  <si>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</si>
  <si>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</si>
  <si>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</si>
  <si>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</si>
  <si>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</si>
  <si>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</si>
  <si>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</si>
  <si>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</si>
  <si>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</si>
  <si>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</si>
  <si>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</si>
  <si>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</si>
  <si>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</si>
  <si>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</si>
  <si>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</si>
  <si>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</si>
  <si>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</si>
  <si>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</si>
  <si>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</si>
  <si>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</si>
  <si>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</si>
  <si>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</si>
  <si>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</si>
  <si>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</si>
  <si>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</si>
  <si>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</si>
  <si>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</si>
  <si>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</si>
  <si>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</si>
  <si>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</si>
  <si>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</si>
  <si>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</si>
  <si>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</si>
  <si>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</si>
  <si>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</si>
  <si>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</si>
  <si>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</si>
  <si>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</si>
  <si>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</si>
  <si>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</si>
  <si>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</si>
  <si>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</si>
  <si>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</si>
  <si>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</si>
  <si>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</si>
  <si>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</si>
  <si>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</si>
  <si>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</si>
  <si>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</si>
  <si>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</si>
  <si>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</si>
  <si>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</si>
  <si>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</si>
  <si>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</si>
  <si>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</si>
  <si>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</si>
  <si>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</si>
  <si>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</si>
  <si>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</si>
  <si>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</si>
  <si>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</si>
  <si>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</si>
  <si>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</si>
  <si>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</si>
  <si>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</si>
  <si>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</si>
  <si>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</si>
  <si>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</si>
  <si>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</si>
  <si>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</si>
  <si>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</si>
  <si>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</si>
  <si>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</si>
  <si>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</si>
  <si>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</si>
  <si>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</si>
  <si>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</si>
  <si>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</si>
  <si>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</si>
  <si>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</si>
  <si>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</si>
  <si>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</si>
  <si>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</si>
  <si>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</si>
  <si>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</si>
  <si>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</si>
  <si>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</si>
  <si>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</si>
  <si>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</si>
  <si>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</si>
  <si>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</si>
  <si>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</si>
  <si>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</si>
  <si>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</si>
  <si>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</si>
  <si>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</si>
  <si>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</si>
  <si>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</si>
  <si>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</si>
  <si>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</si>
  <si>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</si>
  <si>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</si>
  <si>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</si>
  <si>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</si>
  <si>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</si>
  <si>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</si>
  <si>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</si>
  <si>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</si>
  <si>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</si>
  <si>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</si>
  <si>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</si>
  <si>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</si>
  <si>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</si>
  <si>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</si>
  <si>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</si>
  <si>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</si>
  <si>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</si>
  <si>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</si>
  <si>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</si>
  <si>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</si>
  <si>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</si>
  <si>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</si>
  <si>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</si>
  <si>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</si>
  <si>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</si>
  <si>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</si>
  <si>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</si>
  <si>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</si>
  <si>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</si>
  <si>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</si>
  <si>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</si>
  <si>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</si>
  <si>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</si>
  <si>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</si>
  <si>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</si>
  <si>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</si>
  <si>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</si>
  <si>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</si>
  <si>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</si>
  <si>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</si>
  <si>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</si>
  <si>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</si>
  <si>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</si>
  <si>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</si>
  <si>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</si>
  <si>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</si>
  <si>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</si>
  <si>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</si>
  <si>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</si>
  <si>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</si>
  <si>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</si>
  <si>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</si>
  <si>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</si>
  <si>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</si>
  <si>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</si>
  <si>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</si>
  <si>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</si>
  <si>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</si>
  <si>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</si>
  <si>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</si>
  <si>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</si>
  <si>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</si>
  <si>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</si>
  <si>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</si>
  <si>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</si>
  <si>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</si>
  <si>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</si>
  <si>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</si>
  <si>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</si>
  <si>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</si>
  <si>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</si>
  <si>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</si>
  <si>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</si>
  <si>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</si>
  <si>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</si>
  <si>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</si>
  <si>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</si>
  <si>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</si>
  <si>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</si>
  <si>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</si>
  <si>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</si>
  <si>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</si>
  <si>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</si>
  <si>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</si>
  <si>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</si>
  <si>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</si>
  <si>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</si>
  <si>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</si>
  <si>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</si>
  <si>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</si>
  <si>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</si>
  <si>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</si>
  <si>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</si>
  <si>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</si>
  <si>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</si>
  <si>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</si>
  <si>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</si>
  <si>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</si>
  <si>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</si>
  <si>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</si>
  <si>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</si>
  <si>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</si>
  <si>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</si>
  <si>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</si>
  <si>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</si>
  <si>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</si>
  <si>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</si>
  <si>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</si>
  <si>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</si>
  <si>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</si>
  <si>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</si>
  <si>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</si>
  <si>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</si>
  <si>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</si>
  <si>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</si>
  <si>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</si>
  <si>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</si>
  <si>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</si>
  <si>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</si>
  <si>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</si>
  <si>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</si>
  <si>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</si>
  <si>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</si>
  <si>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</si>
  <si>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</si>
  <si>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</si>
  <si>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</si>
  <si>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</si>
  <si>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</si>
  <si>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</si>
  <si>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</si>
  <si>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</si>
  <si>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</si>
  <si>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</si>
  <si>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</si>
  <si>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</si>
  <si>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</si>
  <si>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</si>
  <si>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</si>
  <si>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</si>
  <si>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</si>
  <si>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</si>
  <si>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</si>
  <si>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</si>
  <si>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</si>
  <si>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</si>
  <si>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</si>
  <si>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</si>
  <si>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</si>
  <si>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</si>
  <si>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</si>
  <si>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</si>
  <si>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</si>
  <si>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</si>
  <si>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</si>
  <si>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</si>
  <si>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</si>
  <si>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</si>
  <si>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</si>
  <si>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</si>
  <si>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</si>
  <si>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</si>
  <si>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</si>
  <si>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</si>
  <si>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</si>
  <si>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</si>
  <si>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</si>
  <si>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</si>
  <si>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</si>
  <si>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</si>
  <si>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</si>
  <si>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</si>
  <si>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</si>
  <si>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</si>
  <si>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</si>
  <si>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</si>
  <si>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</si>
  <si>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</si>
  <si>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</si>
  <si>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</si>
  <si>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</si>
  <si>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</si>
  <si>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</si>
  <si>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</si>
  <si>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</si>
  <si>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</si>
  <si>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</si>
  <si>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</si>
  <si>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</si>
  <si>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</si>
  <si>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</si>
  <si>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</si>
  <si>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</si>
  <si>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</si>
  <si>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</si>
  <si>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</si>
  <si>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</si>
  <si>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</si>
  <si>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</si>
  <si>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</si>
  <si>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</si>
  <si>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</si>
  <si>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</si>
  <si>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</si>
  <si>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</si>
  <si>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</si>
  <si>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</si>
  <si>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</si>
  <si>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</si>
  <si>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</si>
  <si>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</si>
  <si>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</si>
  <si>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</si>
  <si>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</si>
  <si>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</si>
  <si>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</si>
  <si>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</si>
  <si>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</si>
  <si>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</si>
  <si>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</si>
  <si>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</si>
  <si>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</si>
  <si>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</si>
  <si>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</si>
  <si>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</si>
  <si>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</si>
  <si>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</si>
  <si>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</si>
  <si>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</si>
  <si>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</si>
  <si>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</si>
  <si>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</si>
  <si>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</si>
  <si>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</si>
  <si>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</si>
  <si>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</si>
  <si>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</si>
  <si>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</si>
  <si>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</si>
  <si>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</si>
  <si>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</si>
  <si>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</si>
  <si>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</si>
  <si>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</si>
  <si>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</si>
  <si>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</si>
  <si>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</si>
  <si>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</si>
  <si>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</si>
  <si>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</si>
  <si>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</si>
  <si>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</si>
  <si>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</si>
  <si>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</si>
  <si>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</si>
  <si>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</si>
  <si>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</si>
  <si>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</si>
  <si>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</si>
  <si>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</si>
  <si>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</si>
  <si>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</si>
  <si>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</si>
  <si>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</si>
  <si>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</si>
  <si>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</si>
  <si>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</si>
  <si>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</si>
  <si>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</si>
  <si>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</si>
  <si>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</si>
  <si>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</si>
  <si>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</si>
  <si>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</si>
  <si>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</si>
  <si>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</si>
  <si>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</si>
  <si>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</si>
  <si>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</si>
  <si>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</si>
  <si>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</si>
  <si>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</si>
  <si>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</si>
  <si>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</si>
  <si>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</si>
  <si>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</si>
  <si>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</si>
  <si>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</si>
  <si>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</si>
  <si>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</si>
  <si>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</si>
  <si>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</si>
  <si>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</si>
  <si>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</si>
  <si>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</si>
  <si>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</si>
  <si>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</si>
  <si>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</si>
  <si>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</si>
  <si>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</si>
  <si>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</si>
  <si>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</si>
  <si>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</si>
  <si>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</si>
  <si>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</si>
  <si>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</si>
  <si>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</si>
  <si>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</si>
  <si>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</si>
  <si>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</si>
  <si>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</si>
  <si>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</si>
  <si>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</si>
  <si>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</si>
  <si>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</si>
  <si>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</si>
  <si>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</si>
  <si>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</si>
  <si>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</si>
  <si>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</si>
  <si>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</si>
  <si>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</si>
  <si>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</si>
  <si>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</si>
  <si>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</si>
  <si>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</si>
  <si>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</si>
  <si>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</si>
  <si>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</si>
  <si>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</si>
  <si>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</si>
  <si>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</si>
  <si>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</si>
  <si>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</si>
  <si>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</si>
  <si>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</si>
  <si>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</si>
  <si>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</si>
  <si>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</si>
  <si>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</si>
  <si>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</si>
  <si>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</si>
  <si>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</si>
  <si>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</si>
  <si>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</si>
  <si>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</si>
  <si>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</si>
  <si>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</si>
  <si>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</si>
  <si>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</si>
  <si>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</si>
  <si>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</si>
  <si>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</si>
  <si>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</si>
  <si>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</si>
  <si>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</si>
  <si>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</si>
  <si>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</si>
  <si>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</si>
  <si>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</si>
  <si>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</si>
  <si>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</si>
  <si>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</si>
  <si>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</si>
  <si>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</si>
  <si>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</si>
  <si>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</si>
  <si>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</si>
  <si>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</si>
  <si>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</si>
  <si>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</si>
  <si>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</si>
  <si>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</si>
  <si>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</si>
  <si>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</si>
  <si>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</si>
  <si>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</si>
  <si>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</si>
  <si>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</si>
  <si>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</si>
  <si>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</si>
  <si>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</si>
  <si>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</si>
  <si>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</si>
  <si>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</si>
  <si>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</si>
  <si>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</si>
  <si>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</si>
  <si>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</si>
  <si>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</si>
  <si>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</si>
  <si>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</si>
  <si>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</si>
  <si>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</si>
  <si>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</si>
  <si>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</si>
  <si>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</si>
  <si>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</si>
  <si>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</si>
  <si>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</si>
  <si>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</si>
  <si>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</si>
  <si>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</si>
  <si>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</si>
  <si>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</si>
  <si>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</si>
  <si>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</si>
  <si>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</si>
  <si>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</si>
  <si>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</si>
  <si>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</si>
  <si>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</si>
  <si>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</si>
  <si>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</si>
  <si>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</si>
  <si>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</si>
  <si>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</si>
  <si>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</si>
  <si>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</si>
  <si>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</si>
  <si>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</si>
  <si>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</si>
  <si>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</si>
  <si>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</si>
  <si>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</si>
  <si>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</si>
  <si>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</si>
  <si>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</si>
  <si>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</si>
  <si>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</si>
  <si>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</si>
  <si>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</si>
  <si>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</si>
  <si>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</si>
  <si>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</si>
  <si>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</si>
  <si>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</si>
  <si>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</si>
  <si>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</si>
  <si>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</si>
  <si>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</si>
  <si>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</si>
  <si>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</si>
  <si>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</si>
  <si>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</si>
  <si>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</si>
  <si>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</si>
  <si>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</si>
  <si>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</si>
  <si>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</si>
  <si>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</si>
  <si>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</si>
  <si>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</si>
  <si>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</si>
  <si>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</si>
  <si>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</si>
  <si>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</si>
  <si>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</si>
  <si>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</si>
  <si>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</si>
  <si>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</si>
  <si>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</si>
  <si>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</si>
  <si>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</si>
  <si>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</si>
  <si>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</si>
  <si>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</si>
  <si>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</si>
  <si>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</si>
  <si>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</si>
  <si>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</si>
  <si>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</si>
  <si>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</si>
  <si>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</si>
  <si>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</si>
  <si>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</si>
  <si>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</si>
  <si>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</si>
  <si>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</si>
  <si>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</si>
  <si>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</si>
  <si>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</si>
  <si>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</si>
  <si>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</si>
  <si>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</si>
  <si>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</si>
  <si>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</si>
  <si>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</si>
  <si>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</si>
  <si>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</si>
  <si>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</si>
  <si>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</si>
  <si>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</si>
  <si>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</si>
  <si>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</si>
  <si>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</si>
  <si>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</si>
  <si>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</si>
  <si>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</si>
  <si>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</si>
  <si>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</si>
  <si>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</si>
  <si>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</si>
  <si>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</si>
  <si>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</si>
  <si>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</si>
  <si>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</si>
  <si>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</si>
  <si>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</si>
  <si>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</si>
  <si>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</si>
  <si>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</si>
  <si>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</si>
  <si>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</si>
  <si>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</si>
  <si>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</si>
  <si>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</si>
  <si>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</si>
  <si>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</si>
  <si>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</si>
  <si>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</si>
  <si>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</si>
  <si>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</si>
  <si>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</si>
  <si>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</si>
  <si>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</si>
  <si>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</si>
  <si>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</si>
  <si>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</si>
  <si>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</si>
  <si>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</si>
  <si>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</si>
  <si>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</si>
  <si>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</si>
  <si>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</si>
  <si>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</si>
  <si>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</si>
  <si>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</si>
  <si>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</si>
  <si>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</si>
  <si>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</si>
  <si>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</si>
  <si>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</si>
  <si>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</si>
  <si>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</si>
  <si>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</si>
  <si>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</si>
  <si>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</si>
  <si>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</si>
  <si>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</si>
  <si>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</si>
  <si>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</si>
  <si>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</si>
  <si>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</si>
  <si>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</si>
  <si>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</si>
  <si>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</si>
  <si>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</si>
  <si>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</si>
  <si>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</si>
  <si>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</si>
  <si>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</si>
  <si>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</si>
  <si>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</si>
  <si>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</si>
  <si>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</si>
  <si>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</si>
  <si>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</si>
  <si>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</si>
  <si>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</si>
  <si>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</si>
  <si>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</si>
  <si>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</si>
  <si>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</si>
  <si>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</si>
  <si>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</si>
  <si>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</si>
  <si>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</si>
  <si>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</si>
  <si>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</si>
  <si>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</si>
  <si>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</si>
  <si>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</si>
  <si>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</si>
  <si>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</si>
  <si>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</si>
  <si>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</si>
  <si>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</si>
  <si>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</si>
  <si>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</si>
  <si>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</si>
  <si>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</si>
  <si>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</si>
  <si>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</si>
  <si>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</si>
  <si>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</si>
  <si>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</si>
  <si>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</si>
  <si>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</si>
  <si>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</si>
  <si>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</si>
  <si>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</si>
  <si>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</si>
  <si>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</si>
  <si>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</si>
  <si>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</si>
  <si>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</si>
  <si>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</si>
  <si>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</si>
  <si>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</si>
  <si>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</si>
  <si>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</si>
  <si>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</si>
  <si>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</si>
  <si>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</si>
  <si>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</si>
  <si>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</si>
  <si>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</si>
  <si>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</si>
  <si>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</si>
  <si>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</si>
  <si>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</si>
  <si>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</si>
  <si>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</si>
  <si>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</si>
  <si>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</si>
  <si>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</si>
  <si>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</si>
  <si>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</si>
  <si>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</si>
  <si>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</si>
  <si>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</si>
  <si>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</si>
  <si>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</si>
  <si>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</si>
  <si>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</si>
  <si>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</si>
  <si>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</si>
  <si>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</si>
  <si>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</si>
  <si>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</si>
  <si>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</si>
  <si>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</si>
  <si>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</si>
  <si>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</si>
  <si>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</si>
  <si>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</si>
  <si>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</si>
  <si>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</si>
  <si>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</si>
  <si>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</si>
  <si>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</si>
  <si>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</si>
  <si>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</si>
  <si>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</si>
  <si>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</si>
  <si>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</si>
  <si>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</si>
  <si>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</si>
  <si>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</si>
  <si>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</si>
  <si>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</si>
  <si>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</si>
  <si>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</si>
  <si>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</si>
  <si>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</si>
  <si>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</si>
  <si>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</si>
  <si>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</si>
  <si>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</si>
  <si>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</si>
  <si>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</si>
  <si>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</si>
  <si>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</si>
  <si>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</si>
  <si>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</si>
  <si>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</si>
  <si>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</si>
  <si>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</si>
  <si>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</si>
  <si>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</si>
  <si>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</si>
  <si>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</si>
  <si>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</si>
  <si>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</si>
  <si>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</si>
  <si>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</si>
  <si>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</si>
  <si>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</si>
  <si>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</si>
  <si>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</si>
  <si>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</si>
  <si>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</si>
  <si>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</si>
  <si>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</si>
  <si>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</si>
  <si>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</si>
  <si>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</si>
  <si>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</si>
  <si>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</si>
  <si>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</si>
  <si>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</si>
  <si>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</si>
  <si>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</si>
  <si>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</si>
  <si>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</si>
  <si>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</si>
  <si>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</si>
  <si>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</si>
  <si>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</si>
  <si>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</si>
  <si>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</si>
  <si>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</si>
  <si>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</si>
  <si>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</si>
  <si>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</si>
  <si>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</si>
  <si>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</si>
  <si>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</si>
  <si>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</si>
  <si>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</si>
  <si>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</si>
  <si>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</si>
  <si>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</si>
  <si>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</si>
  <si>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</si>
  <si>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</si>
  <si>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</si>
  <si>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</si>
  <si>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</si>
  <si>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</si>
  <si>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</si>
  <si>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</si>
  <si>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</si>
  <si>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</si>
  <si>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</si>
  <si>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</si>
  <si>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</si>
  <si>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</si>
  <si>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</si>
  <si>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</si>
  <si>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</si>
  <si>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</si>
  <si>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</si>
  <si>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</si>
  <si>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</si>
  <si>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</si>
  <si>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</si>
  <si>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</si>
  <si>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</si>
  <si>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</si>
  <si>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</si>
  <si>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</si>
  <si>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</si>
  <si>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</si>
  <si>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</si>
  <si>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</si>
  <si>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</si>
  <si>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</si>
  <si>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</si>
  <si>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</si>
  <si>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</si>
  <si>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</si>
  <si>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</si>
  <si>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</si>
  <si>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</si>
  <si>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</si>
  <si>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</si>
  <si>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</si>
  <si>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</si>
  <si>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</si>
  <si>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</si>
  <si>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</si>
  <si>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</si>
  <si>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</si>
  <si>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</si>
  <si>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</si>
  <si>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</si>
  <si>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</si>
  <si>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</si>
  <si>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</si>
  <si>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</si>
  <si>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</si>
  <si>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</si>
  <si>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</si>
  <si>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</si>
  <si>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</si>
  <si>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</si>
  <si>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</si>
  <si>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</si>
  <si>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</si>
  <si>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</si>
  <si>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</si>
  <si>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</si>
  <si>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</si>
  <si>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</si>
  <si>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</si>
  <si>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</si>
  <si>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</si>
  <si>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</si>
  <si>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</si>
  <si>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</si>
  <si>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</si>
  <si>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</si>
  <si>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</si>
  <si>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</si>
  <si>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</si>
  <si>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</si>
  <si>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</si>
  <si>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</si>
  <si>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</si>
  <si>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</si>
  <si>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</si>
  <si>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</si>
  <si>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</si>
  <si>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</si>
  <si>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</si>
  <si>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</si>
  <si>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</si>
  <si>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</si>
  <si>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</si>
  <si>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</si>
  <si>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</si>
  <si>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</si>
  <si>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</si>
  <si>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</si>
  <si>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</si>
  <si>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</si>
  <si>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</si>
  <si>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</si>
  <si>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</si>
  <si>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</si>
  <si>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</si>
  <si>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</si>
  <si>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</si>
  <si>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</si>
  <si>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</si>
  <si>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</si>
  <si>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</si>
  <si>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</si>
  <si>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</si>
  <si>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</si>
  <si>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</si>
  <si>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</si>
  <si>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</si>
  <si>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</si>
  <si>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</si>
  <si>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</si>
  <si>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</si>
  <si>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</si>
  <si>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</si>
  <si>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</si>
  <si>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</si>
  <si>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</si>
  <si>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</si>
  <si>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</si>
  <si>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</si>
  <si>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</si>
  <si>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</si>
  <si>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</si>
  <si>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</si>
  <si>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</si>
  <si>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</si>
  <si>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</si>
  <si>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</si>
  <si>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</si>
  <si>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</si>
  <si>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</si>
  <si>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</si>
  <si>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</si>
  <si>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</si>
  <si>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</si>
  <si>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</si>
  <si>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</si>
  <si>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</si>
  <si>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</si>
  <si>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</si>
  <si>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</si>
  <si>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</si>
  <si>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</si>
  <si>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</si>
  <si>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</si>
  <si>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</si>
  <si>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</si>
  <si>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</si>
  <si>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</si>
  <si>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</si>
  <si>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</si>
  <si>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</si>
  <si>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</si>
  <si>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</si>
  <si>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</si>
  <si>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</si>
  <si>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</si>
  <si>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</si>
  <si>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</si>
  <si>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</si>
  <si>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</si>
  <si>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</si>
  <si>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</si>
  <si>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</si>
  <si>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</si>
  <si>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</si>
  <si>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</si>
  <si>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</si>
  <si>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</si>
  <si>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</si>
  <si>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</si>
  <si>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</si>
  <si>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</si>
  <si>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</si>
  <si>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</si>
  <si>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</si>
  <si>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</si>
  <si>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</si>
  <si>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</si>
  <si>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</si>
  <si>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</si>
  <si>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</si>
  <si>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</si>
  <si>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</si>
  <si>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</si>
  <si>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</si>
  <si>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</si>
  <si>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</si>
  <si>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</si>
  <si>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</si>
  <si>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</si>
  <si>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</si>
  <si>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</si>
  <si>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</si>
  <si>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</si>
  <si>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</si>
  <si>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</si>
  <si>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</si>
  <si>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</si>
  <si>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</si>
  <si>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</si>
  <si>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</si>
  <si>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</si>
  <si>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</si>
  <si>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</si>
  <si>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</si>
  <si>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</si>
  <si>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</si>
  <si>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</si>
  <si>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</si>
  <si>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</si>
  <si>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</si>
  <si>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</si>
  <si>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</si>
  <si>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</si>
  <si>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</si>
  <si>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</si>
  <si>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</si>
  <si>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</si>
  <si>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</si>
  <si>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</si>
  <si>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</si>
  <si>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</si>
  <si>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</si>
  <si>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</si>
  <si>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</si>
  <si>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</si>
  <si>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</si>
  <si>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</si>
  <si>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</si>
  <si>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</si>
  <si>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</si>
  <si>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</si>
  <si>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</si>
  <si>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</si>
  <si>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</si>
  <si>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</si>
  <si>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</si>
  <si>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</si>
  <si>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</si>
  <si>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</si>
  <si>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</si>
  <si>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</si>
  <si>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</si>
  <si>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</si>
  <si>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</si>
  <si>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</si>
  <si>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</si>
  <si>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</si>
  <si>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</si>
  <si>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</si>
  <si>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</si>
  <si>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</si>
  <si>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</si>
  <si>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</si>
  <si>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</si>
  <si>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</si>
  <si>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</si>
  <si>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</si>
  <si>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</si>
  <si>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</si>
  <si>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</si>
  <si>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</si>
  <si>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</si>
  <si>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</si>
  <si>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</si>
  <si>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</si>
  <si>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</si>
  <si>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</si>
  <si>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</si>
  <si>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</si>
  <si>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</si>
  <si>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</si>
  <si>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</si>
  <si>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</si>
  <si>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</si>
  <si>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</si>
  <si>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</si>
  <si>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</si>
  <si>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</si>
  <si>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</si>
  <si>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</si>
  <si>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</si>
  <si>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</si>
  <si>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</si>
  <si>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</si>
  <si>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</si>
  <si>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</si>
  <si>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</si>
  <si>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</si>
  <si>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</si>
  <si>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</si>
  <si>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</si>
  <si>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</si>
  <si>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</si>
  <si>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</si>
  <si>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</si>
  <si>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</si>
  <si>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</si>
  <si>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</si>
  <si>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</si>
  <si>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</si>
  <si>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</si>
  <si>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</si>
  <si>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</si>
  <si>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</si>
  <si>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</si>
  <si>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</si>
  <si>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</si>
  <si>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</si>
  <si>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</si>
  <si>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</si>
  <si>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</si>
  <si>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</si>
  <si>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</si>
  <si>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</si>
  <si>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</si>
  <si>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</si>
  <si>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</si>
  <si>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</si>
  <si>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</si>
  <si>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</si>
  <si>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</si>
  <si>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</si>
  <si>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</si>
  <si>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</si>
  <si>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</si>
  <si>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</si>
  <si>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</si>
  <si>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</si>
  <si>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</si>
  <si>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</si>
  <si>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</si>
  <si>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</si>
  <si>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</si>
  <si>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</si>
  <si>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</si>
  <si>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</si>
  <si>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</si>
  <si>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</si>
  <si>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</si>
  <si>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</si>
  <si>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</si>
  <si>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</si>
  <si>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</si>
  <si>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</si>
  <si>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</si>
  <si>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</si>
  <si>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</si>
  <si>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</si>
  <si>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</si>
  <si>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</si>
  <si>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</si>
  <si>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</si>
  <si>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</si>
  <si>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</si>
  <si>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</si>
  <si>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</si>
  <si>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</si>
  <si>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</si>
  <si>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</si>
  <si>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</si>
  <si>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</si>
  <si>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</si>
  <si>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</si>
  <si>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</si>
  <si>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</si>
  <si>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</si>
  <si>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</si>
  <si>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</si>
  <si>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</si>
  <si>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</si>
  <si>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</si>
  <si>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</si>
  <si>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</si>
  <si>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</si>
  <si>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</si>
  <si>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</si>
  <si>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</si>
  <si>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</si>
  <si>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</si>
  <si>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</si>
  <si>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</si>
  <si>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</si>
  <si>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</si>
  <si>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</si>
  <si>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</si>
  <si>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</si>
  <si>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</si>
  <si>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</si>
  <si>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</si>
  <si>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</si>
  <si>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</si>
  <si>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</si>
  <si>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</si>
  <si>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</si>
  <si>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</si>
  <si>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</si>
  <si>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</si>
  <si>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</si>
  <si>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</si>
  <si>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</si>
  <si>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</si>
  <si>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</si>
  <si>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</si>
  <si>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</si>
  <si>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</si>
  <si>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</si>
  <si>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</si>
  <si>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</si>
  <si>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</si>
  <si>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</si>
  <si>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</si>
  <si>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</si>
  <si>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</si>
  <si>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</si>
  <si>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</si>
  <si>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</si>
  <si>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</si>
  <si>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</si>
  <si>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</si>
  <si>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</si>
  <si>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</si>
  <si>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</si>
  <si>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</si>
  <si>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</si>
  <si>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</si>
  <si>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</si>
  <si>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</si>
  <si>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</si>
  <si>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</si>
  <si>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</si>
  <si>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</si>
  <si>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</si>
  <si>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</si>
  <si>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</si>
  <si>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</si>
  <si>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</si>
  <si>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</si>
  <si>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</si>
  <si>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</si>
  <si>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</si>
  <si>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</si>
  <si>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</si>
  <si>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</si>
  <si>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</si>
  <si>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</si>
  <si>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</si>
  <si>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</si>
  <si>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</si>
  <si>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</si>
  <si>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</si>
  <si>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</si>
  <si>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</si>
  <si>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</si>
  <si>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</si>
  <si>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</si>
  <si>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</si>
  <si>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</si>
  <si>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</si>
  <si>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</si>
  <si>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</si>
  <si>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</si>
  <si>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</si>
  <si>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</si>
  <si>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</si>
  <si>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</si>
  <si>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</si>
  <si>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</si>
  <si>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</si>
  <si>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</si>
  <si>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</si>
  <si>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</si>
  <si>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</si>
  <si>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</si>
  <si>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</si>
  <si>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</si>
  <si>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</si>
  <si>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</si>
  <si>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</si>
  <si>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</si>
  <si>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</si>
  <si>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</si>
  <si>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</si>
  <si>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</si>
  <si>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</si>
  <si>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</si>
  <si>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</si>
  <si>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</si>
  <si>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</si>
  <si>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</si>
  <si>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</si>
  <si>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</si>
  <si>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</si>
  <si>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</si>
  <si>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</si>
  <si>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</si>
  <si>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</si>
  <si>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</si>
  <si>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</si>
  <si>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</si>
  <si>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</si>
  <si>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</si>
  <si>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</si>
  <si>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</si>
  <si>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</si>
  <si>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</si>
  <si>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</si>
  <si>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</si>
  <si>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</si>
  <si>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</si>
  <si>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</si>
  <si>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</si>
  <si>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</si>
  <si>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</si>
  <si>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</si>
  <si>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</si>
  <si>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</si>
  <si>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</si>
  <si>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</si>
  <si>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</si>
  <si>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</si>
  <si>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</si>
  <si>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</si>
  <si>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</si>
  <si>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</si>
  <si>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</si>
  <si>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</si>
  <si>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</si>
  <si>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</si>
  <si>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</si>
  <si>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</si>
  <si>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</si>
  <si>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</si>
  <si>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</si>
  <si>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</si>
  <si>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</si>
  <si>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</si>
  <si>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</si>
  <si>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</si>
  <si>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</si>
  <si>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</si>
  <si>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</si>
  <si>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</si>
  <si>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</si>
  <si>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</si>
  <si>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</si>
  <si>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</si>
  <si>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</si>
  <si>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</si>
  <si>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</si>
  <si>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</si>
  <si>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</si>
  <si>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</si>
  <si>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</si>
  <si>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</si>
  <si>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</si>
  <si>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</si>
  <si>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</si>
  <si>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</si>
  <si>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</si>
  <si>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</si>
  <si>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</si>
  <si>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</si>
  <si>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</si>
  <si>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</si>
  <si>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</si>
  <si>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</si>
  <si>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</si>
  <si>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</si>
  <si>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</si>
  <si>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</si>
  <si>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</si>
  <si>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</si>
  <si>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</si>
  <si>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</si>
  <si>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</si>
  <si>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</si>
  <si>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</si>
  <si>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</si>
  <si>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</si>
  <si>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</si>
  <si>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</si>
  <si>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</si>
  <si>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</si>
  <si>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</si>
  <si>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</si>
  <si>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</si>
  <si>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</si>
  <si>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</si>
  <si>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</si>
  <si>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</si>
  <si>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</si>
  <si>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</si>
  <si>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</si>
  <si>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</si>
  <si>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</si>
  <si>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</si>
  <si>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</si>
  <si>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</si>
  <si>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</si>
  <si>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</si>
  <si>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</si>
  <si>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</si>
  <si>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</si>
  <si>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</si>
  <si>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</si>
  <si>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</si>
  <si>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</si>
  <si>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</si>
  <si>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</si>
  <si>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</si>
  <si>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</si>
  <si>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</si>
  <si>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</si>
  <si>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</si>
  <si>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</si>
  <si>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</si>
  <si>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</si>
  <si>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</si>
  <si>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</si>
  <si>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</si>
  <si>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</si>
  <si>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</si>
  <si>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</si>
  <si>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</si>
  <si>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</si>
  <si>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</si>
  <si>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</si>
  <si>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</si>
  <si>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</si>
  <si>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</si>
  <si>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</si>
  <si>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</si>
  <si>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</si>
  <si>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</si>
  <si>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</si>
  <si>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</si>
  <si>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</si>
  <si>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</si>
  <si>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</si>
  <si>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</si>
  <si>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</si>
  <si>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</si>
  <si>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</si>
  <si>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</si>
  <si>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</si>
  <si>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</si>
  <si>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</si>
  <si>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</si>
  <si>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</si>
  <si>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</si>
  <si>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</si>
  <si>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</si>
  <si>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</si>
  <si>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</si>
  <si>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</si>
  <si>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</si>
  <si>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</si>
  <si>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</si>
  <si>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</si>
  <si>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</si>
  <si>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</si>
  <si>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</si>
  <si>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</si>
  <si>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</si>
  <si>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</si>
  <si>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</si>
  <si>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</si>
  <si>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</si>
  <si>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</si>
  <si>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</si>
  <si>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</si>
  <si>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</si>
  <si>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</si>
  <si>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</si>
  <si>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</si>
  <si>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</si>
  <si>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</si>
  <si>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</si>
  <si>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</si>
  <si>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</si>
  <si>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</si>
  <si>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</si>
  <si>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</si>
  <si>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</si>
  <si>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</si>
  <si>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</si>
  <si>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</si>
  <si>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</si>
  <si>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</si>
  <si>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</si>
  <si>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</si>
  <si>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</si>
  <si>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</si>
  <si>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</si>
  <si>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</si>
  <si>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</si>
  <si>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</si>
  <si>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</si>
  <si>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</si>
  <si>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</si>
  <si>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</si>
  <si>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</si>
  <si>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</si>
  <si>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</si>
  <si>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</si>
  <si>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</si>
  <si>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</si>
  <si>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</si>
  <si>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</si>
  <si>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</si>
  <si>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</si>
  <si>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</si>
  <si>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</si>
  <si>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</si>
  <si>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</si>
  <si>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</si>
  <si>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</si>
  <si>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</si>
  <si>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</si>
  <si>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</si>
  <si>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</si>
  <si>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</si>
  <si>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</si>
  <si>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</si>
  <si>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</si>
  <si>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</si>
  <si>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</si>
  <si>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</si>
  <si>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</si>
  <si>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</si>
  <si>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</si>
  <si>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</si>
  <si>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</si>
  <si>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</si>
  <si>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</si>
  <si>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</si>
  <si>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</si>
  <si>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</si>
  <si>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</si>
  <si>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</si>
  <si>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</si>
  <si>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</si>
  <si>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</si>
  <si>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</si>
  <si>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</si>
  <si>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</si>
  <si>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</si>
  <si>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</si>
  <si>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</si>
  <si>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</si>
  <si>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</si>
  <si>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</si>
  <si>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</si>
  <si>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</si>
  <si>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</si>
  <si>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</si>
  <si>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</si>
  <si>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</si>
  <si>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</si>
  <si>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</si>
  <si>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</si>
  <si>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</si>
  <si>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</si>
  <si>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</si>
  <si>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</si>
  <si>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</si>
  <si>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</si>
  <si>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</si>
  <si>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</si>
  <si>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</si>
  <si>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</si>
  <si>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</si>
  <si>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</si>
  <si>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</si>
  <si>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</si>
  <si>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</si>
  <si>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</si>
  <si>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</si>
  <si>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</si>
  <si>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</si>
  <si>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</si>
  <si>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</si>
  <si>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</si>
  <si>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</si>
  <si>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</si>
  <si>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</si>
  <si>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</si>
  <si>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</si>
  <si>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</si>
  <si>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</si>
  <si>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</si>
  <si>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</si>
  <si>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</si>
  <si>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</si>
  <si>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</si>
  <si>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</si>
  <si>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</si>
  <si>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</si>
  <si>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</si>
  <si>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</si>
  <si>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</si>
  <si>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</si>
  <si>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</si>
  <si>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</si>
  <si>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</si>
  <si>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</si>
  <si>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</si>
  <si>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</si>
  <si>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</si>
  <si>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</si>
  <si>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</si>
  <si>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</si>
  <si>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</si>
  <si>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</si>
  <si>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</si>
  <si>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</si>
  <si>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</si>
  <si>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</si>
  <si>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</si>
  <si>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</si>
  <si>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</si>
  <si>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</si>
  <si>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</si>
  <si>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</si>
  <si>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</si>
  <si>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</si>
  <si>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</si>
  <si>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</si>
  <si>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</si>
  <si>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</si>
  <si>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</si>
  <si>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</si>
  <si>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</si>
  <si>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</si>
  <si>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</si>
  <si>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</si>
  <si>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</si>
  <si>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</si>
  <si>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</si>
  <si>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</si>
  <si>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</si>
  <si>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</si>
  <si>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</si>
  <si>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</si>
  <si>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</si>
  <si>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</si>
  <si>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</si>
  <si>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</si>
  <si>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</si>
  <si>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</si>
  <si>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</si>
  <si>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</si>
  <si>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</si>
  <si>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</si>
  <si>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</si>
  <si>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</si>
  <si>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</si>
  <si>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</si>
  <si>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</si>
  <si>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</si>
  <si>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</si>
  <si>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</si>
  <si>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</si>
  <si>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</si>
  <si>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</si>
  <si>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</si>
  <si>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</si>
  <si>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</si>
  <si>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</si>
  <si>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</si>
  <si>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</si>
  <si>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</si>
  <si>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</si>
  <si>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</si>
  <si>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</si>
  <si>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</si>
  <si>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</si>
  <si>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</si>
  <si>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</si>
  <si>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</si>
  <si>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</si>
  <si>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</si>
  <si>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</si>
  <si>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</si>
  <si>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</si>
  <si>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</si>
  <si>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</si>
  <si>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</si>
  <si>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</si>
  <si>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</si>
  <si>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</si>
  <si>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</si>
  <si>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</si>
  <si>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</si>
  <si>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</si>
  <si>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</si>
  <si>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</si>
  <si>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</si>
  <si>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</si>
  <si>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</si>
  <si>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</si>
  <si>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</si>
  <si>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</si>
  <si>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</si>
  <si>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</si>
  <si>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</si>
  <si>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</si>
  <si>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</si>
  <si>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</si>
  <si>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</si>
  <si>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</si>
  <si>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</si>
  <si>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</si>
  <si>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</si>
  <si>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</si>
  <si>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</si>
  <si>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</si>
  <si>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</si>
  <si>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</si>
  <si>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</si>
  <si>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</si>
  <si>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</si>
  <si>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</si>
  <si>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</si>
  <si>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</si>
  <si>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</si>
  <si>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</si>
  <si>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</si>
  <si>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</si>
  <si>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</si>
  <si>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</si>
  <si>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</si>
  <si>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</si>
  <si>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</si>
  <si>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</si>
  <si>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</si>
  <si>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</si>
  <si>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</si>
  <si>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</si>
  <si>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</si>
  <si>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</si>
  <si>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</si>
  <si>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</si>
  <si>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</si>
  <si>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</si>
  <si>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</si>
  <si>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</si>
  <si>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</si>
  <si>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</si>
  <si>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</si>
  <si>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</si>
  <si>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</si>
  <si>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</si>
  <si>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</si>
  <si>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</si>
  <si>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</si>
  <si>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</si>
  <si>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</si>
  <si>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</si>
  <si>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</si>
  <si>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</si>
  <si>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</si>
  <si>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</si>
  <si>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</si>
  <si>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</si>
  <si>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</si>
  <si>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</si>
  <si>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</si>
  <si>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</si>
  <si>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</si>
  <si>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</si>
  <si>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</si>
  <si>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</si>
  <si>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</si>
  <si>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</si>
  <si>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</si>
  <si>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</si>
  <si>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</si>
  <si>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</si>
  <si>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</si>
  <si>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</si>
  <si>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</si>
  <si>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</si>
  <si>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</si>
  <si>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</si>
  <si>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</si>
  <si>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</si>
  <si>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</si>
  <si>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</si>
  <si>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</si>
  <si>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</si>
  <si>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</si>
  <si>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</si>
  <si>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</si>
  <si>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</si>
  <si>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</si>
  <si>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</si>
  <si>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</si>
  <si>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</si>
  <si>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</si>
  <si>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</si>
  <si>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</si>
  <si>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</si>
  <si>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</si>
  <si>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</si>
  <si>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</si>
  <si>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</si>
  <si>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</si>
  <si>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</si>
  <si>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</si>
  <si>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</si>
  <si>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</si>
  <si>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</si>
  <si>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</si>
  <si>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</si>
  <si>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</si>
  <si>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</si>
  <si>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</si>
  <si>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</si>
  <si>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</si>
  <si>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</si>
  <si>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</si>
  <si>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</si>
  <si>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</si>
  <si>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</si>
  <si>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</si>
  <si>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</si>
  <si>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</si>
  <si>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</si>
  <si>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</si>
  <si>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</si>
  <si>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</si>
  <si>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</si>
  <si>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</si>
  <si>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</si>
  <si>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</si>
  <si>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</si>
  <si>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</si>
  <si>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</si>
  <si>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</si>
  <si>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</si>
  <si>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</si>
  <si>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</si>
  <si>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</si>
  <si>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</si>
  <si>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</si>
  <si>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</si>
  <si>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</si>
  <si>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</si>
  <si>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</si>
  <si>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</si>
  <si>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</si>
  <si>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</si>
  <si>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</si>
  <si>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</si>
  <si>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</si>
  <si>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</si>
  <si>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</si>
  <si>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</si>
  <si>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</si>
  <si>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</si>
  <si>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</si>
  <si>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</si>
  <si>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</si>
  <si>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</si>
  <si>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</si>
  <si>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</si>
  <si>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</si>
  <si>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</si>
  <si>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</si>
  <si>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</si>
  <si>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</si>
  <si>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</si>
  <si>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</si>
  <si>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</si>
  <si>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</si>
  <si>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</si>
  <si>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</si>
  <si>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</si>
  <si>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</si>
  <si>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</si>
  <si>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</si>
  <si>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</si>
  <si>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</si>
  <si>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</si>
  <si>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</si>
  <si>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</si>
  <si>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</si>
  <si>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</si>
  <si>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</si>
  <si>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</si>
  <si>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</si>
  <si>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</si>
  <si>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</si>
  <si>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</si>
  <si>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</si>
  <si>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</si>
  <si>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</si>
  <si>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</si>
  <si>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</si>
  <si>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</si>
  <si>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</si>
  <si>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</si>
  <si>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</si>
  <si>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</si>
  <si>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</si>
  <si>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</si>
  <si>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</si>
  <si>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</si>
  <si>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</si>
  <si>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</si>
  <si>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</si>
  <si>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</si>
  <si>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</si>
  <si>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</si>
  <si>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</si>
  <si>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</si>
  <si>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</si>
  <si>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</si>
  <si>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</si>
  <si>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</si>
  <si>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</si>
  <si>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</si>
  <si>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</si>
  <si>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</si>
  <si>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</si>
  <si>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</si>
  <si>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</si>
  <si>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</si>
  <si>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</si>
  <si>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</si>
  <si>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</si>
  <si>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</si>
  <si>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</si>
  <si>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</si>
  <si>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</si>
  <si>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</si>
  <si>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</si>
  <si>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</si>
  <si>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</si>
  <si>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</si>
  <si>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</si>
  <si>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</si>
  <si>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</si>
  <si>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</si>
  <si>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</si>
  <si>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</si>
  <si>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</si>
  <si>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</si>
  <si>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</si>
  <si>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</si>
  <si>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</si>
  <si>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</si>
  <si>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</si>
  <si>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</si>
  <si>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</si>
  <si>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</si>
  <si>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</si>
  <si>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</si>
  <si>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</si>
  <si>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</si>
  <si>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</si>
  <si>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</si>
  <si>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</si>
  <si>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</si>
  <si>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</si>
  <si>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</si>
  <si>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</si>
  <si>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</si>
  <si>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</si>
  <si>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</si>
  <si>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</si>
  <si>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</si>
  <si>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</si>
  <si>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</si>
  <si>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</si>
  <si>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</si>
  <si>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</si>
  <si>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</si>
  <si>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</si>
  <si>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</si>
  <si>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</si>
  <si>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</si>
  <si>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</si>
  <si>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</si>
  <si>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</si>
  <si>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</si>
  <si>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</si>
  <si>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</si>
  <si>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</si>
  <si>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</si>
  <si>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</si>
  <si>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</si>
  <si>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</si>
  <si>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</si>
  <si>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</si>
  <si>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</si>
  <si>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</si>
  <si>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</si>
  <si>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</si>
  <si>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</si>
  <si>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</si>
  <si>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</si>
  <si>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</si>
  <si>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</si>
  <si>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</si>
  <si>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</si>
  <si>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</si>
  <si>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</si>
  <si>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</si>
  <si>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</si>
  <si>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</si>
  <si>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</si>
  <si>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</si>
  <si>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</si>
  <si>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</si>
  <si>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</si>
  <si>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</si>
  <si>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</si>
  <si>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</si>
  <si>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</si>
  <si>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</si>
  <si>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</si>
  <si>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</si>
  <si>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</si>
  <si>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</si>
  <si>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</si>
  <si>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</si>
  <si>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</si>
  <si>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</si>
  <si>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</si>
  <si>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</si>
  <si>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</si>
  <si>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</si>
  <si>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</si>
  <si>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</si>
  <si>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</si>
  <si>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</si>
  <si>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</si>
  <si>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</si>
  <si>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</si>
  <si>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</si>
  <si>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</si>
  <si>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</si>
  <si>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</si>
  <si>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</si>
  <si>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</si>
  <si>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</si>
  <si>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</si>
  <si>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</si>
  <si>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</si>
  <si>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</si>
  <si>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</si>
  <si>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</si>
  <si>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</si>
  <si>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</si>
  <si>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</si>
  <si>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</si>
  <si>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</si>
  <si>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</si>
  <si>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</si>
  <si>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</si>
  <si>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</si>
  <si>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</si>
  <si>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</si>
  <si>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</si>
  <si>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</si>
  <si>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</si>
  <si>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</si>
  <si>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</si>
  <si>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</si>
  <si>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</si>
  <si>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</si>
  <si>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</si>
  <si>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</si>
  <si>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</si>
  <si>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</si>
  <si>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</si>
  <si>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</si>
  <si>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</si>
  <si>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</si>
  <si>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</si>
  <si>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</si>
  <si>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</si>
  <si>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</si>
  <si>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</si>
  <si>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</si>
  <si>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</si>
  <si>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</si>
  <si>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</si>
  <si>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</si>
  <si>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</si>
  <si>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</si>
  <si>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</si>
  <si>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</si>
  <si>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</si>
  <si>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</si>
  <si>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</si>
  <si>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</si>
  <si>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</si>
  <si>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</si>
  <si>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</si>
  <si>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</si>
  <si>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</si>
  <si>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</si>
  <si>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</si>
  <si>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</si>
  <si>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</si>
  <si>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</si>
  <si>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</si>
  <si>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</si>
  <si>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</si>
  <si>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</si>
  <si>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</si>
  <si>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</si>
  <si>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</si>
  <si>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</si>
  <si>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</si>
  <si>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</si>
  <si>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</si>
  <si>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</si>
  <si>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</si>
  <si>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</si>
  <si>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</si>
  <si>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</si>
  <si>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</si>
  <si>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</si>
  <si>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</si>
  <si>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</si>
  <si>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</si>
  <si>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</si>
  <si>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</si>
  <si>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</si>
  <si>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</si>
  <si>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</si>
  <si>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</si>
  <si>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</si>
  <si>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</si>
  <si>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</si>
  <si>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</si>
  <si>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</si>
  <si>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</si>
  <si>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</si>
  <si>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</si>
  <si>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</si>
  <si>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</si>
  <si>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</si>
  <si>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</si>
  <si>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</si>
  <si>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</si>
  <si>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</si>
  <si>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</si>
  <si>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</si>
  <si>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</si>
  <si>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</si>
  <si>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</si>
  <si>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</si>
  <si>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</si>
  <si>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</si>
  <si>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</si>
  <si>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</si>
  <si>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</si>
  <si>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</si>
  <si>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</si>
  <si>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</si>
  <si>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</si>
  <si>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</si>
  <si>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</si>
  <si>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</si>
  <si>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</si>
  <si>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</si>
  <si>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</si>
  <si>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</si>
  <si>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</si>
  <si>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</si>
  <si>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</si>
  <si>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</si>
  <si>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</si>
  <si>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</si>
  <si>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</si>
  <si>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</si>
  <si>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</si>
  <si>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</si>
  <si>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</si>
  <si>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</si>
  <si>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</si>
  <si>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</si>
  <si>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</si>
  <si>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</si>
  <si>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</si>
  <si>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</si>
  <si>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</si>
  <si>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</si>
  <si>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</si>
  <si>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</si>
  <si>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</si>
  <si>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</si>
  <si>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</si>
  <si>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</si>
  <si>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</si>
  <si>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</si>
  <si>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</si>
  <si>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</si>
  <si>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</si>
  <si>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</si>
  <si>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</si>
  <si>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</si>
  <si>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</si>
  <si>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</si>
  <si>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</si>
  <si>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</si>
  <si>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</si>
  <si>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</si>
  <si>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</si>
  <si>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</si>
  <si>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</si>
  <si>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</si>
  <si>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</si>
  <si>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</si>
  <si>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</si>
  <si>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</si>
  <si>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</si>
  <si>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</si>
  <si>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</si>
  <si>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</si>
  <si>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</si>
  <si>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</si>
  <si>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</si>
  <si>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</si>
  <si>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</si>
  <si>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</si>
  <si>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</si>
  <si>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</si>
  <si>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</si>
  <si>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</si>
  <si>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</si>
  <si>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</si>
  <si>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</si>
  <si>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</si>
  <si>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</si>
  <si>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</si>
  <si>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</si>
  <si>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</si>
  <si>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</si>
  <si>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</si>
  <si>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</si>
  <si>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</si>
  <si>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</si>
  <si>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</si>
  <si>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</si>
  <si>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</si>
  <si>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</si>
  <si>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</si>
  <si>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</si>
  <si>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</si>
  <si>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</si>
  <si>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</si>
  <si>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</si>
  <si>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</si>
  <si>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</si>
  <si>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</si>
  <si>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</si>
  <si>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</si>
  <si>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</si>
  <si>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</si>
  <si>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</si>
  <si>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</si>
  <si>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</si>
  <si>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</si>
  <si>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</si>
  <si>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</si>
  <si>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</si>
  <si>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</si>
  <si>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</si>
  <si>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</si>
  <si>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</si>
  <si>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</si>
  <si>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</si>
  <si>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</si>
  <si>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</si>
  <si>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</si>
  <si>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</si>
  <si>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</si>
  <si>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</si>
  <si>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</si>
  <si>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</si>
  <si>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</si>
  <si>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</si>
  <si>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</si>
  <si>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</si>
  <si>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</si>
  <si>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</si>
  <si>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</si>
  <si>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</si>
  <si>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</si>
  <si>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</si>
  <si>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</si>
  <si>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</si>
  <si>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</si>
  <si>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</si>
  <si>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</si>
  <si>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</si>
  <si>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</si>
  <si>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</si>
  <si>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</si>
  <si>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</si>
  <si>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</si>
  <si>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</si>
  <si>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</si>
  <si>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</si>
  <si>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</si>
  <si>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</si>
  <si>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</si>
  <si>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</si>
  <si>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</si>
  <si>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</si>
  <si>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</si>
  <si>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</si>
  <si>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</si>
  <si>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</si>
  <si>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</si>
  <si>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</si>
  <si>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</si>
  <si>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</si>
  <si>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</si>
  <si>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</si>
  <si>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</si>
  <si>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</si>
  <si>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</si>
  <si>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</si>
  <si>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</si>
  <si>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</si>
  <si>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</si>
  <si>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</si>
  <si>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</si>
  <si>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</si>
  <si>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</si>
  <si>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</si>
  <si>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</si>
  <si>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</si>
  <si>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</si>
  <si>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</si>
  <si>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</si>
  <si>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</si>
  <si>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</si>
  <si>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</si>
  <si>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</si>
  <si>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</si>
  <si>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</si>
  <si>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</si>
  <si>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</si>
  <si>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</si>
  <si>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</si>
  <si>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</si>
  <si>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</si>
  <si>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</si>
  <si>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</si>
  <si>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</si>
  <si>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</si>
  <si>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</si>
  <si>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</si>
  <si>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</si>
  <si>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</si>
  <si>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</si>
  <si>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</si>
  <si>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</si>
  <si>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</si>
  <si>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</si>
  <si>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</si>
  <si>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</si>
  <si>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</si>
  <si>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</si>
  <si>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</si>
  <si>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</si>
  <si>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</si>
  <si>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</si>
  <si>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</si>
  <si>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</si>
  <si>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</si>
  <si>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</si>
  <si>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</si>
  <si>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</si>
  <si>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</si>
  <si>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</si>
  <si>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</si>
  <si>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</si>
  <si>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</si>
  <si>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</si>
  <si>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</si>
  <si>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</si>
  <si>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</si>
  <si>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</si>
  <si>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</si>
  <si>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</si>
  <si>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</si>
  <si>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</si>
  <si>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</si>
  <si>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</si>
  <si>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</si>
  <si>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</si>
  <si>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</si>
  <si>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</si>
  <si>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</si>
  <si>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</si>
  <si>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</si>
  <si>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</si>
  <si>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</si>
  <si>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</si>
  <si>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</si>
  <si>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</si>
  <si>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</si>
  <si>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</si>
  <si>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</si>
  <si>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</si>
  <si>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</si>
  <si>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</si>
  <si>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</si>
  <si>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</si>
  <si>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</si>
  <si>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</si>
  <si>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</si>
  <si>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</si>
  <si>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</si>
  <si>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</si>
  <si>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</si>
  <si>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</si>
  <si>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</si>
  <si>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</si>
  <si>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</si>
  <si>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</si>
  <si>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</si>
  <si>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</si>
  <si>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</si>
  <si>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</si>
  <si>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</si>
  <si>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</si>
  <si>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</si>
  <si>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</si>
  <si>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</si>
  <si>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</si>
  <si>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</si>
  <si>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</si>
  <si>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</si>
  <si>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</si>
  <si>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</si>
  <si>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</si>
  <si>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</si>
  <si>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</si>
  <si>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</si>
  <si>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</si>
  <si>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</si>
  <si>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</si>
  <si>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</si>
  <si>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</si>
  <si>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</si>
  <si>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</si>
  <si>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</si>
  <si>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</si>
  <si>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</si>
  <si>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</si>
  <si>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</si>
  <si>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</si>
  <si>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</si>
  <si>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</si>
  <si>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</si>
  <si>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</si>
  <si>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</si>
  <si>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</si>
  <si>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</si>
  <si>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</si>
  <si>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</si>
  <si>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</si>
  <si>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</si>
  <si>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</si>
  <si>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</si>
  <si>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</si>
  <si>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</si>
  <si>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</si>
  <si>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</si>
  <si>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</si>
  <si>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</si>
  <si>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</si>
  <si>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</si>
  <si>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</si>
  <si>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</si>
  <si>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</si>
  <si>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</si>
  <si>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</si>
  <si>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</si>
  <si>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</si>
  <si>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</si>
  <si>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</si>
  <si>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</si>
  <si>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</si>
  <si>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</si>
  <si>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</si>
  <si>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</si>
  <si>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</si>
  <si>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</si>
  <si>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</si>
  <si>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</si>
  <si>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</si>
  <si>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</si>
  <si>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</si>
  <si>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</si>
  <si>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</si>
  <si>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</si>
  <si>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</si>
  <si>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</si>
  <si>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</si>
  <si>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</si>
  <si>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</si>
  <si>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</si>
  <si>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</si>
  <si>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</si>
  <si>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</si>
  <si>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</si>
  <si>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</si>
  <si>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</si>
  <si>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</si>
  <si>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</si>
  <si>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</si>
  <si>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</si>
  <si>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</si>
  <si>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</si>
  <si>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</si>
  <si>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</si>
  <si>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</si>
  <si>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</si>
  <si>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</si>
  <si>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</si>
  <si>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</si>
  <si>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</si>
  <si>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</si>
  <si>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</si>
  <si>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</si>
  <si>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</si>
  <si>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</si>
  <si>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</si>
  <si>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</si>
  <si>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</si>
  <si>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</si>
  <si>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</si>
  <si>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</si>
  <si>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</si>
  <si>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</si>
  <si>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</si>
  <si>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</si>
  <si>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</si>
  <si>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</si>
  <si>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</si>
  <si>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</si>
  <si>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</si>
  <si>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</si>
  <si>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</si>
  <si>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</si>
  <si>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</si>
  <si>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</si>
  <si>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</si>
  <si>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</si>
  <si>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</si>
  <si>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</si>
  <si>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</si>
  <si>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</si>
  <si>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</si>
  <si>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</si>
  <si>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</si>
  <si>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</si>
  <si>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</si>
  <si>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</si>
  <si>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</si>
  <si>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</si>
  <si>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</si>
  <si>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</si>
  <si>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</si>
  <si>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</si>
  <si>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</si>
  <si>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</si>
  <si>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</si>
  <si>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</si>
  <si>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</si>
  <si>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</si>
  <si>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</si>
  <si>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</si>
  <si>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</si>
  <si>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</si>
  <si>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</si>
  <si>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</si>
  <si>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</si>
  <si>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</si>
  <si>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</si>
  <si>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</si>
  <si>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</si>
  <si>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</si>
  <si>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</si>
  <si>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</si>
  <si>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</si>
  <si>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</si>
  <si>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</si>
  <si>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</si>
  <si>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</si>
  <si>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</si>
  <si>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</si>
  <si>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</si>
  <si>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</si>
  <si>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</si>
  <si>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</si>
  <si>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</si>
  <si>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</si>
  <si>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</si>
  <si>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</si>
  <si>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</si>
  <si>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</si>
  <si>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</si>
  <si>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</si>
  <si>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</si>
  <si>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</si>
  <si>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</si>
  <si>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</si>
  <si>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</si>
  <si>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</si>
  <si>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</si>
  <si>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</si>
  <si>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</si>
  <si>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</si>
  <si>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</si>
  <si>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</si>
  <si>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</si>
  <si>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</si>
  <si>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</si>
  <si>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</si>
  <si>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</si>
  <si>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</si>
  <si>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</si>
  <si>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</si>
  <si>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</si>
  <si>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</si>
  <si>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</si>
  <si>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</si>
  <si>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</si>
  <si>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</si>
  <si>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</si>
  <si>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</si>
  <si>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</si>
  <si>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</si>
  <si>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</si>
  <si>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</si>
  <si>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</si>
  <si>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</si>
  <si>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</si>
  <si>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</si>
  <si>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</si>
  <si>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</si>
  <si>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</si>
  <si>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</si>
  <si>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</si>
  <si>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</si>
  <si>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</si>
  <si>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</si>
  <si>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</si>
  <si>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</si>
  <si>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</si>
  <si>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</si>
  <si>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</si>
  <si>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</si>
  <si>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</si>
  <si>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</si>
  <si>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</si>
  <si>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</si>
  <si>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</si>
  <si>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</si>
  <si>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</si>
  <si>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</si>
  <si>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</si>
  <si>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</si>
  <si>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</si>
  <si>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</si>
  <si>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</si>
  <si>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</si>
  <si>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</si>
  <si>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</si>
  <si>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</si>
  <si>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</si>
  <si>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</si>
  <si>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</si>
  <si>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</si>
  <si>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</si>
  <si>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</si>
  <si>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</si>
  <si>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</si>
  <si>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</si>
  <si>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</si>
  <si>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</si>
  <si>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</si>
  <si>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</si>
  <si>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</si>
  <si>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</si>
  <si>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</si>
  <si>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</si>
  <si>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</si>
  <si>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</si>
  <si>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</si>
  <si>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</si>
  <si>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</si>
  <si>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</si>
  <si>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</si>
  <si>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</si>
  <si>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</si>
  <si>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</si>
  <si>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</si>
  <si>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</si>
  <si>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</si>
  <si>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</si>
  <si>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</si>
  <si>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</si>
  <si>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</si>
  <si>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</si>
  <si>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</si>
  <si>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</si>
  <si>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</si>
  <si>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</si>
  <si>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</si>
  <si>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</si>
  <si>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</si>
  <si>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</si>
  <si>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</si>
  <si>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</si>
  <si>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</si>
  <si>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</si>
  <si>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</si>
  <si>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</si>
  <si>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</si>
  <si>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</si>
  <si>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</si>
  <si>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</si>
  <si>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</si>
  <si>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</si>
  <si>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</si>
  <si>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</si>
  <si>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</si>
  <si>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</si>
  <si>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</si>
  <si>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</si>
  <si>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</si>
  <si>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</si>
  <si>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</si>
  <si>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</si>
  <si>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</si>
  <si>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</si>
  <si>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</si>
  <si>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</si>
  <si>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</si>
  <si>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</si>
  <si>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</si>
  <si>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</si>
  <si>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</si>
  <si>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</si>
  <si>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</si>
  <si>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</si>
  <si>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</si>
  <si>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</si>
  <si>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</si>
  <si>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</si>
  <si>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</si>
  <si>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</si>
  <si>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</si>
  <si>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</si>
  <si>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</si>
  <si>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</si>
  <si>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</si>
  <si>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</si>
  <si>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</si>
  <si>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</si>
  <si>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</si>
  <si>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</si>
  <si>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</si>
  <si>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</si>
  <si>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</si>
  <si>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</si>
  <si>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</si>
  <si>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</si>
  <si>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</si>
  <si>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</si>
  <si>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</si>
  <si>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</si>
  <si>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</si>
  <si>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</si>
  <si>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</si>
  <si>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</si>
  <si>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</si>
  <si>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</si>
  <si>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</si>
  <si>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</si>
  <si>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</si>
  <si>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</si>
  <si>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</si>
  <si>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</si>
  <si>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</si>
  <si>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</si>
  <si>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</si>
  <si>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</si>
  <si>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</si>
  <si>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</si>
  <si>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</si>
  <si>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</si>
  <si>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</si>
  <si>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</si>
  <si>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</si>
  <si>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</si>
  <si>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</si>
  <si>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</si>
  <si>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</si>
  <si>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</si>
  <si>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</si>
  <si>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</si>
  <si>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</si>
  <si>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</si>
  <si>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</si>
  <si>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</si>
  <si>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</si>
  <si>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</si>
  <si>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</si>
  <si>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</si>
  <si>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</si>
  <si>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</si>
  <si>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</si>
  <si>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</si>
  <si>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</si>
  <si>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</si>
  <si>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</si>
  <si>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</si>
  <si>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</si>
  <si>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</si>
  <si>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</si>
  <si>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</si>
  <si>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</si>
  <si>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</si>
  <si>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</si>
  <si>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</si>
  <si>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</si>
  <si>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</si>
  <si>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</si>
  <si>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</si>
  <si>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</si>
  <si>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</si>
  <si>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</si>
  <si>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</si>
  <si>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</si>
  <si>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</si>
  <si>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</si>
  <si>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</si>
  <si>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</si>
  <si>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</si>
  <si>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</si>
  <si>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</si>
  <si>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</si>
  <si>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</si>
  <si>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</si>
  <si>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</si>
  <si>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</si>
  <si>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</si>
  <si>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</si>
  <si>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</si>
  <si>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</si>
  <si>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</si>
  <si>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</si>
  <si>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</si>
  <si>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</si>
  <si>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</si>
  <si>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</si>
  <si>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</si>
  <si>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</si>
  <si>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</si>
  <si>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</si>
  <si>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</si>
  <si>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</si>
  <si>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</si>
  <si>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</si>
  <si>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</si>
  <si>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</si>
  <si>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</si>
  <si>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</si>
  <si>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</si>
  <si>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</si>
  <si>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</si>
  <si>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</si>
  <si>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</si>
  <si>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</si>
  <si>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</si>
  <si>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</si>
  <si>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</si>
  <si>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</si>
  <si>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</si>
  <si>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</si>
  <si>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</si>
  <si>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</si>
  <si>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</si>
  <si>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</si>
  <si>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</si>
  <si>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</si>
  <si>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</si>
  <si>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</si>
  <si>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</si>
  <si>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</si>
  <si>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</si>
  <si>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</si>
  <si>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</si>
  <si>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</si>
  <si>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</si>
  <si>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</si>
  <si>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</si>
  <si>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</si>
  <si>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</si>
  <si>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</si>
  <si>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</si>
  <si>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</si>
  <si>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</si>
  <si>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</si>
  <si>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</si>
  <si>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</si>
  <si>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</si>
  <si>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</si>
  <si>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</si>
  <si>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</si>
  <si>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</si>
  <si>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</si>
  <si>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</si>
  <si>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</si>
  <si>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</si>
  <si>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</si>
  <si>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</si>
  <si>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</si>
  <si>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</si>
  <si>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</si>
  <si>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</si>
  <si>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</si>
  <si>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</si>
  <si>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</si>
  <si>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</si>
  <si>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</si>
  <si>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</si>
  <si>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</si>
  <si>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</si>
  <si>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</si>
  <si>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</si>
  <si>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</si>
  <si>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</si>
  <si>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</si>
  <si>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</si>
  <si>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</si>
  <si>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</si>
  <si>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</si>
  <si>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</si>
  <si>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</si>
  <si>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</si>
  <si>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</si>
  <si>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</si>
  <si>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</si>
  <si>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</si>
  <si>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</si>
  <si>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</si>
  <si>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</si>
  <si>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</si>
  <si>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</si>
  <si>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</si>
  <si>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</si>
  <si>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</si>
  <si>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</si>
  <si>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</si>
  <si>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</si>
  <si>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</si>
  <si>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</si>
  <si>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</si>
  <si>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</si>
  <si>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</si>
  <si>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</si>
  <si>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</si>
  <si>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</si>
  <si>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</si>
  <si>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</si>
  <si>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</si>
  <si>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</si>
  <si>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</si>
  <si>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</si>
  <si>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</si>
  <si>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</si>
  <si>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</si>
  <si>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</si>
  <si>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</si>
  <si>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</si>
  <si>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</si>
  <si>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</si>
  <si>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</si>
  <si>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</si>
  <si>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</si>
  <si>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</si>
  <si>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</si>
  <si>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</si>
  <si>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</si>
  <si>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</si>
  <si>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</si>
  <si>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</si>
  <si>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</si>
  <si>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</si>
  <si>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</si>
  <si>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</si>
  <si>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</si>
  <si>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</si>
  <si>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</si>
  <si>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</si>
  <si>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</si>
  <si>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</si>
  <si>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</si>
  <si>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</si>
  <si>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</si>
  <si>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</si>
  <si>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</si>
  <si>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</si>
  <si>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</si>
  <si>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</si>
  <si>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</si>
  <si>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</si>
  <si>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</si>
  <si>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</si>
  <si>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</si>
  <si>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</si>
  <si>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</si>
  <si>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</si>
  <si>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</si>
  <si>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</si>
  <si>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</si>
  <si>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</si>
  <si>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</si>
  <si>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</si>
  <si>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</si>
  <si>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</si>
  <si>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</si>
  <si>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</si>
  <si>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</si>
  <si>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</si>
  <si>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</si>
  <si>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</si>
  <si>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</si>
  <si>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</si>
  <si>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</si>
  <si>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</si>
  <si>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</si>
  <si>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</si>
  <si>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</si>
  <si>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</si>
  <si>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</si>
  <si>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</si>
  <si>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</si>
  <si>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</si>
  <si>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</si>
  <si>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</si>
  <si>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</si>
  <si>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</si>
  <si>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</si>
  <si>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</si>
  <si>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</si>
  <si>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</si>
  <si>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</si>
  <si>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</si>
  <si>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</si>
  <si>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</si>
  <si>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</si>
  <si>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</si>
  <si>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</si>
  <si>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</si>
  <si>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</si>
  <si>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</si>
  <si>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</si>
  <si>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</si>
  <si>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</si>
  <si>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</si>
  <si>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</si>
  <si>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</si>
  <si>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</si>
  <si>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</si>
  <si>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</si>
  <si>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</si>
  <si>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</si>
  <si>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</si>
  <si>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</si>
  <si>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</si>
  <si>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</si>
  <si>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</si>
  <si>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</si>
  <si>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</si>
  <si>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</si>
  <si>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</si>
  <si>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</si>
  <si>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</si>
  <si>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</si>
  <si>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</si>
  <si>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</si>
  <si>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</si>
  <si>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</si>
  <si>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</si>
  <si>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</si>
  <si>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</si>
  <si>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</si>
  <si>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</si>
  <si>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</si>
  <si>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</si>
  <si>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</si>
  <si>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</si>
  <si>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</si>
  <si>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</si>
  <si>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</si>
  <si>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</si>
  <si>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</si>
  <si>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</si>
  <si>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</si>
  <si>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</si>
  <si>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</si>
  <si>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</si>
  <si>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</si>
  <si>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</si>
  <si>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</si>
  <si>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</si>
  <si>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</si>
  <si>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</si>
  <si>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</si>
  <si>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</si>
  <si>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</si>
  <si>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</si>
  <si>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</si>
  <si>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</si>
  <si>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</si>
  <si>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</si>
  <si>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</si>
  <si>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</si>
  <si>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</si>
  <si>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</si>
  <si>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</si>
  <si>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</si>
  <si>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</si>
  <si>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</si>
  <si>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</si>
  <si>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</si>
  <si>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</si>
  <si>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</si>
  <si>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</si>
  <si>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</si>
  <si>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</si>
  <si>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</si>
  <si>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</si>
  <si>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</si>
  <si>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</si>
  <si>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</si>
  <si>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</si>
  <si>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</si>
  <si>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</si>
  <si>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</si>
  <si>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</si>
  <si>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</si>
  <si>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</si>
  <si>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</si>
  <si>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</si>
  <si>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</si>
  <si>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</si>
  <si>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</si>
  <si>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</si>
  <si>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</si>
  <si>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</si>
  <si>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</si>
  <si>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</si>
  <si>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</si>
  <si>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</si>
  <si>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</si>
  <si>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</si>
  <si>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</si>
  <si>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</si>
  <si>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</si>
  <si>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</si>
  <si>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</si>
  <si>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</si>
  <si>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</si>
  <si>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</si>
  <si>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</si>
  <si>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</si>
  <si>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</si>
  <si>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</si>
  <si>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</si>
  <si>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</si>
  <si>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</si>
  <si>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</si>
  <si>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</si>
  <si>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</si>
  <si>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</si>
  <si>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</si>
  <si>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</si>
  <si>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</si>
  <si>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</si>
  <si>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</si>
  <si>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</si>
  <si>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</si>
  <si>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</si>
  <si>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</si>
  <si>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</si>
  <si>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</si>
  <si>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</si>
  <si>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</si>
  <si>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</si>
  <si>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</si>
  <si>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</si>
  <si>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</si>
  <si>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</si>
  <si>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</si>
  <si>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</si>
  <si>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</si>
  <si>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</si>
  <si>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</si>
  <si>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</si>
  <si>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</si>
  <si>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</si>
  <si>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</si>
  <si>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</si>
  <si>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</si>
  <si>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</si>
  <si>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</si>
  <si>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</si>
  <si>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</si>
  <si>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</si>
  <si>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</si>
  <si>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</si>
  <si>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</si>
  <si>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</si>
  <si>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</si>
  <si>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</si>
  <si>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</si>
  <si>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</si>
  <si>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</si>
  <si>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</si>
  <si>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</si>
  <si>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</si>
  <si>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</si>
  <si>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</si>
  <si>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</si>
  <si>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</si>
  <si>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</si>
  <si>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</si>
  <si>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</si>
  <si>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</si>
  <si>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</si>
  <si>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</si>
  <si>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</si>
  <si>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</si>
  <si>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</si>
  <si>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</si>
  <si>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</si>
  <si>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</si>
  <si>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</si>
  <si>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</si>
  <si>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</si>
  <si>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</si>
  <si>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</si>
  <si>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</si>
  <si>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</si>
  <si>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</si>
  <si>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</si>
  <si>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</si>
  <si>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</si>
  <si>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</si>
  <si>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</si>
  <si>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</si>
  <si>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</si>
  <si>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</si>
  <si>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</si>
  <si>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</si>
  <si>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</si>
  <si>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</si>
  <si>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</si>
  <si>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</si>
  <si>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</si>
  <si>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</si>
  <si>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</si>
  <si>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</si>
  <si>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</si>
  <si>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</si>
  <si>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</si>
  <si>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</si>
  <si>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</si>
  <si>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</si>
  <si>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</si>
  <si>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</si>
  <si>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</si>
  <si>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</si>
  <si>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</si>
  <si>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</si>
  <si>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</si>
  <si>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</si>
  <si>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</si>
  <si>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</si>
  <si>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</si>
  <si>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</si>
  <si>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</si>
  <si>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</si>
  <si>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</si>
  <si>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</si>
  <si>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</si>
  <si>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</si>
  <si>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</si>
  <si>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</si>
  <si>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</si>
  <si>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</si>
  <si>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</si>
  <si>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</si>
  <si>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</si>
  <si>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</si>
  <si>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</si>
  <si>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</si>
  <si>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</si>
  <si>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</si>
  <si>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</si>
  <si>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</si>
  <si>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</si>
  <si>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</si>
  <si>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</si>
  <si>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</si>
  <si>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</si>
  <si>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</si>
  <si>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</si>
  <si>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</si>
  <si>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</si>
  <si>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</si>
  <si>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</si>
  <si>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</si>
  <si>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</si>
  <si>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</si>
  <si>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</si>
  <si>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</si>
  <si>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</si>
  <si>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</si>
  <si>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</si>
  <si>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</si>
  <si>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</si>
  <si>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</si>
  <si>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</si>
  <si>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</si>
  <si>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</si>
  <si>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</si>
  <si>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</si>
  <si>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</si>
  <si>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</si>
  <si>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</si>
  <si>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</si>
  <si>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</si>
  <si>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</si>
  <si>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</si>
  <si>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</si>
  <si>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</si>
  <si>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</si>
  <si>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</si>
  <si>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</si>
  <si>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</si>
  <si>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</si>
  <si>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</si>
  <si>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</si>
  <si>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</si>
  <si>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</si>
  <si>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</si>
  <si>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</si>
  <si>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</si>
  <si>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</si>
  <si>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</si>
  <si>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</si>
  <si>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</si>
  <si>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</si>
  <si>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</si>
  <si>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</si>
  <si>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</si>
  <si>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</si>
  <si>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</si>
  <si>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</si>
  <si>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</si>
  <si>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</si>
  <si>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</si>
  <si>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</si>
  <si>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</si>
  <si>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</si>
  <si>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</si>
  <si>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</si>
  <si>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</si>
  <si>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</si>
  <si>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</si>
  <si>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</si>
  <si>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</si>
  <si>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</si>
  <si>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</si>
  <si>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</si>
  <si>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</si>
  <si>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</si>
  <si>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</si>
  <si>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</si>
  <si>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</si>
  <si>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</si>
  <si>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</si>
  <si>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</si>
  <si>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</si>
  <si>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</si>
  <si>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</si>
  <si>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</si>
  <si>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</si>
  <si>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</si>
  <si>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</si>
  <si>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</si>
  <si>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</si>
  <si>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</si>
  <si>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</si>
  <si>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</si>
  <si>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</si>
  <si>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</si>
  <si>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</si>
  <si>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</si>
  <si>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</si>
  <si>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</si>
  <si>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</si>
  <si>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</si>
  <si>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</si>
  <si>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</si>
  <si>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</si>
  <si>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</si>
  <si>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</si>
  <si>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</si>
  <si>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</si>
  <si>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</si>
  <si>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</si>
  <si>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</si>
  <si>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</si>
  <si>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</si>
  <si>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</si>
  <si>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</si>
  <si>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</si>
  <si>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</si>
  <si>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</si>
  <si>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</si>
  <si>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</si>
  <si>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</si>
  <si>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</si>
  <si>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</si>
  <si>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</si>
  <si>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</si>
  <si>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</si>
  <si>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</si>
  <si>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</si>
  <si>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</si>
  <si>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</si>
  <si>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</si>
  <si>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</si>
  <si>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</si>
  <si>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</si>
  <si>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</si>
  <si>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</si>
  <si>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</si>
  <si>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</si>
  <si>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</si>
  <si>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</si>
  <si>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</si>
  <si>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</si>
  <si>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</si>
  <si>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</si>
  <si>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</si>
  <si>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</si>
  <si>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</si>
  <si>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</si>
  <si>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</si>
  <si>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</si>
  <si>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</si>
  <si>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</si>
  <si>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</si>
  <si>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</si>
  <si>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</si>
  <si>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</si>
  <si>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</si>
  <si>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</si>
  <si>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</si>
  <si>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</si>
  <si>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</si>
  <si>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</si>
  <si>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</si>
  <si>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</si>
  <si>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</si>
  <si>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</si>
  <si>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</si>
  <si>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</si>
  <si>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</si>
  <si>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</si>
  <si>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</si>
  <si>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</si>
  <si>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</si>
  <si>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</si>
  <si>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</si>
  <si>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</si>
  <si>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</si>
  <si>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</si>
  <si>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</si>
  <si>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</si>
  <si>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</si>
  <si>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</si>
  <si>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</si>
  <si>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</si>
  <si>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</si>
  <si>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</si>
  <si>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</si>
  <si>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</si>
  <si>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</si>
  <si>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</si>
  <si>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</si>
  <si>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</si>
  <si>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</si>
  <si>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</si>
  <si>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</si>
  <si>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</si>
  <si>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</si>
  <si>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</si>
  <si>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</si>
  <si>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</si>
  <si>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</si>
  <si>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</si>
  <si>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</si>
  <si>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</si>
  <si>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</si>
  <si>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</si>
  <si>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</si>
  <si>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</si>
  <si>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</si>
  <si>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</si>
  <si>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</si>
  <si>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</si>
  <si>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</si>
  <si>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</si>
  <si>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</si>
  <si>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</si>
  <si>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</si>
  <si>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</si>
  <si>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</si>
  <si>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</si>
  <si>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</si>
  <si>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</si>
  <si>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</si>
  <si>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</si>
  <si>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</si>
  <si>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</si>
  <si>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</si>
  <si>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</si>
  <si>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</si>
  <si>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</si>
  <si>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</si>
  <si>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</si>
  <si>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</si>
  <si>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</si>
  <si>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</si>
  <si>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</si>
  <si>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</si>
  <si>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</si>
  <si>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</si>
  <si>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</si>
  <si>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</si>
  <si>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</si>
  <si>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</si>
  <si>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</si>
  <si>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</si>
  <si>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</si>
  <si>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</si>
  <si>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</si>
  <si>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</si>
  <si>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</si>
  <si>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</si>
  <si>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</si>
  <si>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</si>
  <si>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</si>
  <si>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</si>
  <si>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</si>
  <si>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</si>
  <si>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</si>
  <si>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</si>
  <si>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</si>
  <si>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</si>
  <si>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</si>
  <si>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</si>
  <si>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</si>
  <si>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</si>
  <si>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</si>
  <si>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</si>
  <si>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</si>
  <si>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</si>
  <si>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</si>
  <si>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</si>
  <si>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</si>
  <si>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</si>
  <si>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</si>
  <si>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</si>
  <si>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</si>
  <si>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</si>
  <si>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</si>
  <si>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</si>
  <si>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</si>
  <si>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</si>
  <si>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</si>
  <si>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</si>
  <si>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</si>
  <si>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</si>
  <si>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</si>
  <si>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</si>
  <si>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</si>
  <si>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</si>
  <si>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</si>
  <si>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</si>
  <si>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</si>
  <si>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</si>
  <si>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</si>
  <si>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</si>
  <si>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</si>
  <si>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</si>
  <si>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</si>
  <si>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</si>
  <si>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</si>
  <si>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</si>
  <si>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</si>
  <si>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</si>
  <si>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</si>
  <si>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</si>
  <si>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</si>
  <si>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</si>
  <si>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</si>
  <si>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</si>
  <si>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</si>
  <si>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</si>
  <si>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</si>
  <si>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</si>
  <si>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</si>
  <si>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</si>
  <si>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</si>
  <si>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</si>
  <si>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</si>
  <si>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</si>
  <si>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</si>
  <si>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</si>
  <si>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</si>
  <si>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</si>
  <si>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</si>
  <si>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</si>
  <si>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</si>
  <si>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</si>
  <si>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</si>
  <si>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</si>
  <si>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</si>
  <si>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</si>
  <si>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</si>
  <si>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</si>
  <si>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</si>
  <si>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</si>
  <si>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</si>
  <si>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</si>
  <si>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</si>
  <si>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</si>
  <si>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</si>
  <si>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</si>
  <si>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</si>
  <si>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</si>
  <si>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</si>
  <si>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</si>
  <si>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</si>
  <si>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</si>
  <si>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</si>
  <si>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</si>
  <si>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</si>
  <si>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</si>
  <si>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</si>
  <si>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</si>
  <si>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</si>
  <si>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</si>
  <si>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</si>
  <si>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</si>
  <si>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</si>
  <si>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</si>
  <si>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</si>
  <si>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</si>
  <si>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</si>
  <si>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</si>
  <si>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</si>
  <si>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</si>
  <si>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</si>
  <si>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</si>
  <si>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</si>
  <si>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</si>
  <si>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</si>
  <si>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</si>
  <si>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</si>
  <si>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</si>
  <si>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</si>
  <si>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</si>
  <si>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</si>
  <si>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</si>
  <si>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</si>
  <si>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</si>
  <si>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</si>
  <si>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</si>
  <si>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</si>
  <si>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</si>
  <si>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</si>
  <si>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</si>
  <si>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</si>
  <si>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</si>
  <si>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</si>
  <si>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</si>
  <si>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</si>
  <si>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</si>
  <si>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</si>
  <si>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</si>
  <si>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</si>
  <si>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</si>
  <si>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</si>
  <si>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</si>
  <si>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</si>
  <si>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</si>
  <si>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</si>
  <si>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</si>
  <si>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</si>
  <si>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</si>
  <si>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</si>
  <si>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</si>
  <si>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</si>
  <si>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</si>
  <si>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</si>
  <si>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</si>
  <si>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</si>
  <si>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</si>
  <si>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</si>
  <si>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</si>
  <si>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</si>
  <si>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</si>
  <si>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</si>
  <si>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</si>
  <si>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</si>
  <si>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</si>
  <si>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</si>
  <si>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</si>
  <si>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</si>
  <si>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</si>
  <si>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</si>
  <si>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</si>
  <si>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</si>
  <si>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</si>
  <si>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</si>
  <si>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</si>
  <si>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</si>
  <si>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</si>
  <si>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</si>
  <si>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</si>
  <si>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</si>
  <si>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</si>
  <si>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</si>
  <si>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</si>
  <si>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</si>
  <si>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</si>
  <si>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</si>
  <si>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</si>
  <si>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</si>
  <si>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</si>
  <si>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</si>
  <si>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</si>
  <si>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</si>
  <si>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</si>
  <si>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</si>
  <si>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</si>
  <si>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</si>
  <si>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</si>
  <si>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</si>
  <si>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</si>
  <si>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</si>
  <si>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</si>
  <si>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</si>
  <si>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</si>
  <si>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</si>
  <si>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</si>
  <si>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</si>
  <si>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</si>
  <si>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</si>
  <si>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</si>
  <si>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</si>
  <si>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</si>
  <si>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</si>
  <si>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</si>
  <si>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</si>
  <si>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</si>
  <si>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</si>
  <si>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</si>
  <si>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</si>
  <si>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</si>
  <si>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</si>
  <si>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</si>
  <si>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</si>
  <si>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</si>
  <si>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</si>
  <si>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</si>
  <si>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</si>
  <si>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</si>
  <si>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</si>
  <si>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</si>
  <si>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</si>
  <si>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</si>
  <si>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</si>
  <si>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</si>
  <si>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</si>
  <si>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</si>
  <si>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</si>
  <si>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</si>
  <si>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</si>
  <si>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</si>
  <si>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</si>
  <si>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</si>
  <si>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</si>
  <si>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</si>
  <si>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</si>
  <si>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</si>
  <si>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</si>
  <si>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</si>
  <si>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</si>
  <si>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</si>
  <si>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</si>
  <si>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</si>
  <si>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</si>
  <si>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</si>
  <si>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</si>
  <si>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</si>
  <si>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</si>
  <si>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</si>
  <si>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</si>
  <si>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</si>
  <si>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</si>
  <si>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</si>
  <si>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</si>
  <si>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</si>
  <si>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</si>
  <si>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</si>
  <si>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</si>
  <si>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</si>
  <si>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</si>
  <si>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</si>
  <si>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</si>
  <si>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</si>
  <si>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</si>
  <si>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</si>
  <si>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</si>
  <si>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</si>
  <si>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</si>
  <si>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</si>
  <si>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</si>
  <si>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</si>
  <si>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</si>
  <si>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</si>
  <si>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</si>
  <si>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</si>
  <si>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</si>
  <si>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</si>
  <si>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</si>
  <si>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</si>
  <si>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</si>
  <si>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</si>
  <si>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</si>
  <si>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</si>
  <si>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</si>
  <si>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</si>
  <si>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</si>
  <si>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</si>
  <si>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</si>
  <si>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</si>
  <si>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</si>
  <si>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</si>
  <si>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</si>
  <si>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</si>
  <si>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</si>
  <si>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</si>
  <si>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</si>
  <si>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</si>
  <si>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</si>
  <si>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</si>
  <si>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</si>
  <si>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</si>
  <si>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</si>
  <si>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</si>
  <si>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</si>
  <si>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</si>
  <si>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</si>
  <si>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</si>
  <si>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</si>
  <si>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</si>
  <si>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</si>
  <si>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</si>
  <si>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</si>
  <si>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</si>
  <si>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</si>
  <si>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</si>
  <si>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</si>
  <si>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</si>
  <si>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</si>
  <si>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</si>
  <si>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</si>
  <si>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</si>
  <si>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</si>
  <si>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</si>
  <si>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</si>
  <si>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</si>
  <si>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</si>
  <si>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</si>
  <si>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</si>
  <si>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</si>
  <si>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</si>
  <si>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</si>
  <si>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</si>
  <si>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</si>
  <si>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</si>
  <si>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</si>
  <si>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</si>
  <si>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</si>
  <si>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</si>
  <si>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</si>
  <si>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</si>
  <si>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</si>
  <si>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</si>
  <si>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</si>
  <si>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</si>
  <si>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</si>
  <si>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</si>
  <si>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</si>
  <si>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</si>
  <si>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</si>
  <si>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</si>
  <si>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</si>
  <si>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</si>
  <si>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</si>
  <si>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</si>
  <si>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</si>
  <si>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</si>
  <si>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</si>
  <si>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</si>
  <si>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</si>
  <si>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</si>
  <si>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</si>
  <si>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</si>
  <si>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</si>
  <si>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</si>
  <si>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</si>
  <si>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</si>
  <si>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</si>
  <si>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</si>
  <si>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</si>
  <si>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</si>
  <si>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</si>
  <si>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</si>
  <si>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</si>
  <si>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</si>
  <si>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</si>
  <si>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</si>
  <si>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</si>
  <si>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</si>
  <si>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</si>
  <si>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</si>
  <si>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</si>
  <si>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</si>
  <si>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</si>
  <si>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</si>
  <si>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</si>
  <si>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</si>
  <si>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</si>
  <si>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</si>
  <si>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</si>
  <si>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</si>
  <si>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</si>
  <si>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</si>
  <si>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</si>
  <si>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</si>
  <si>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</si>
  <si>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</si>
  <si>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</si>
  <si>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</si>
  <si>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</si>
  <si>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</si>
  <si>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</si>
  <si>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</si>
  <si>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</si>
  <si>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</si>
  <si>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</si>
  <si>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</si>
  <si>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</si>
  <si>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</si>
  <si>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</si>
  <si>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</si>
  <si>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</si>
  <si>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</si>
  <si>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</si>
  <si>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</si>
  <si>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</si>
  <si>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</si>
  <si>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</si>
  <si>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</si>
  <si>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</si>
  <si>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</si>
  <si>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</si>
  <si>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</si>
  <si>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</si>
  <si>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</si>
  <si>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</si>
  <si>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</si>
  <si>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</si>
  <si>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</si>
  <si>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</si>
  <si>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</si>
  <si>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</si>
  <si>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</si>
  <si>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</si>
  <si>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</si>
  <si>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</si>
  <si>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</si>
  <si>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</si>
  <si>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</si>
  <si>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</si>
  <si>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</si>
  <si>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</si>
  <si>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</si>
  <si>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</si>
  <si>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</si>
  <si>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</si>
  <si>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</si>
  <si>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</si>
  <si>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</si>
  <si>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</si>
  <si>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</si>
  <si>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</si>
  <si>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</si>
  <si>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</si>
  <si>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</si>
  <si>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</si>
  <si>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</si>
  <si>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</si>
  <si>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</si>
  <si>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</si>
  <si>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</si>
  <si>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</si>
  <si>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</si>
  <si>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</si>
  <si>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</si>
  <si>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</si>
  <si>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</si>
  <si>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</si>
  <si>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</si>
  <si>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</si>
  <si>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</si>
  <si>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</si>
  <si>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</si>
  <si>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</si>
  <si>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</si>
  <si>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</si>
  <si>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</si>
  <si>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</si>
  <si>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</si>
  <si>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</si>
  <si>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</si>
  <si>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</si>
  <si>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</si>
  <si>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</si>
  <si>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</si>
  <si>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</si>
  <si>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</si>
  <si>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</si>
  <si>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</si>
  <si>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</si>
  <si>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</si>
  <si>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</si>
  <si>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</si>
  <si>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</si>
  <si>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</si>
  <si>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</si>
  <si>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</si>
  <si>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</si>
  <si>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</si>
  <si>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</si>
  <si>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</si>
  <si>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</si>
  <si>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</si>
  <si>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</si>
  <si>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</si>
  <si>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</si>
  <si>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</si>
  <si>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</si>
  <si>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</si>
  <si>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</si>
  <si>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</si>
  <si>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</si>
  <si>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</si>
  <si>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</si>
  <si>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</si>
  <si>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</si>
  <si>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</si>
  <si>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</si>
  <si>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</si>
  <si>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</si>
  <si>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</si>
  <si>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</si>
  <si>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</si>
  <si>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</si>
  <si>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</si>
  <si>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</si>
  <si>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</si>
  <si>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</si>
  <si>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</si>
  <si>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</si>
  <si>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</si>
  <si>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</si>
  <si>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</si>
  <si>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</si>
  <si>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</si>
  <si>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</si>
  <si>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</si>
  <si>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</si>
  <si>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</si>
  <si>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</si>
  <si>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</si>
  <si>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</si>
  <si>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</si>
  <si>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</si>
  <si>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</si>
  <si>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</si>
  <si>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</si>
  <si>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</si>
  <si>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</si>
  <si>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</si>
  <si>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</si>
  <si>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</si>
  <si>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</si>
  <si>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</si>
  <si>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</si>
  <si>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</si>
  <si>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</si>
  <si>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</si>
  <si>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</si>
  <si>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</si>
  <si>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</si>
  <si>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</si>
  <si>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</si>
  <si>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</si>
  <si>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</si>
  <si>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</si>
  <si>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</si>
  <si>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</si>
  <si>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</si>
  <si>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</si>
  <si>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</si>
  <si>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</si>
  <si>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</si>
  <si>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</si>
  <si>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</si>
  <si>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</si>
  <si>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</si>
  <si>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</si>
  <si>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</si>
  <si>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</si>
  <si>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</si>
  <si>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</si>
  <si>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</si>
  <si>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</si>
  <si>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</si>
  <si>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</si>
  <si>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</si>
  <si>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放置法陣</t>
    <phoneticPr fontId="2" type="noConversion"/>
  </si>
  <si>
    <r>
      <rPr>
        <sz val="10"/>
        <color theme="1"/>
        <rFont val="細明體"/>
        <family val="3"/>
        <charset val="136"/>
      </rPr>
      <t>魔導少年</t>
    </r>
    <r>
      <rPr>
        <sz val="10"/>
        <color theme="1"/>
        <rFont val="Arial"/>
        <family val="2"/>
      </rPr>
      <t xml:space="preserve"> </t>
    </r>
    <r>
      <rPr>
        <sz val="10"/>
        <color theme="1"/>
        <rFont val="細明體"/>
        <family val="3"/>
        <charset val="136"/>
      </rPr>
      <t>魔導士編年史</t>
    </r>
    <phoneticPr fontId="2" type="noConversion"/>
  </si>
  <si>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</si>
  <si>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</si>
  <si>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</si>
  <si>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</si>
  <si>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</si>
  <si>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</si>
  <si>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</si>
  <si>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</si>
  <si>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</si>
  <si>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</si>
  <si>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</si>
  <si>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</si>
  <si>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</si>
  <si>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</si>
  <si>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</si>
  <si>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</si>
  <si>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</si>
  <si>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依露希爾</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</si>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</sst>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printerSettings" Target="../printerSettings/printerSettings1.bin"/><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19" Type="http://schemas.openxmlformats.org/officeDocument/2006/relationships/hyperlink" Target="mailto:&#26368;&#26032;&#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3"/>
  <sheetViews>
    <sheetView tabSelected="1" zoomScaleNormal="100" workbookViewId="0">
      <pane xSplit="1" ySplit="1" topLeftCell="B318" activePane="bottomRight" state="frozen"/>
      <selection pane="topRight" activeCell="B1" sqref="B1"/>
      <selection pane="bottomLeft" activeCell="A2" sqref="A2"/>
      <selection pane="bottomRight" activeCell="I321" sqref="I321"/>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5701</v>
      </c>
      <c r="M291" s="59">
        <v>2585</v>
      </c>
      <c r="N291" s="1" t="s">
        <v>5702</v>
      </c>
      <c r="O291" s="59">
        <v>1295</v>
      </c>
      <c r="P291" s="1" t="s">
        <v>5703</v>
      </c>
      <c r="Q291" s="59">
        <v>800</v>
      </c>
      <c r="R291" s="1" t="s">
        <v>5704</v>
      </c>
      <c r="S291" s="59">
        <v>400</v>
      </c>
      <c r="T291" s="1" t="s">
        <v>5705</v>
      </c>
      <c r="U291" s="59">
        <v>139</v>
      </c>
      <c r="V291" s="1" t="s">
        <v>5706</v>
      </c>
      <c r="W291" s="59">
        <v>29</v>
      </c>
      <c r="X291" s="1" t="s">
        <v>5707</v>
      </c>
      <c r="Y291" s="59">
        <v>533</v>
      </c>
      <c r="Z291" s="1" t="s">
        <v>5708</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5681</v>
      </c>
      <c r="M304" s="59">
        <v>2539</v>
      </c>
      <c r="N304" s="1" t="s">
        <v>5682</v>
      </c>
      <c r="O304" s="59">
        <v>1289</v>
      </c>
      <c r="P304" s="1" t="s">
        <v>5683</v>
      </c>
      <c r="Q304" s="59">
        <v>864</v>
      </c>
      <c r="R304" s="1" t="s">
        <v>5684</v>
      </c>
      <c r="S304" s="59">
        <v>602</v>
      </c>
      <c r="T304" s="1" t="s">
        <v>5685</v>
      </c>
      <c r="U304" s="59">
        <v>279</v>
      </c>
      <c r="V304" s="1" t="s">
        <v>5686</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5687</v>
      </c>
      <c r="M306" s="59">
        <v>2793</v>
      </c>
      <c r="N306" s="1" t="s">
        <v>5688</v>
      </c>
      <c r="O306" s="59">
        <v>1462</v>
      </c>
      <c r="P306" s="1" t="s">
        <v>5689</v>
      </c>
      <c r="Q306" s="59">
        <v>585</v>
      </c>
      <c r="R306" s="1" t="s">
        <v>5690</v>
      </c>
      <c r="S306" s="59">
        <v>288</v>
      </c>
      <c r="T306" s="1" t="s">
        <v>5691</v>
      </c>
      <c r="U306" s="59">
        <v>155</v>
      </c>
      <c r="V306" s="1" t="s">
        <v>5692</v>
      </c>
      <c r="W306" s="59">
        <v>31</v>
      </c>
      <c r="X306" s="1" t="s">
        <v>5693</v>
      </c>
      <c r="Y306" s="59">
        <v>288</v>
      </c>
      <c r="Z306" s="1" t="s">
        <v>5694</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5667</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5668</v>
      </c>
      <c r="J308" s="2" t="s">
        <v>5424</v>
      </c>
      <c r="K308" s="88" t="s">
        <v>5454</v>
      </c>
      <c r="L308" s="1" t="s">
        <v>5658</v>
      </c>
      <c r="M308" s="59">
        <v>2793</v>
      </c>
      <c r="N308" s="1" t="s">
        <v>5659</v>
      </c>
      <c r="O308" s="59">
        <v>1462</v>
      </c>
      <c r="P308" s="1" t="s">
        <v>5660</v>
      </c>
      <c r="Q308" s="59">
        <v>864</v>
      </c>
      <c r="R308" s="1" t="s">
        <v>5661</v>
      </c>
      <c r="S308" s="59">
        <v>428</v>
      </c>
      <c r="T308" s="1" t="s">
        <v>5662</v>
      </c>
      <c r="U308" s="59">
        <v>155</v>
      </c>
      <c r="V308" s="1" t="s">
        <v>5663</v>
      </c>
      <c r="W308" s="59">
        <v>31</v>
      </c>
      <c r="X308" s="1" t="s">
        <v>5664</v>
      </c>
      <c r="Y308" s="59">
        <v>2793</v>
      </c>
      <c r="Z308" s="1" t="s">
        <v>5665</v>
      </c>
      <c r="AA308" s="59">
        <v>1462</v>
      </c>
      <c r="AB308" s="94" t="s">
        <v>5666</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5669</v>
      </c>
      <c r="J309" s="2" t="s">
        <v>5424</v>
      </c>
      <c r="K309" s="88" t="s">
        <v>5454</v>
      </c>
      <c r="L309" s="1" t="s">
        <v>4654</v>
      </c>
      <c r="M309" s="59">
        <v>2867</v>
      </c>
      <c r="N309" s="1" t="s">
        <v>4655</v>
      </c>
      <c r="O309" s="59">
        <v>1500</v>
      </c>
      <c r="P309" s="1" t="s">
        <v>4656</v>
      </c>
      <c r="Q309" s="59">
        <v>887</v>
      </c>
      <c r="R309" s="1" t="s">
        <v>5806</v>
      </c>
      <c r="S309" s="59">
        <v>439</v>
      </c>
      <c r="T309" s="1" t="s">
        <v>4657</v>
      </c>
      <c r="U309" s="59">
        <v>159</v>
      </c>
      <c r="V309" s="1" t="s">
        <v>4658</v>
      </c>
      <c r="W309" s="59">
        <v>32</v>
      </c>
      <c r="X309" s="1" t="s">
        <v>5807</v>
      </c>
      <c r="Y309" s="59">
        <v>159</v>
      </c>
      <c r="Z309" s="1" t="s">
        <v>5808</v>
      </c>
      <c r="AA309" s="59">
        <v>296</v>
      </c>
      <c r="AB309" s="1" t="s">
        <v>5809</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5670</v>
      </c>
      <c r="J310" s="2" t="s">
        <v>5424</v>
      </c>
      <c r="K310" s="88" t="s">
        <v>5454</v>
      </c>
      <c r="L310" s="1" t="s">
        <v>5920</v>
      </c>
      <c r="M310" s="59">
        <v>2867</v>
      </c>
      <c r="N310" s="1" t="s">
        <v>5921</v>
      </c>
      <c r="O310" s="59">
        <v>1500</v>
      </c>
      <c r="P310" s="1" t="s">
        <v>5922</v>
      </c>
      <c r="Q310" s="59">
        <v>887</v>
      </c>
      <c r="R310" s="1" t="s">
        <v>5923</v>
      </c>
      <c r="S310" s="59">
        <v>439</v>
      </c>
      <c r="T310" s="1" t="s">
        <v>5924</v>
      </c>
      <c r="U310" s="59">
        <v>159</v>
      </c>
      <c r="V310" s="1" t="s">
        <v>5925</v>
      </c>
      <c r="W310" s="59">
        <v>32</v>
      </c>
      <c r="X310" s="1"/>
      <c r="Y310" s="59"/>
      <c r="Z310" s="1"/>
      <c r="AA310" s="59"/>
      <c r="AB310" s="1"/>
      <c r="AC310" s="59"/>
      <c r="AD310" s="1"/>
      <c r="AE310" s="59"/>
    </row>
    <row r="311" spans="1:31" ht="22.5" customHeight="1" thickBot="1">
      <c r="A311" s="37" t="s">
        <v>5698</v>
      </c>
      <c r="C311" s="37" t="s">
        <v>5697</v>
      </c>
      <c r="D311" s="38" t="s">
        <v>5696</v>
      </c>
      <c r="E311" s="38" t="s">
        <v>5695</v>
      </c>
      <c r="F311" s="37" t="str">
        <f t="shared" si="12"/>
        <v>gift-codes.html?game=NBA籃球世界</v>
      </c>
      <c r="G311" s="2" t="s">
        <v>5699</v>
      </c>
      <c r="H311" s="38" t="str">
        <f t="shared" si="13"/>
        <v>https://www.ssbuy.tw/game-detail.html?game=NBA籃球世界</v>
      </c>
      <c r="I311" s="39" t="s">
        <v>5700</v>
      </c>
      <c r="J311" s="2" t="s">
        <v>5424</v>
      </c>
      <c r="K311" s="88" t="s">
        <v>5454</v>
      </c>
      <c r="L311" s="1" t="s">
        <v>5745</v>
      </c>
      <c r="M311" s="59">
        <v>2591</v>
      </c>
      <c r="N311" s="1" t="s">
        <v>5746</v>
      </c>
      <c r="O311" s="59">
        <v>1315</v>
      </c>
      <c r="P311" s="1" t="s">
        <v>5747</v>
      </c>
      <c r="Q311" s="59">
        <v>882</v>
      </c>
      <c r="R311" s="1" t="s">
        <v>5748</v>
      </c>
      <c r="S311" s="59">
        <v>437</v>
      </c>
      <c r="T311" s="1" t="s">
        <v>5749</v>
      </c>
      <c r="U311" s="59">
        <v>158</v>
      </c>
      <c r="V311" s="1" t="s">
        <v>5750</v>
      </c>
      <c r="W311" s="59">
        <v>32</v>
      </c>
      <c r="X311" s="1" t="s">
        <v>98</v>
      </c>
      <c r="Y311" s="59">
        <v>158</v>
      </c>
      <c r="Z311" s="1" t="s">
        <v>5751</v>
      </c>
      <c r="AA311" s="59">
        <v>93</v>
      </c>
      <c r="AB311" s="1"/>
      <c r="AC311" s="59"/>
      <c r="AD311" s="1"/>
      <c r="AE311" s="59"/>
    </row>
    <row r="312" spans="1:31" ht="22.5" customHeight="1" thickBot="1">
      <c r="A312" s="93" t="s">
        <v>5733</v>
      </c>
      <c r="C312" s="37" t="s">
        <v>5730</v>
      </c>
      <c r="D312" s="38" t="s">
        <v>5731</v>
      </c>
      <c r="E312" s="38" t="s">
        <v>5732</v>
      </c>
      <c r="F312" s="37" t="str">
        <f t="shared" ref="F312:F372" si="14">IF(A312="", "", "gift-codes.html?game=" &amp; A312)</f>
        <v>gift-codes.html?game=英雄來搞鬼</v>
      </c>
      <c r="G312" s="2" t="s">
        <v>5734</v>
      </c>
      <c r="H312" s="38" t="str">
        <f t="shared" ref="H312:H372" si="15">IF(A312="", "", "https://www.ssbuy.tw/game-detail.html?game="&amp;A312)</f>
        <v>https://www.ssbuy.tw/game-detail.html?game=英雄來搞鬼</v>
      </c>
      <c r="I312" s="39" t="s">
        <v>5735</v>
      </c>
      <c r="J312" s="2" t="s">
        <v>5424</v>
      </c>
      <c r="K312" s="88" t="s">
        <v>5454</v>
      </c>
      <c r="L312" s="1" t="s">
        <v>5736</v>
      </c>
      <c r="M312" s="59">
        <v>2851</v>
      </c>
      <c r="N312" s="1" t="s">
        <v>5737</v>
      </c>
      <c r="O312" s="59">
        <v>1492</v>
      </c>
      <c r="P312" s="1" t="s">
        <v>5738</v>
      </c>
      <c r="Q312" s="59">
        <v>882</v>
      </c>
      <c r="R312" s="1" t="s">
        <v>5739</v>
      </c>
      <c r="S312" s="59">
        <v>775</v>
      </c>
      <c r="T312" s="1" t="s">
        <v>5740</v>
      </c>
      <c r="U312" s="59">
        <v>597</v>
      </c>
      <c r="V312" s="1" t="s">
        <v>5741</v>
      </c>
      <c r="W312" s="59">
        <v>437</v>
      </c>
      <c r="X312" s="1" t="s">
        <v>5742</v>
      </c>
      <c r="Y312" s="59">
        <v>294</v>
      </c>
      <c r="Z312" s="1" t="s">
        <v>5743</v>
      </c>
      <c r="AA312" s="59">
        <v>224</v>
      </c>
      <c r="AB312" s="1" t="s">
        <v>5744</v>
      </c>
      <c r="AC312" s="59">
        <v>158</v>
      </c>
    </row>
    <row r="313" spans="1:31" ht="22.5" customHeight="1" thickBot="1">
      <c r="A313" s="59" t="s">
        <v>5789</v>
      </c>
      <c r="C313" s="37" t="s">
        <v>5767</v>
      </c>
      <c r="D313" s="38" t="s">
        <v>5773</v>
      </c>
      <c r="E313" s="38" t="s">
        <v>5774</v>
      </c>
      <c r="F313" s="37" t="str">
        <f t="shared" si="14"/>
        <v>gift-codes.html?game=RO新世代：攜手同行</v>
      </c>
      <c r="G313" s="2" t="s">
        <v>5793</v>
      </c>
      <c r="H313" s="38" t="str">
        <f t="shared" si="15"/>
        <v>https://www.ssbuy.tw/game-detail.html?game=RO新世代：攜手同行</v>
      </c>
      <c r="I313" s="39" t="s">
        <v>5810</v>
      </c>
      <c r="J313" s="2" t="s">
        <v>5424</v>
      </c>
      <c r="K313" s="88" t="s">
        <v>5454</v>
      </c>
    </row>
    <row r="314" spans="1:31" ht="22.5" customHeight="1" thickBot="1">
      <c r="A314" s="83" t="s">
        <v>5790</v>
      </c>
      <c r="C314" s="37" t="s">
        <v>5764</v>
      </c>
      <c r="D314" s="38" t="s">
        <v>5765</v>
      </c>
      <c r="E314" s="38" t="s">
        <v>5766</v>
      </c>
      <c r="F314" s="37" t="str">
        <f t="shared" si="14"/>
        <v>gift-codes.html?game=星落</v>
      </c>
      <c r="G314" s="2" t="s">
        <v>5794</v>
      </c>
      <c r="H314" s="38" t="str">
        <f t="shared" si="15"/>
        <v>https://www.ssbuy.tw/game-detail.html?game=星落</v>
      </c>
      <c r="I314" s="39" t="s">
        <v>5812</v>
      </c>
      <c r="J314" s="2" t="s">
        <v>5424</v>
      </c>
      <c r="K314" s="88" t="s">
        <v>5454</v>
      </c>
      <c r="L314" s="1" t="s">
        <v>5875</v>
      </c>
      <c r="M314" s="59">
        <v>3721</v>
      </c>
      <c r="N314" s="1" t="s">
        <v>5876</v>
      </c>
      <c r="O314" s="59">
        <v>2323</v>
      </c>
      <c r="P314" s="1" t="s">
        <v>5877</v>
      </c>
      <c r="Q314" s="59">
        <v>1545</v>
      </c>
      <c r="R314" s="1" t="s">
        <v>5878</v>
      </c>
      <c r="S314" s="59">
        <v>941</v>
      </c>
      <c r="T314" s="1" t="s">
        <v>5879</v>
      </c>
      <c r="U314" s="59">
        <v>427</v>
      </c>
      <c r="V314" s="1" t="s">
        <v>5880</v>
      </c>
      <c r="W314" s="59">
        <v>93</v>
      </c>
      <c r="X314" s="1" t="s">
        <v>5881</v>
      </c>
      <c r="Y314" s="59">
        <v>137</v>
      </c>
      <c r="Z314" s="1" t="s">
        <v>5882</v>
      </c>
      <c r="AA314" s="59">
        <v>636</v>
      </c>
      <c r="AB314" s="1" t="s">
        <v>5883</v>
      </c>
      <c r="AC314" s="59">
        <v>288</v>
      </c>
      <c r="AD314" s="1" t="s">
        <v>5884</v>
      </c>
      <c r="AE314" s="59">
        <v>427</v>
      </c>
    </row>
    <row r="315" spans="1:31" ht="22.5" customHeight="1" thickBot="1">
      <c r="A315" s="83" t="s">
        <v>5791</v>
      </c>
      <c r="C315" s="37" t="s">
        <v>5768</v>
      </c>
      <c r="D315" s="38" t="s">
        <v>5769</v>
      </c>
      <c r="E315" s="38" t="s">
        <v>5775</v>
      </c>
      <c r="F315" s="37" t="str">
        <f t="shared" si="14"/>
        <v>gift-codes.html?game=超自然行動組</v>
      </c>
      <c r="G315" s="2" t="s">
        <v>5795</v>
      </c>
      <c r="H315" s="38" t="str">
        <f t="shared" si="15"/>
        <v>https://www.ssbuy.tw/game-detail.html?game=超自然行動組</v>
      </c>
      <c r="I315" s="39" t="s">
        <v>5813</v>
      </c>
      <c r="J315" s="2" t="s">
        <v>5424</v>
      </c>
      <c r="K315" s="88" t="s">
        <v>5454</v>
      </c>
      <c r="L315" s="1" t="s">
        <v>5797</v>
      </c>
      <c r="M315" s="59">
        <v>2605</v>
      </c>
      <c r="N315" s="1" t="s">
        <v>5798</v>
      </c>
      <c r="O315" s="59">
        <v>1323</v>
      </c>
      <c r="P315" s="1" t="s">
        <v>5799</v>
      </c>
      <c r="Q315" s="59">
        <v>797</v>
      </c>
      <c r="R315" s="1" t="s">
        <v>5800</v>
      </c>
      <c r="S315" s="59">
        <v>600</v>
      </c>
      <c r="T315" s="1" t="s">
        <v>5801</v>
      </c>
      <c r="U315" s="59">
        <v>281</v>
      </c>
      <c r="V315" s="1" t="s">
        <v>5802</v>
      </c>
      <c r="W315" s="59">
        <v>140</v>
      </c>
      <c r="X315" s="1" t="s">
        <v>5803</v>
      </c>
      <c r="Y315" s="59">
        <v>86</v>
      </c>
      <c r="Z315" s="1" t="s">
        <v>5804</v>
      </c>
      <c r="AA315" s="59">
        <v>591</v>
      </c>
      <c r="AB315" s="1" t="s">
        <v>5805</v>
      </c>
      <c r="AC315" s="59">
        <v>314</v>
      </c>
    </row>
    <row r="316" spans="1:31" ht="22.5" customHeight="1" thickBot="1">
      <c r="A316" s="83" t="s">
        <v>5792</v>
      </c>
      <c r="C316" s="37" t="s">
        <v>5770</v>
      </c>
      <c r="D316" s="38" t="s">
        <v>5771</v>
      </c>
      <c r="E316" s="38" t="s">
        <v>5772</v>
      </c>
      <c r="F316" s="37" t="str">
        <f t="shared" si="14"/>
        <v>gift-codes.html?game=問劍長生</v>
      </c>
      <c r="G316" s="2" t="s">
        <v>5796</v>
      </c>
      <c r="H316" s="38" t="str">
        <f t="shared" si="15"/>
        <v>https://www.ssbuy.tw/game-detail.html?game=問劍長生</v>
      </c>
      <c r="I316" s="39" t="s">
        <v>5811</v>
      </c>
      <c r="J316" s="2" t="s">
        <v>5424</v>
      </c>
      <c r="K316" s="88" t="s">
        <v>5454</v>
      </c>
      <c r="L316" s="1" t="s">
        <v>5866</v>
      </c>
      <c r="M316" s="59">
        <v>2788</v>
      </c>
      <c r="N316" s="1" t="s">
        <v>5867</v>
      </c>
      <c r="O316" s="59">
        <v>1459</v>
      </c>
      <c r="P316" s="1" t="s">
        <v>5868</v>
      </c>
      <c r="Q316" s="59">
        <v>887</v>
      </c>
      <c r="R316" s="1" t="s">
        <v>5869</v>
      </c>
      <c r="S316" s="59">
        <v>439</v>
      </c>
      <c r="T316" s="1" t="s">
        <v>5870</v>
      </c>
      <c r="U316" s="59">
        <v>159</v>
      </c>
      <c r="V316" s="1" t="s">
        <v>5871</v>
      </c>
      <c r="W316" s="59">
        <v>32</v>
      </c>
      <c r="X316" s="1" t="s">
        <v>107</v>
      </c>
      <c r="Y316" s="59">
        <v>131</v>
      </c>
      <c r="Z316" s="1" t="s">
        <v>1436</v>
      </c>
      <c r="AA316" s="59">
        <v>600</v>
      </c>
      <c r="AB316" s="1" t="s">
        <v>5872</v>
      </c>
      <c r="AC316" s="59">
        <v>842</v>
      </c>
    </row>
    <row r="317" spans="1:31" ht="22.5" customHeight="1" thickBot="1">
      <c r="A317" s="83" t="s">
        <v>5828</v>
      </c>
      <c r="C317" s="37" t="s">
        <v>5821</v>
      </c>
      <c r="D317" s="38" t="s">
        <v>5822</v>
      </c>
      <c r="E317" s="38" t="s">
        <v>5823</v>
      </c>
      <c r="F317" s="37" t="str">
        <f t="shared" si="14"/>
        <v>gift-codes.html?game=道友你好劍：群英集結</v>
      </c>
      <c r="G317" s="38" t="s">
        <v>5824</v>
      </c>
      <c r="H317" s="38" t="str">
        <f t="shared" si="15"/>
        <v>https://www.ssbuy.tw/game-detail.html?game=道友你好劍：群英集結</v>
      </c>
      <c r="I317" s="39" t="s">
        <v>5831</v>
      </c>
      <c r="J317" s="2" t="s">
        <v>5424</v>
      </c>
      <c r="K317" s="88" t="s">
        <v>5454</v>
      </c>
      <c r="L317" s="1" t="s">
        <v>5840</v>
      </c>
      <c r="M317" s="59">
        <v>2867</v>
      </c>
      <c r="N317" s="1" t="s">
        <v>5841</v>
      </c>
      <c r="O317" s="59">
        <v>1500</v>
      </c>
      <c r="P317" s="1" t="s">
        <v>5842</v>
      </c>
      <c r="Q317" s="59">
        <v>887</v>
      </c>
      <c r="R317" s="1" t="s">
        <v>5843</v>
      </c>
      <c r="S317" s="59">
        <v>573</v>
      </c>
      <c r="T317" s="1" t="s">
        <v>5844</v>
      </c>
      <c r="U317" s="59">
        <v>296</v>
      </c>
      <c r="V317" s="1" t="s">
        <v>5845</v>
      </c>
      <c r="W317" s="59">
        <v>159</v>
      </c>
      <c r="X317" s="1" t="s">
        <v>5846</v>
      </c>
      <c r="Y317" s="59">
        <v>32</v>
      </c>
    </row>
    <row r="318" spans="1:31" ht="22.5" customHeight="1" thickBot="1">
      <c r="A318" s="83" t="s">
        <v>5829</v>
      </c>
      <c r="C318" s="37" t="s">
        <v>5825</v>
      </c>
      <c r="D318" s="38" t="s">
        <v>5826</v>
      </c>
      <c r="E318" s="38" t="s">
        <v>5827</v>
      </c>
      <c r="F318" s="37" t="str">
        <f t="shared" si="14"/>
        <v>gift-codes.html?game=荒島求生：重建家園</v>
      </c>
      <c r="G318" s="2" t="s">
        <v>5830</v>
      </c>
      <c r="H318" s="38" t="str">
        <f t="shared" si="15"/>
        <v>https://www.ssbuy.tw/game-detail.html?game=荒島求生：重建家園</v>
      </c>
      <c r="I318" s="39" t="s">
        <v>5832</v>
      </c>
      <c r="J318" s="2" t="s">
        <v>5424</v>
      </c>
      <c r="K318" s="88" t="s">
        <v>5454</v>
      </c>
      <c r="L318" s="1" t="s">
        <v>5833</v>
      </c>
      <c r="M318" s="59">
        <v>2605</v>
      </c>
      <c r="N318" s="1" t="s">
        <v>63</v>
      </c>
      <c r="O318" s="59">
        <v>1323</v>
      </c>
      <c r="P318" s="1" t="s">
        <v>1326</v>
      </c>
      <c r="Q318" s="59">
        <v>618</v>
      </c>
      <c r="R318" s="1" t="s">
        <v>5834</v>
      </c>
      <c r="S318" s="59">
        <v>287</v>
      </c>
      <c r="T318" s="1" t="s">
        <v>5835</v>
      </c>
      <c r="U318" s="59">
        <v>140</v>
      </c>
      <c r="V318" s="1" t="s">
        <v>7</v>
      </c>
      <c r="W318" s="59">
        <v>58</v>
      </c>
      <c r="X318" s="1" t="s">
        <v>3847</v>
      </c>
      <c r="Y318" s="59">
        <v>287</v>
      </c>
      <c r="Z318" s="1" t="s">
        <v>5836</v>
      </c>
      <c r="AA318" s="59">
        <v>140</v>
      </c>
    </row>
    <row r="319" spans="1:31" ht="22.5" customHeight="1" thickBot="1">
      <c r="A319" s="83" t="s">
        <v>5899</v>
      </c>
      <c r="C319" s="37" t="s">
        <v>5898</v>
      </c>
      <c r="D319" s="38" t="s">
        <v>5897</v>
      </c>
      <c r="E319" s="38" t="s">
        <v>5896</v>
      </c>
      <c r="F319" s="37" t="str">
        <f t="shared" si="14"/>
        <v>gift-codes.html?game=絕地鴨衛</v>
      </c>
      <c r="G319" s="2" t="s">
        <v>5901</v>
      </c>
      <c r="H319" s="38" t="str">
        <f t="shared" si="15"/>
        <v>https://www.ssbuy.tw/game-detail.html?game=絕地鴨衛</v>
      </c>
      <c r="I319" s="39" t="s">
        <v>5903</v>
      </c>
      <c r="J319" s="2" t="s">
        <v>5424</v>
      </c>
      <c r="K319" s="88" t="s">
        <v>5454</v>
      </c>
      <c r="L319" s="1" t="s">
        <v>5904</v>
      </c>
      <c r="M319" s="59">
        <v>529</v>
      </c>
      <c r="N319" s="1" t="s">
        <v>5905</v>
      </c>
      <c r="O319" s="59">
        <v>287</v>
      </c>
      <c r="P319" s="1" t="s">
        <v>5906</v>
      </c>
      <c r="Q319" s="59">
        <v>178</v>
      </c>
      <c r="R319" s="1" t="s">
        <v>5907</v>
      </c>
      <c r="S319" s="59">
        <v>86</v>
      </c>
      <c r="T319" s="1" t="s">
        <v>5908</v>
      </c>
      <c r="U319" s="59">
        <v>29</v>
      </c>
      <c r="V319" s="1" t="s">
        <v>5909</v>
      </c>
      <c r="W319" s="59">
        <v>140</v>
      </c>
      <c r="X319" s="1" t="s">
        <v>5910</v>
      </c>
      <c r="Y319" s="59">
        <v>287</v>
      </c>
    </row>
    <row r="320" spans="1:31" ht="22.5" customHeight="1" thickBot="1">
      <c r="A320" s="59" t="s">
        <v>5900</v>
      </c>
      <c r="C320" s="37" t="s">
        <v>5895</v>
      </c>
      <c r="D320" s="38" t="s">
        <v>5893</v>
      </c>
      <c r="E320" s="38" t="s">
        <v>5894</v>
      </c>
      <c r="F320" s="37" t="str">
        <f t="shared" si="14"/>
        <v>gift-codes.html?game=NBA 2K26 Myteam</v>
      </c>
      <c r="G320" s="2" t="s">
        <v>5902</v>
      </c>
      <c r="H320" s="38" t="str">
        <f t="shared" si="15"/>
        <v>https://www.ssbuy.tw/game-detail.html?game=NBA 2K26 Myteam</v>
      </c>
      <c r="I320" s="39" t="s">
        <v>5911</v>
      </c>
      <c r="J320" s="2" t="s">
        <v>5424</v>
      </c>
      <c r="K320" s="88" t="s">
        <v>5454</v>
      </c>
      <c r="L320" s="1" t="s">
        <v>5912</v>
      </c>
      <c r="M320" s="59">
        <v>4008</v>
      </c>
      <c r="N320" s="1" t="s">
        <v>5913</v>
      </c>
      <c r="O320" s="59">
        <v>2692</v>
      </c>
      <c r="P320" s="1" t="s">
        <v>5914</v>
      </c>
      <c r="Q320" s="59">
        <v>1323</v>
      </c>
      <c r="R320" s="1" t="s">
        <v>5915</v>
      </c>
      <c r="S320" s="59">
        <v>529</v>
      </c>
      <c r="T320" s="1" t="s">
        <v>5916</v>
      </c>
      <c r="U320" s="59">
        <v>281</v>
      </c>
      <c r="V320" s="1" t="s">
        <v>5917</v>
      </c>
      <c r="W320" s="59">
        <v>140</v>
      </c>
      <c r="X320" s="1" t="s">
        <v>5918</v>
      </c>
      <c r="Y320" s="59">
        <v>58</v>
      </c>
    </row>
    <row r="321" spans="1:11" ht="22.5" customHeight="1" thickBot="1">
      <c r="A321" s="83" t="s">
        <v>5932</v>
      </c>
      <c r="C321" s="37" t="s">
        <v>5927</v>
      </c>
      <c r="D321" s="37" t="s">
        <v>5927</v>
      </c>
      <c r="E321" s="38" t="s">
        <v>5928</v>
      </c>
      <c r="F321" s="37" t="str">
        <f t="shared" si="14"/>
        <v>gift-codes.html?game=放置法陣</v>
      </c>
      <c r="G321" s="2" t="s">
        <v>5934</v>
      </c>
      <c r="H321" s="38" t="str">
        <f t="shared" si="15"/>
        <v>https://www.ssbuy.tw/game-detail.html?game=放置法陣</v>
      </c>
      <c r="I321" s="39" t="s">
        <v>5954</v>
      </c>
      <c r="J321" s="2" t="s">
        <v>5424</v>
      </c>
      <c r="K321" s="88" t="s">
        <v>5454</v>
      </c>
    </row>
    <row r="322" spans="1:11" ht="22.5" customHeight="1" thickBot="1">
      <c r="A322" s="59" t="s">
        <v>5933</v>
      </c>
      <c r="C322" s="37" t="s">
        <v>5931</v>
      </c>
      <c r="D322" s="38" t="s">
        <v>5930</v>
      </c>
      <c r="E322" s="38" t="s">
        <v>5929</v>
      </c>
      <c r="F322" s="37" t="str">
        <f t="shared" si="14"/>
        <v>gift-codes.html?game=魔導少年 魔導士編年史</v>
      </c>
      <c r="G322" s="2" t="s">
        <v>5935</v>
      </c>
      <c r="H322" s="38" t="str">
        <f t="shared" si="15"/>
        <v>https://www.ssbuy.tw/game-detail.html?game=魔導少年 魔導士編年史</v>
      </c>
      <c r="I322" s="39" t="s">
        <v>5936</v>
      </c>
      <c r="J322" s="2" t="s">
        <v>5424</v>
      </c>
      <c r="K322" s="88" t="s">
        <v>5454</v>
      </c>
    </row>
    <row r="323" spans="1:11" ht="22.5" customHeight="1" thickBot="1">
      <c r="A323" s="83" t="s">
        <v>5950</v>
      </c>
      <c r="C323" s="37" t="s">
        <v>5943</v>
      </c>
      <c r="D323" s="38" t="s">
        <v>5942</v>
      </c>
      <c r="E323" s="2" t="s">
        <v>5948</v>
      </c>
      <c r="F323" s="37" t="str">
        <f t="shared" si="14"/>
        <v>gift-codes.html?game=獵風傳說：石器大作戰</v>
      </c>
      <c r="G323" s="38" t="s">
        <v>5949</v>
      </c>
      <c r="H323" s="38" t="str">
        <f t="shared" si="15"/>
        <v>https://www.ssbuy.tw/game-detail.html?game=獵風傳說：石器大作戰</v>
      </c>
      <c r="I323" s="39" t="s">
        <v>5952</v>
      </c>
      <c r="J323" s="2" t="s">
        <v>5424</v>
      </c>
      <c r="K323" s="88" t="s">
        <v>5454</v>
      </c>
    </row>
    <row r="324" spans="1:11" ht="22.5" customHeight="1" thickBot="1">
      <c r="A324" s="83" t="s">
        <v>5951</v>
      </c>
      <c r="C324" s="37" t="s">
        <v>5945</v>
      </c>
      <c r="D324" s="38" t="s">
        <v>5944</v>
      </c>
      <c r="E324" s="38" t="s">
        <v>5946</v>
      </c>
      <c r="F324" s="37" t="str">
        <f t="shared" si="14"/>
        <v>gift-codes.html?game=依露希爾</v>
      </c>
      <c r="G324" s="38" t="s">
        <v>5947</v>
      </c>
      <c r="H324" s="38" t="str">
        <f t="shared" si="15"/>
        <v>https://www.ssbuy.tw/game-detail.html?game=依露希爾</v>
      </c>
      <c r="I324" s="39" t="s">
        <v>5953</v>
      </c>
      <c r="J324" s="2" t="s">
        <v>5424</v>
      </c>
      <c r="K324" s="88" t="s">
        <v>5454</v>
      </c>
    </row>
    <row r="325" spans="1:11" ht="22.5" customHeight="1">
      <c r="F325" s="37" t="str">
        <f t="shared" si="14"/>
        <v/>
      </c>
      <c r="H325" s="38" t="str">
        <f t="shared" si="15"/>
        <v/>
      </c>
    </row>
    <row r="326" spans="1:11" ht="22.5" customHeight="1">
      <c r="F326" s="37" t="str">
        <f t="shared" si="14"/>
        <v/>
      </c>
      <c r="H326" s="38" t="str">
        <f t="shared" si="15"/>
        <v/>
      </c>
    </row>
    <row r="327" spans="1:11" ht="22.5" customHeight="1">
      <c r="F327" s="37" t="str">
        <f t="shared" si="14"/>
        <v/>
      </c>
      <c r="H327" s="38" t="str">
        <f t="shared" si="15"/>
        <v/>
      </c>
    </row>
    <row r="328" spans="1:11" ht="22.5" customHeight="1">
      <c r="F328" s="37" t="str">
        <f t="shared" si="14"/>
        <v/>
      </c>
      <c r="H328" s="38" t="str">
        <f t="shared" si="15"/>
        <v/>
      </c>
    </row>
    <row r="329" spans="1:11" ht="22.5" customHeight="1">
      <c r="F329" s="37" t="str">
        <f t="shared" si="14"/>
        <v/>
      </c>
      <c r="H329" s="38" t="str">
        <f t="shared" si="15"/>
        <v/>
      </c>
    </row>
    <row r="330" spans="1:11" ht="22.5" customHeight="1">
      <c r="F330" s="37" t="str">
        <f t="shared" si="14"/>
        <v/>
      </c>
      <c r="H330" s="38" t="str">
        <f t="shared" si="15"/>
        <v/>
      </c>
    </row>
    <row r="331" spans="1:11" ht="22.5" customHeight="1">
      <c r="F331" s="37" t="str">
        <f t="shared" si="14"/>
        <v/>
      </c>
      <c r="H331" s="38" t="str">
        <f t="shared" si="15"/>
        <v/>
      </c>
    </row>
    <row r="332" spans="1:11" ht="22.5" customHeight="1">
      <c r="F332" s="37" t="str">
        <f t="shared" si="14"/>
        <v/>
      </c>
      <c r="H332" s="38" t="str">
        <f t="shared" si="15"/>
        <v/>
      </c>
    </row>
    <row r="333" spans="1:11" ht="22.5" customHeight="1">
      <c r="F333" s="37" t="str">
        <f t="shared" si="14"/>
        <v/>
      </c>
      <c r="H333" s="38" t="str">
        <f t="shared" si="15"/>
        <v/>
      </c>
    </row>
    <row r="334" spans="1:11" ht="22.5" customHeight="1">
      <c r="F334" s="37" t="str">
        <f t="shared" si="14"/>
        <v/>
      </c>
      <c r="H334" s="38" t="str">
        <f t="shared" si="15"/>
        <v/>
      </c>
    </row>
    <row r="335" spans="1:11" ht="22.5" customHeight="1">
      <c r="F335" s="37" t="str">
        <f t="shared" si="14"/>
        <v/>
      </c>
      <c r="H335" s="38" t="str">
        <f t="shared" si="15"/>
        <v/>
      </c>
    </row>
    <row r="336" spans="1:11"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ref="F373:F436" si="16">IF(A373="", "", "gift-codes.html?game=" &amp; A373)</f>
        <v/>
      </c>
      <c r="H373" s="38" t="str">
        <f t="shared" ref="H373:H436" si="17">IF(A373="", "", "https://www.ssbuy.tw/game-detail.html?game="&amp;A373)</f>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ref="F437:F500" si="18">IF(A437="", "", "gift-codes.html?game=" &amp; A437)</f>
        <v/>
      </c>
      <c r="H437" s="38" t="str">
        <f t="shared" ref="H437:H500" si="19">IF(A437="", "", "https://www.ssbuy.tw/game-detail.html?game="&amp;A437)</f>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ref="F501:F564" si="20">IF(A501="", "", "gift-codes.html?game=" &amp; A501)</f>
        <v/>
      </c>
      <c r="H501" s="38" t="str">
        <f t="shared" ref="H501:H564" si="21">IF(A501="", "", "https://www.ssbuy.tw/game-detail.html?game="&amp;A501)</f>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IF(A565="", "", "gift-codes.html?game=" &amp; A565)</f>
        <v/>
      </c>
      <c r="H565" s="38" t="str">
        <f t="shared" ref="H565:H623" si="22">IF(A565="", "", "https://www.ssbuy.tw/game-detail.html?game="&amp;A565)</f>
        <v/>
      </c>
    </row>
    <row r="566" spans="6:8">
      <c r="F566" s="37" t="str">
        <f>IF(A566="", "", "gift-codes.html?game=" &amp; A566)</f>
        <v/>
      </c>
      <c r="H566" s="38" t="str">
        <f t="shared" si="22"/>
        <v/>
      </c>
    </row>
    <row r="567" spans="6:8">
      <c r="F567" s="37" t="str">
        <f>IF(A567="", "", "gift-codes.html?game=" &amp; A567)</f>
        <v/>
      </c>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hyperlink ref="G316" r:id="rId292"/>
    <hyperlink ref="G318" r:id="rId293"/>
    <hyperlink ref="G319" r:id="rId294"/>
    <hyperlink ref="G320" r:id="rId295"/>
    <hyperlink ref="G321"/>
    <hyperlink ref="G322" r:id="rId296"/>
    <hyperlink ref="E323" r:id="rId297"/>
  </hyperlinks>
  <pageMargins left="0.7" right="0.7" top="0.75" bottom="0.75" header="0.3" footer="0.3"/>
  <pageSetup paperSize="9" orientation="portrait" r:id="rId29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1"/>
  <sheetViews>
    <sheetView workbookViewId="0">
      <pane xSplit="1" ySplit="1" topLeftCell="B306" activePane="bottomRight" state="frozen"/>
      <selection pane="topRight" activeCell="B1" sqref="B1"/>
      <selection pane="bottomLeft" activeCell="A2" sqref="A2"/>
      <selection pane="bottomRight" activeCell="G322" sqref="G322"/>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5719</v>
      </c>
      <c r="AN190" s="10" t="s">
        <v>5720</v>
      </c>
      <c r="AO190" s="15" t="s">
        <v>5709</v>
      </c>
      <c r="AP190" s="10" t="s">
        <v>5710</v>
      </c>
      <c r="AQ190" s="15" t="s">
        <v>5711</v>
      </c>
      <c r="AR190" s="10" t="s">
        <v>5712</v>
      </c>
      <c r="AS190" s="15" t="s">
        <v>5713</v>
      </c>
      <c r="AT190" s="10" t="s">
        <v>5714</v>
      </c>
      <c r="AU190" s="15" t="s">
        <v>5715</v>
      </c>
      <c r="AV190" s="10" t="s">
        <v>5716</v>
      </c>
      <c r="AW190" s="15" t="s">
        <v>5717</v>
      </c>
      <c r="AX190" s="10" t="s">
        <v>5718</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5674</v>
      </c>
      <c r="G294" s="10" t="s">
        <v>5675</v>
      </c>
      <c r="H294" s="10" t="s">
        <v>5676</v>
      </c>
      <c r="I294" s="10" t="s">
        <v>2625</v>
      </c>
      <c r="K294" s="89" t="s">
        <v>5510</v>
      </c>
      <c r="L294" s="10" t="s">
        <v>5511</v>
      </c>
      <c r="M294" s="15" t="s">
        <v>5677</v>
      </c>
      <c r="N294" s="10" t="s">
        <v>5678</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5722</v>
      </c>
      <c r="AM296" s="15" t="s">
        <v>5723</v>
      </c>
      <c r="AO296" s="15" t="s">
        <v>5724</v>
      </c>
      <c r="AQ296" s="15" t="s">
        <v>5725</v>
      </c>
      <c r="AS296" s="89" t="s">
        <v>5721</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5680</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5671</v>
      </c>
      <c r="G304" s="10" t="s">
        <v>5672</v>
      </c>
      <c r="H304" s="10" t="s">
        <v>2625</v>
      </c>
      <c r="K304" s="89" t="s">
        <v>5510</v>
      </c>
      <c r="L304" s="10" t="s">
        <v>5511</v>
      </c>
      <c r="M304" s="15" t="s">
        <v>5673</v>
      </c>
      <c r="N304" s="10" t="s">
        <v>5679</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5758</v>
      </c>
      <c r="G309" s="10" t="s">
        <v>5759</v>
      </c>
      <c r="H309" s="10" t="s">
        <v>2625</v>
      </c>
      <c r="K309" s="89" t="s">
        <v>5510</v>
      </c>
      <c r="L309" s="10" t="s">
        <v>5511</v>
      </c>
      <c r="M309" s="15" t="s">
        <v>5752</v>
      </c>
      <c r="N309" s="10" t="s">
        <v>5753</v>
      </c>
      <c r="O309" s="15" t="s">
        <v>5754</v>
      </c>
      <c r="P309" s="10" t="s">
        <v>5755</v>
      </c>
      <c r="Q309" s="15" t="s">
        <v>5756</v>
      </c>
      <c r="R309" s="10" t="s">
        <v>5757</v>
      </c>
      <c r="S309" s="15" t="s">
        <v>5760</v>
      </c>
      <c r="U309" s="15" t="s">
        <v>5762</v>
      </c>
      <c r="W309" s="15" t="s">
        <v>5761</v>
      </c>
      <c r="Y309" s="15" t="s">
        <v>5763</v>
      </c>
      <c r="AA309" s="15" t="s">
        <v>5858</v>
      </c>
      <c r="AC309" s="15" t="s">
        <v>5859</v>
      </c>
      <c r="AE309" s="15" t="s">
        <v>5860</v>
      </c>
      <c r="AG309" s="15" t="s">
        <v>5861</v>
      </c>
      <c r="AI309" s="15" t="s">
        <v>5862</v>
      </c>
      <c r="AK309" s="15" t="s">
        <v>5863</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5926</v>
      </c>
      <c r="G310" s="10" t="s">
        <v>5473</v>
      </c>
      <c r="H310" s="10" t="s">
        <v>2625</v>
      </c>
      <c r="K310" s="89" t="s">
        <v>5510</v>
      </c>
      <c r="L310" s="10" t="s">
        <v>5511</v>
      </c>
      <c r="M310" s="15" t="s">
        <v>5919</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2" si="14">IF(A312="","", "giftcodesbanner/" &amp; A312 &amp; "-禮包碼.jpg")</f>
        <v>giftcodesbanner/英雄來搞鬼-禮包碼.jpg</v>
      </c>
      <c r="D312" s="10" t="str">
        <f t="shared" ref="D312:D372"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5728</v>
      </c>
      <c r="G312" s="10" t="s">
        <v>5729</v>
      </c>
      <c r="H312" s="10" t="s">
        <v>2625</v>
      </c>
      <c r="K312" s="89" t="s">
        <v>5510</v>
      </c>
      <c r="L312" s="10" t="s">
        <v>5511</v>
      </c>
      <c r="M312" s="15" t="s">
        <v>5726</v>
      </c>
      <c r="N312" s="10" t="s">
        <v>5727</v>
      </c>
      <c r="O312" s="15" t="s">
        <v>5814</v>
      </c>
      <c r="Q312" s="15" t="s">
        <v>5815</v>
      </c>
      <c r="S312" s="15" t="s">
        <v>5816</v>
      </c>
      <c r="U312" s="15" t="s">
        <v>5817</v>
      </c>
      <c r="W312" s="15" t="s">
        <v>5818</v>
      </c>
      <c r="Y312" s="15" t="s">
        <v>5819</v>
      </c>
      <c r="AA312" s="15" t="s">
        <v>5820</v>
      </c>
      <c r="AC312" s="15" t="s">
        <v>5891</v>
      </c>
      <c r="AE312" s="15" t="s">
        <v>5892</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5779</v>
      </c>
      <c r="O313" s="15" t="s">
        <v>5780</v>
      </c>
      <c r="Q313" s="15" t="s">
        <v>5781</v>
      </c>
      <c r="S313" s="15" t="s">
        <v>5782</v>
      </c>
      <c r="U313" s="15" t="s">
        <v>5783</v>
      </c>
      <c r="W313" s="15" t="s">
        <v>5784</v>
      </c>
      <c r="Y313" s="15" t="s">
        <v>5785</v>
      </c>
      <c r="AA313" s="15" t="s">
        <v>5786</v>
      </c>
      <c r="AC313" s="15" t="s">
        <v>5787</v>
      </c>
      <c r="AE313" s="15" t="s">
        <v>5788</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5889</v>
      </c>
      <c r="G314" s="10" t="s">
        <v>5890</v>
      </c>
      <c r="H314" s="10" t="s">
        <v>5856</v>
      </c>
      <c r="K314" s="89" t="s">
        <v>5510</v>
      </c>
      <c r="L314" s="10" t="s">
        <v>5511</v>
      </c>
      <c r="M314" s="15" t="s">
        <v>5778</v>
      </c>
      <c r="N314" s="10" t="s">
        <v>5888</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5776</v>
      </c>
      <c r="G316" s="10" t="s">
        <v>5777</v>
      </c>
      <c r="H316" s="10" t="s">
        <v>5864</v>
      </c>
      <c r="I316" s="10" t="s">
        <v>2625</v>
      </c>
      <c r="K316" s="89" t="s">
        <v>5510</v>
      </c>
      <c r="L316" s="10" t="s">
        <v>5511</v>
      </c>
      <c r="M316" s="15" t="s">
        <v>5865</v>
      </c>
      <c r="N316" s="10" t="s">
        <v>5887</v>
      </c>
      <c r="O316" s="15" t="s">
        <v>5873</v>
      </c>
      <c r="P316" s="10" t="s">
        <v>5886</v>
      </c>
      <c r="Q316" s="15" t="s">
        <v>5874</v>
      </c>
      <c r="R316" s="10" t="s">
        <v>5886</v>
      </c>
      <c r="S316" s="15" t="s">
        <v>5885</v>
      </c>
      <c r="T316" s="10" t="s">
        <v>5886</v>
      </c>
      <c r="U316" s="15" t="s">
        <v>5937</v>
      </c>
      <c r="W316" s="15" t="s">
        <v>5938</v>
      </c>
      <c r="Y316" s="15" t="s">
        <v>5939</v>
      </c>
      <c r="AA316" s="15" t="s">
        <v>5940</v>
      </c>
      <c r="AC316" s="15" t="s">
        <v>5941</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5854</v>
      </c>
      <c r="G317" s="10" t="s">
        <v>5855</v>
      </c>
      <c r="H317" s="10" t="s">
        <v>5857</v>
      </c>
      <c r="K317" s="89" t="s">
        <v>5510</v>
      </c>
      <c r="L317" s="10" t="s">
        <v>5511</v>
      </c>
      <c r="M317" s="15" t="s">
        <v>5837</v>
      </c>
      <c r="N317" s="10" t="s">
        <v>5847</v>
      </c>
      <c r="O317" s="15" t="s">
        <v>5838</v>
      </c>
      <c r="P317" s="10" t="s">
        <v>5848</v>
      </c>
      <c r="Q317" s="15" t="s">
        <v>5839</v>
      </c>
      <c r="R317" s="10" t="s">
        <v>5849</v>
      </c>
      <c r="S317" s="15" t="s">
        <v>3218</v>
      </c>
      <c r="T317" s="10" t="s">
        <v>5850</v>
      </c>
      <c r="U317" s="15" t="s">
        <v>3222</v>
      </c>
      <c r="V317" s="10" t="s">
        <v>5851</v>
      </c>
      <c r="W317" s="15" t="s">
        <v>5852</v>
      </c>
      <c r="X317" s="10" t="s">
        <v>5853</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5854</v>
      </c>
      <c r="G318" s="10" t="s">
        <v>5855</v>
      </c>
      <c r="H318" s="10" t="s">
        <v>5857</v>
      </c>
      <c r="K318" s="89" t="s">
        <v>5510</v>
      </c>
      <c r="L318" s="10" t="s">
        <v>5511</v>
      </c>
    </row>
    <row r="319" spans="1:37">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4" t="s">
        <v>5238</v>
      </c>
      <c r="K319" s="89" t="s">
        <v>5510</v>
      </c>
      <c r="L319" s="10" t="s">
        <v>5511</v>
      </c>
    </row>
    <row r="320" spans="1:37">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4" t="s">
        <v>5238</v>
      </c>
      <c r="K320" s="89" t="s">
        <v>5510</v>
      </c>
      <c r="L320" s="10" t="s">
        <v>5511</v>
      </c>
    </row>
    <row r="321" spans="1:12">
      <c r="A321" s="10" t="str">
        <f>IF(games!A321="", "", games!A321)</f>
        <v>放置法陣</v>
      </c>
      <c r="C321" s="10" t="str">
        <f t="shared" si="14"/>
        <v>giftcodesbanner/放置法陣-禮包碼.jpg</v>
      </c>
      <c r="D321" s="10" t="str">
        <f t="shared" si="15"/>
        <v>https://www.ssbuy.tw/gift-codes.html?game=放置法陣</v>
      </c>
      <c r="E321" s="1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4" t="s">
        <v>5238</v>
      </c>
      <c r="K321" s="89" t="s">
        <v>5510</v>
      </c>
      <c r="L321" s="10" t="s">
        <v>5511</v>
      </c>
    </row>
    <row r="322" spans="1:12">
      <c r="A322" s="10" t="str">
        <f>IF(games!A322="", "", games!A322)</f>
        <v>魔導少年 魔導士編年史</v>
      </c>
      <c r="C322" s="10" t="str">
        <f t="shared" si="14"/>
        <v>giftcodesbanner/魔導少年 魔導士編年史-禮包碼.jpg</v>
      </c>
      <c r="D322" s="10" t="str">
        <f t="shared" si="15"/>
        <v>https://www.ssbuy.tw/gift-codes.html?game=魔導少年 魔導士編年史</v>
      </c>
      <c r="E322" s="1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4" t="s">
        <v>5238</v>
      </c>
      <c r="K322" s="89" t="s">
        <v>5510</v>
      </c>
      <c r="L322" s="10" t="s">
        <v>5511</v>
      </c>
    </row>
    <row r="323" spans="1:12">
      <c r="A323" s="10" t="str">
        <f>IF(games!A323="", "", games!A323)</f>
        <v>獵風傳說：石器大作戰</v>
      </c>
      <c r="C323" s="10" t="str">
        <f t="shared" si="14"/>
        <v>giftcodesbanner/獵風傳說：石器大作戰-禮包碼.jpg</v>
      </c>
      <c r="D323" s="10" t="str">
        <f t="shared" si="15"/>
        <v>https://www.ssbuy.tw/gift-codes.html?game=獵風傳說：石器大作戰</v>
      </c>
      <c r="E323" s="1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4" t="s">
        <v>5238</v>
      </c>
      <c r="K323" s="89" t="s">
        <v>5510</v>
      </c>
      <c r="L323" s="10" t="s">
        <v>5511</v>
      </c>
    </row>
    <row r="324" spans="1:12">
      <c r="A324" s="10" t="str">
        <f>IF(games!A324="", "", games!A324)</f>
        <v>依露希爾</v>
      </c>
      <c r="C324" s="10" t="str">
        <f t="shared" si="14"/>
        <v>giftcodesbanner/依露希爾-禮包碼.jpg</v>
      </c>
      <c r="D324" s="10" t="str">
        <f t="shared" si="15"/>
        <v>https://www.ssbuy.tw/gift-codes.html?game=依露希爾</v>
      </c>
      <c r="E324" s="1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4" t="s">
        <v>5238</v>
      </c>
      <c r="K324" s="89" t="s">
        <v>5510</v>
      </c>
      <c r="L324" s="10" t="s">
        <v>5511</v>
      </c>
    </row>
    <row r="325" spans="1:12">
      <c r="A325" s="10" t="str">
        <f>IF(games!A325="", "", games!A325)</f>
        <v/>
      </c>
      <c r="C325" s="10" t="str">
        <f t="shared" si="14"/>
        <v/>
      </c>
      <c r="D325" s="10" t="str">
        <f t="shared" si="15"/>
        <v/>
      </c>
      <c r="E325" s="11" t="str">
        <f>IF(games!I325&lt;&gt;"", games!I325, "")</f>
        <v/>
      </c>
    </row>
    <row r="326" spans="1:12">
      <c r="A326" s="10" t="str">
        <f>IF(games!A326="", "", games!A326)</f>
        <v/>
      </c>
      <c r="C326" s="10" t="str">
        <f t="shared" si="14"/>
        <v/>
      </c>
      <c r="D326" s="10" t="str">
        <f t="shared" si="15"/>
        <v/>
      </c>
      <c r="E326" s="11" t="str">
        <f>IF(games!I326&lt;&gt;"", games!I326, "")</f>
        <v/>
      </c>
    </row>
    <row r="327" spans="1:12">
      <c r="A327" s="10" t="str">
        <f>IF(games!A327="", "", games!A327)</f>
        <v/>
      </c>
      <c r="C327" s="10" t="str">
        <f t="shared" si="14"/>
        <v/>
      </c>
      <c r="D327" s="10" t="str">
        <f t="shared" si="15"/>
        <v/>
      </c>
      <c r="E327" s="11" t="str">
        <f>IF(games!I327&lt;&gt;"", games!I327, "")</f>
        <v/>
      </c>
    </row>
    <row r="328" spans="1:12">
      <c r="A328" s="10" t="str">
        <f>IF(games!A328="", "", games!A328)</f>
        <v/>
      </c>
      <c r="C328" s="10" t="str">
        <f t="shared" si="14"/>
        <v/>
      </c>
      <c r="D328" s="10" t="str">
        <f t="shared" si="15"/>
        <v/>
      </c>
      <c r="E328" s="11" t="str">
        <f>IF(games!I328&lt;&gt;"", games!I328, "")</f>
        <v/>
      </c>
    </row>
    <row r="329" spans="1:12">
      <c r="A329" s="10" t="str">
        <f>IF(games!A329="", "", games!A329)</f>
        <v/>
      </c>
      <c r="C329" s="10" t="str">
        <f t="shared" si="14"/>
        <v/>
      </c>
      <c r="D329" s="10" t="str">
        <f t="shared" si="15"/>
        <v/>
      </c>
      <c r="E329" s="11" t="str">
        <f>IF(games!I329&lt;&gt;"", games!I329, "")</f>
        <v/>
      </c>
    </row>
    <row r="330" spans="1:12">
      <c r="A330" s="10" t="str">
        <f>IF(games!A330="", "", games!A330)</f>
        <v/>
      </c>
      <c r="C330" s="10" t="str">
        <f t="shared" si="14"/>
        <v/>
      </c>
      <c r="D330" s="10" t="str">
        <f t="shared" si="15"/>
        <v/>
      </c>
      <c r="E330" s="11" t="str">
        <f>IF(games!I330&lt;&gt;"", games!I330, "")</f>
        <v/>
      </c>
    </row>
    <row r="331" spans="1:12">
      <c r="A331" s="10" t="str">
        <f>IF(games!A331="", "", games!A331)</f>
        <v/>
      </c>
      <c r="C331" s="10" t="str">
        <f t="shared" si="14"/>
        <v/>
      </c>
      <c r="D331" s="10" t="str">
        <f t="shared" si="15"/>
        <v/>
      </c>
      <c r="E331" s="11" t="str">
        <f>IF(games!I331&lt;&gt;"", games!I331, "")</f>
        <v/>
      </c>
    </row>
    <row r="332" spans="1:12">
      <c r="A332" s="10" t="str">
        <f>IF(games!A332="", "", games!A332)</f>
        <v/>
      </c>
      <c r="C332" s="10" t="str">
        <f t="shared" si="14"/>
        <v/>
      </c>
      <c r="D332" s="10" t="str">
        <f t="shared" si="15"/>
        <v/>
      </c>
      <c r="E332" s="11" t="str">
        <f>IF(games!I332&lt;&gt;"", games!I332, "")</f>
        <v/>
      </c>
    </row>
    <row r="333" spans="1:12">
      <c r="A333" s="10" t="str">
        <f>IF(games!A333="", "", games!A333)</f>
        <v/>
      </c>
      <c r="C333" s="10" t="str">
        <f t="shared" si="14"/>
        <v/>
      </c>
      <c r="D333" s="10" t="str">
        <f t="shared" si="15"/>
        <v/>
      </c>
      <c r="E333" s="11" t="str">
        <f>IF(games!I333&lt;&gt;"", games!I333, "")</f>
        <v/>
      </c>
    </row>
    <row r="334" spans="1:12">
      <c r="A334" s="10" t="str">
        <f>IF(games!A334="", "", games!A334)</f>
        <v/>
      </c>
      <c r="C334" s="10" t="str">
        <f t="shared" si="14"/>
        <v/>
      </c>
      <c r="D334" s="10" t="str">
        <f t="shared" si="15"/>
        <v/>
      </c>
      <c r="E334" s="11" t="str">
        <f>IF(games!I334&lt;&gt;"", games!I334, "")</f>
        <v/>
      </c>
    </row>
    <row r="335" spans="1:12">
      <c r="A335" s="10" t="str">
        <f>IF(games!A335="", "", games!A335)</f>
        <v/>
      </c>
      <c r="C335" s="10" t="str">
        <f t="shared" si="14"/>
        <v/>
      </c>
      <c r="D335" s="10" t="str">
        <f t="shared" si="15"/>
        <v/>
      </c>
      <c r="E335" s="11" t="str">
        <f>IF(games!I335&lt;&gt;"", games!I335, "")</f>
        <v/>
      </c>
    </row>
    <row r="336" spans="1:12">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ref="C373:C431" si="16">IF(A373="","", "giftcodesbanner/" &amp; A373 &amp; "-禮包碼.jpg")</f>
        <v/>
      </c>
      <c r="D373" s="10" t="str">
        <f t="shared" ref="D373:D431" si="17">IF(A373="","", "https://www.ssbuy.tw/gift-codes.html?game="&amp;A373)</f>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s>
  <pageMargins left="0.7" right="0.7" top="0.75" bottom="0.75" header="0.3" footer="0.3"/>
  <pageSetup paperSize="9" orientation="portrait" r:id="rId5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2025-12-01T10:57:16Z</dcterms:modified>
</cp:coreProperties>
</file>