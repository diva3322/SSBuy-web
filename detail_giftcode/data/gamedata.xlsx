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<sst xmlns="http://schemas.openxmlformats.org/spreadsheetml/2006/main" count="11180" uniqueCount="7516">
  <si>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</si>
  <si>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</si>
  <si>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</si>
  <si>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</si>
  <si>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</si>
  <si>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</si>
  <si>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</si>
  <si>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</si>
  <si>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</si>
  <si>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</si>
  <si>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</si>
  <si>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</si>
  <si>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</si>
  <si>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</si>
  <si>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</si>
  <si>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</si>
  <si>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</si>
  <si>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</si>
  <si>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</si>
  <si>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</si>
  <si>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</si>
  <si>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</si>
  <si>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</si>
  <si>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</si>
  <si>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</si>
  <si>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</si>
  <si>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</si>
  <si>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</si>
  <si>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</si>
  <si>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</si>
  <si>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</si>
  <si>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</si>
  <si>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</si>
  <si>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</si>
  <si>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</si>
  <si>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</si>
  <si>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</si>
  <si>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</si>
  <si>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</si>
  <si>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</si>
  <si>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</si>
  <si>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</si>
  <si>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</si>
  <si>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</si>
  <si>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</si>
  <si>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</si>
  <si>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</si>
  <si>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</si>
  <si>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</si>
  <si>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</si>
  <si>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</si>
  <si>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</si>
  <si>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</si>
  <si>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</si>
  <si>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</si>
  <si>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</si>
  <si>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</si>
  <si>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</si>
  <si>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</si>
  <si>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</si>
  <si>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</si>
  <si>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</si>
  <si>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</si>
  <si>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</si>
  <si>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</si>
  <si>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</si>
  <si>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</si>
  <si>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</si>
  <si>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</si>
  <si>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</si>
  <si>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</si>
  <si>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</si>
  <si>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</si>
  <si>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</si>
  <si>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</si>
  <si>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</si>
  <si>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</si>
  <si>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</si>
  <si>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</si>
  <si>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</si>
  <si>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</si>
  <si>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</si>
  <si>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</si>
  <si>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</si>
  <si>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</si>
  <si>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</si>
  <si>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</si>
  <si>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</si>
  <si>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</si>
  <si>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</si>
  <si>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</si>
  <si>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</si>
  <si>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</si>
  <si>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</si>
  <si>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</si>
  <si>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</si>
  <si>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</si>
  <si>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</si>
  <si>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</si>
  <si>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</si>
  <si>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</si>
  <si>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</si>
  <si>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</si>
  <si>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</si>
  <si>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</si>
  <si>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</si>
  <si>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</si>
  <si>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</si>
  <si>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</si>
  <si>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</si>
  <si>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</si>
  <si>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</si>
  <si>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</si>
  <si>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</si>
  <si>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</si>
  <si>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</si>
  <si>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</si>
  <si>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</si>
  <si>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</si>
  <si>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</si>
  <si>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</si>
  <si>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</si>
  <si>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</si>
  <si>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</si>
  <si>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</si>
  <si>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</si>
  <si>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</si>
  <si>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</si>
  <si>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</si>
  <si>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</si>
  <si>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</si>
  <si>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</si>
  <si>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</si>
  <si>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</si>
  <si>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</si>
  <si>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</si>
  <si>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</si>
  <si>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</si>
  <si>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</si>
  <si>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</si>
  <si>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</si>
  <si>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</si>
  <si>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</si>
  <si>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</si>
  <si>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</si>
  <si>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</si>
  <si>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</si>
  <si>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</si>
  <si>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</si>
  <si>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</si>
  <si>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</si>
  <si>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</si>
  <si>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</si>
  <si>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</si>
  <si>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</si>
  <si>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</si>
  <si>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</si>
  <si>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</si>
  <si>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</si>
  <si>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</si>
  <si>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</si>
  <si>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</si>
  <si>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</si>
  <si>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</si>
  <si>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</si>
  <si>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</si>
  <si>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</si>
  <si>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</si>
  <si>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</si>
  <si>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</si>
  <si>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</si>
  <si>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</si>
  <si>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</si>
  <si>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</si>
  <si>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</si>
  <si>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</si>
  <si>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</si>
  <si>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</si>
  <si>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</si>
  <si>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</si>
  <si>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</si>
  <si>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</si>
  <si>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</si>
  <si>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</si>
  <si>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</si>
  <si>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</si>
  <si>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</si>
  <si>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</si>
  <si>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</si>
  <si>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</si>
  <si>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</si>
  <si>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</si>
  <si>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</si>
  <si>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</si>
  <si>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</si>
  <si>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</si>
  <si>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</si>
  <si>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</si>
  <si>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</si>
  <si>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</si>
  <si>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</si>
  <si>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</si>
  <si>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</si>
  <si>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</si>
  <si>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</si>
  <si>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</si>
  <si>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</si>
  <si>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</si>
  <si>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</si>
  <si>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</si>
  <si>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</si>
  <si>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</si>
  <si>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</si>
  <si>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</si>
  <si>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</si>
  <si>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</si>
  <si>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</si>
  <si>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</si>
  <si>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</si>
  <si>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</si>
  <si>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</si>
  <si>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</si>
  <si>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</si>
  <si>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</si>
  <si>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</si>
  <si>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</si>
  <si>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</si>
  <si>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</si>
  <si>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</si>
  <si>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</si>
  <si>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</si>
  <si>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</si>
  <si>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</si>
  <si>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</si>
  <si>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</si>
  <si>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</si>
  <si>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</si>
  <si>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</si>
  <si>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</si>
  <si>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</si>
  <si>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</si>
  <si>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</si>
  <si>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</si>
  <si>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</si>
  <si>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</si>
  <si>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</si>
  <si>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</si>
  <si>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</si>
  <si>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</si>
  <si>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</si>
  <si>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</si>
  <si>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</si>
  <si>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</si>
  <si>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</si>
  <si>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</si>
  <si>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</si>
  <si>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</si>
  <si>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</si>
  <si>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</si>
  <si>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</si>
  <si>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</si>
  <si>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</si>
  <si>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</si>
  <si>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</si>
  <si>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</si>
  <si>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</si>
  <si>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</si>
  <si>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</si>
  <si>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</si>
  <si>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</si>
  <si>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</si>
  <si>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</si>
  <si>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</si>
  <si>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</si>
  <si>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</si>
  <si>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</si>
  <si>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</si>
  <si>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</si>
  <si>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</si>
  <si>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</si>
  <si>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</si>
  <si>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</si>
  <si>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</si>
  <si>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</si>
  <si>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</si>
  <si>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</si>
  <si>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</si>
  <si>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</si>
  <si>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</si>
  <si>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</si>
  <si>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</si>
  <si>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</si>
  <si>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</si>
  <si>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</si>
  <si>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</si>
  <si>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</si>
  <si>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</si>
  <si>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</si>
  <si>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</si>
  <si>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</si>
  <si>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</si>
  <si>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</si>
  <si>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</si>
  <si>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</si>
  <si>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</si>
  <si>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</si>
  <si>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</si>
  <si>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</si>
  <si>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</si>
  <si>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</si>
  <si>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</si>
  <si>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</si>
  <si>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</si>
  <si>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</si>
  <si>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</si>
  <si>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</si>
  <si>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</si>
  <si>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</si>
  <si>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</si>
  <si>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</si>
  <si>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</si>
  <si>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</si>
  <si>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</si>
  <si>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</si>
  <si>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</si>
  <si>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</si>
  <si>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</si>
  <si>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</si>
  <si>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</si>
  <si>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</si>
  <si>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</si>
  <si>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</si>
  <si>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</si>
  <si>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</si>
  <si>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</si>
  <si>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</si>
  <si>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</si>
  <si>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</si>
  <si>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</si>
  <si>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</si>
  <si>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</si>
  <si>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</si>
  <si>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</si>
  <si>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</si>
  <si>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</si>
  <si>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</si>
  <si>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</si>
  <si>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</si>
  <si>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</si>
  <si>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</si>
  <si>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</si>
  <si>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</si>
  <si>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</si>
  <si>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</si>
  <si>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</si>
  <si>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</si>
  <si>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</si>
  <si>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</si>
  <si>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</si>
  <si>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</si>
  <si>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</si>
  <si>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</si>
  <si>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</si>
  <si>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</si>
  <si>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</si>
  <si>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</si>
  <si>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</si>
  <si>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</si>
  <si>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</si>
  <si>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</si>
  <si>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</si>
  <si>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</si>
  <si>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</si>
  <si>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</si>
  <si>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</si>
  <si>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</si>
  <si>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</si>
  <si>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</si>
  <si>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</si>
  <si>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</si>
  <si>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</si>
  <si>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</si>
  <si>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</si>
  <si>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</si>
  <si>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</si>
  <si>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</si>
  <si>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</si>
  <si>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</si>
  <si>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</si>
  <si>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</si>
  <si>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</si>
  <si>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</si>
  <si>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</si>
  <si>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</si>
  <si>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</si>
  <si>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</si>
  <si>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</si>
  <si>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</si>
  <si>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</si>
  <si>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</si>
  <si>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</si>
  <si>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</si>
  <si>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</si>
  <si>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</si>
  <si>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</si>
  <si>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</si>
  <si>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</si>
  <si>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</si>
  <si>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</si>
  <si>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</si>
  <si>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</si>
  <si>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</si>
  <si>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</si>
  <si>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</si>
  <si>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</si>
  <si>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</si>
  <si>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</si>
  <si>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</si>
  <si>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</si>
  <si>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</si>
  <si>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</si>
  <si>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</si>
  <si>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</si>
  <si>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</si>
  <si>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</si>
  <si>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</si>
  <si>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</si>
  <si>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</si>
  <si>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</si>
  <si>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</si>
  <si>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</si>
  <si>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</si>
  <si>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</si>
  <si>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</si>
  <si>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</si>
  <si>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</si>
  <si>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</si>
  <si>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</si>
  <si>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</si>
  <si>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</si>
  <si>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</si>
  <si>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</si>
  <si>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</si>
  <si>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</si>
  <si>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</si>
  <si>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</si>
  <si>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</si>
  <si>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</si>
  <si>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</si>
  <si>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</si>
  <si>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</si>
  <si>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</si>
  <si>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</si>
  <si>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</si>
  <si>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</si>
  <si>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</si>
  <si>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</si>
  <si>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</si>
  <si>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</si>
  <si>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</si>
  <si>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</si>
  <si>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</si>
  <si>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</si>
  <si>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</si>
  <si>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</si>
  <si>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</si>
  <si>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</si>
  <si>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</si>
  <si>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</si>
  <si>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</si>
  <si>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</si>
  <si>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</si>
  <si>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</si>
  <si>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</si>
  <si>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</si>
  <si>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</si>
  <si>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</si>
  <si>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</si>
  <si>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</si>
  <si>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</si>
  <si>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</si>
  <si>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</si>
  <si>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</si>
  <si>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</si>
  <si>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</si>
  <si>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</si>
  <si>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</si>
  <si>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</si>
  <si>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</si>
  <si>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</si>
  <si>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</si>
  <si>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</si>
  <si>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</si>
  <si>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</si>
  <si>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</si>
  <si>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</si>
  <si>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</si>
  <si>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</si>
  <si>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</si>
  <si>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</si>
  <si>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</si>
  <si>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</si>
  <si>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</si>
  <si>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</si>
  <si>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</si>
  <si>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</si>
  <si>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</si>
  <si>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</si>
  <si>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</si>
  <si>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</si>
  <si>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</si>
  <si>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</si>
  <si>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</si>
  <si>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</si>
  <si>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</si>
  <si>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</si>
  <si>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</si>
  <si>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</si>
  <si>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</si>
  <si>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</si>
  <si>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</si>
  <si>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</si>
  <si>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</si>
  <si>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</si>
  <si>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</si>
  <si>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</si>
  <si>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</si>
  <si>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</si>
  <si>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</si>
  <si>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</si>
  <si>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</si>
  <si>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</si>
  <si>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</si>
  <si>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</si>
  <si>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</si>
  <si>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</si>
  <si>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</si>
  <si>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</si>
  <si>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</si>
  <si>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</si>
  <si>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</si>
  <si>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</si>
  <si>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</si>
  <si>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</si>
  <si>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</si>
  <si>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</si>
  <si>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</si>
  <si>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</si>
  <si>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</si>
  <si>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</si>
  <si>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</si>
  <si>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</si>
  <si>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</si>
  <si>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</si>
  <si>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</si>
  <si>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</si>
  <si>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</si>
  <si>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</si>
  <si>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</si>
  <si>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</si>
  <si>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</si>
  <si>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</si>
  <si>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</si>
  <si>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</si>
  <si>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</si>
  <si>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</si>
  <si>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</si>
  <si>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</si>
  <si>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</si>
  <si>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</si>
  <si>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</si>
  <si>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</si>
  <si>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</si>
  <si>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</si>
  <si>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</si>
  <si>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</si>
  <si>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</si>
  <si>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</si>
  <si>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</si>
  <si>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</si>
  <si>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</si>
  <si>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</si>
  <si>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</si>
  <si>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</si>
  <si>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</si>
  <si>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</si>
  <si>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</si>
  <si>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</si>
  <si>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</si>
  <si>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</si>
  <si>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</si>
  <si>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</si>
  <si>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</si>
  <si>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</si>
  <si>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</si>
  <si>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</si>
  <si>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</si>
  <si>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</si>
  <si>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</si>
  <si>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</si>
  <si>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</si>
  <si>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</si>
  <si>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</si>
  <si>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</si>
  <si>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</si>
  <si>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</si>
  <si>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</si>
  <si>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</si>
  <si>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</si>
  <si>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</si>
  <si>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</si>
  <si>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</si>
  <si>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</si>
  <si>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</si>
  <si>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</si>
  <si>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</si>
  <si>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</si>
  <si>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</si>
  <si>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</si>
  <si>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</si>
  <si>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</si>
  <si>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</si>
  <si>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</si>
  <si>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</si>
  <si>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</si>
  <si>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</si>
  <si>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</si>
  <si>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</si>
  <si>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</si>
  <si>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</si>
  <si>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</si>
  <si>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</si>
  <si>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</si>
  <si>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</si>
  <si>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</si>
  <si>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</si>
  <si>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</si>
  <si>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</si>
  <si>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</si>
  <si>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</si>
  <si>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</si>
  <si>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</si>
  <si>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</si>
  <si>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</si>
  <si>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</si>
  <si>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</si>
  <si>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</si>
  <si>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</si>
  <si>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</si>
  <si>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</si>
  <si>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</si>
  <si>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</si>
  <si>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</si>
  <si>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</si>
  <si>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</si>
  <si>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</si>
  <si>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</si>
  <si>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</si>
  <si>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</si>
  <si>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</si>
  <si>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</si>
  <si>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</si>
  <si>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</si>
  <si>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</si>
  <si>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</si>
  <si>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</si>
  <si>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</si>
  <si>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</si>
  <si>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</si>
  <si>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</si>
  <si>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</si>
  <si>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</si>
  <si>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</si>
  <si>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</si>
  <si>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</si>
  <si>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</si>
  <si>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</si>
  <si>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</si>
  <si>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</si>
  <si>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</si>
  <si>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</si>
  <si>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</si>
  <si>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</si>
  <si>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</si>
  <si>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</si>
  <si>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</si>
  <si>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</si>
  <si>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</si>
  <si>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</si>
  <si>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</si>
  <si>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</si>
  <si>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</si>
  <si>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</si>
  <si>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</si>
  <si>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</si>
  <si>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</si>
  <si>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</si>
  <si>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</si>
  <si>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</si>
  <si>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</si>
  <si>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</si>
  <si>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</si>
  <si>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</si>
  <si>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</si>
  <si>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</si>
  <si>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</si>
  <si>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</si>
  <si>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</si>
  <si>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</si>
  <si>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</si>
  <si>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</si>
  <si>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</si>
  <si>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</si>
  <si>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</si>
  <si>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</si>
  <si>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</si>
  <si>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</si>
  <si>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</si>
  <si>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</si>
  <si>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</si>
  <si>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</si>
  <si>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</si>
  <si>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</si>
  <si>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</si>
  <si>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</si>
  <si>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</si>
  <si>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</si>
  <si>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</si>
  <si>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</si>
  <si>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</si>
  <si>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</si>
  <si>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</si>
  <si>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</si>
  <si>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</si>
  <si>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</si>
  <si>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</si>
  <si>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</si>
  <si>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</si>
  <si>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</si>
  <si>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</si>
  <si>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</si>
  <si>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</si>
  <si>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</si>
  <si>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</si>
  <si>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</si>
  <si>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</si>
  <si>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</si>
  <si>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</si>
  <si>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</si>
  <si>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</si>
  <si>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</si>
  <si>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</si>
  <si>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</si>
  <si>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</si>
  <si>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</si>
  <si>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</si>
  <si>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</si>
  <si>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</si>
  <si>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</si>
  <si>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</si>
  <si>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</si>
  <si>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</si>
  <si>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</si>
  <si>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</si>
  <si>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</si>
  <si>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</si>
  <si>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</si>
  <si>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</si>
  <si>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</si>
  <si>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</si>
  <si>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</si>
  <si>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</si>
  <si>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</si>
  <si>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</si>
  <si>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</si>
  <si>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</si>
  <si>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</si>
  <si>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</si>
  <si>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</si>
  <si>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</si>
  <si>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</si>
  <si>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</si>
  <si>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</si>
  <si>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</si>
  <si>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</si>
  <si>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</si>
  <si>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</si>
  <si>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</si>
  <si>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</si>
  <si>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</si>
  <si>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</si>
  <si>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</si>
  <si>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</si>
  <si>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</si>
  <si>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</si>
  <si>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</si>
  <si>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</si>
  <si>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</si>
  <si>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</si>
  <si>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</si>
  <si>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</si>
  <si>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</si>
  <si>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</si>
  <si>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</si>
  <si>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</si>
  <si>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</si>
  <si>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</si>
  <si>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</si>
  <si>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</si>
  <si>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</si>
  <si>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</si>
  <si>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</si>
  <si>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</si>
  <si>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</si>
  <si>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</si>
  <si>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</si>
  <si>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</si>
  <si>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</si>
  <si>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</si>
  <si>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</si>
  <si>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</si>
  <si>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</si>
  <si>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</si>
  <si>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</si>
  <si>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</si>
  <si>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</si>
  <si>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</si>
  <si>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</si>
  <si>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</si>
  <si>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</si>
  <si>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</si>
  <si>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</si>
  <si>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</si>
  <si>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</si>
  <si>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</si>
  <si>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</si>
  <si>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</si>
  <si>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</si>
  <si>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</si>
  <si>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</si>
  <si>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</si>
  <si>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</si>
  <si>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</si>
  <si>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</si>
  <si>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</si>
  <si>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</si>
  <si>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</si>
  <si>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</si>
  <si>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</si>
  <si>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</si>
  <si>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</si>
  <si>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</si>
  <si>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</si>
  <si>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</si>
  <si>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</si>
  <si>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</si>
  <si>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</si>
  <si>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</si>
  <si>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</si>
  <si>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</si>
  <si>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</si>
  <si>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</si>
  <si>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</si>
  <si>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</si>
  <si>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</si>
  <si>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</si>
  <si>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</si>
  <si>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</si>
  <si>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</si>
  <si>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</si>
  <si>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</si>
  <si>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</si>
  <si>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</si>
  <si>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</si>
  <si>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</si>
  <si>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</si>
  <si>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</si>
  <si>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</si>
  <si>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</si>
  <si>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</si>
  <si>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</si>
  <si>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</si>
  <si>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</si>
  <si>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</si>
  <si>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</si>
  <si>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</si>
  <si>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</si>
  <si>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</si>
  <si>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</si>
  <si>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</si>
  <si>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</si>
  <si>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</si>
  <si>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</si>
  <si>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</si>
  <si>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</si>
  <si>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</si>
  <si>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</si>
  <si>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</si>
  <si>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</si>
  <si>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</si>
  <si>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</si>
  <si>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</si>
  <si>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</si>
  <si>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</si>
  <si>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</si>
  <si>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</si>
  <si>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</si>
  <si>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</si>
  <si>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</si>
  <si>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</si>
  <si>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</si>
  <si>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</si>
  <si>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</si>
  <si>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</si>
  <si>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</si>
  <si>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</si>
  <si>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</si>
  <si>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</si>
  <si>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</si>
  <si>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</si>
  <si>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</si>
  <si>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</si>
  <si>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</si>
  <si>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</si>
  <si>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</si>
  <si>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</si>
  <si>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</si>
  <si>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</si>
  <si>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</si>
  <si>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</si>
  <si>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</si>
  <si>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</si>
  <si>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</si>
  <si>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</si>
  <si>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</si>
  <si>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</si>
  <si>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</si>
  <si>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</si>
  <si>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</si>
  <si>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</si>
  <si>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</si>
  <si>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</si>
  <si>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</si>
  <si>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</si>
  <si>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</si>
  <si>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</si>
  <si>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</si>
  <si>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</si>
  <si>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</si>
  <si>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</si>
  <si>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</si>
  <si>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</si>
  <si>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</si>
  <si>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</si>
  <si>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</si>
  <si>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</si>
  <si>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</si>
  <si>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</si>
  <si>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</si>
  <si>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</si>
  <si>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</si>
  <si>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</si>
  <si>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</si>
  <si>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</si>
  <si>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</si>
  <si>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</si>
  <si>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</si>
  <si>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</si>
  <si>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</si>
  <si>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</si>
  <si>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</si>
  <si>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</si>
  <si>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</si>
  <si>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</si>
  <si>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</si>
  <si>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</si>
  <si>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</si>
  <si>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</si>
  <si>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</si>
  <si>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</si>
  <si>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</si>
  <si>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</si>
  <si>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</si>
  <si>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</si>
  <si>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</si>
  <si>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</si>
  <si>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</si>
  <si>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</si>
  <si>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</si>
  <si>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</si>
  <si>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</si>
  <si>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</si>
  <si>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</si>
  <si>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</si>
  <si>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</si>
  <si>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</si>
  <si>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</si>
  <si>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</si>
  <si>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</si>
  <si>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</si>
  <si>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</si>
  <si>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</si>
  <si>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</si>
  <si>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</si>
  <si>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</si>
  <si>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</si>
  <si>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</si>
  <si>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</si>
  <si>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</si>
  <si>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</si>
  <si>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</si>
  <si>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</si>
  <si>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</si>
  <si>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</si>
  <si>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</si>
  <si>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</si>
  <si>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</si>
  <si>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</si>
  <si>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</si>
  <si>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</si>
  <si>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</si>
  <si>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</si>
  <si>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</si>
  <si>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</si>
  <si>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</si>
  <si>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</si>
  <si>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</si>
  <si>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</si>
  <si>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</si>
  <si>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</si>
  <si>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</si>
  <si>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</si>
  <si>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</si>
  <si>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</si>
  <si>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</si>
  <si>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</si>
  <si>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</si>
  <si>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</si>
  <si>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</si>
  <si>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</si>
  <si>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</si>
  <si>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</si>
  <si>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</si>
  <si>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</si>
  <si>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</si>
  <si>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</si>
  <si>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</si>
  <si>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</si>
  <si>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</si>
  <si>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</si>
  <si>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</si>
  <si>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</si>
  <si>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</si>
  <si>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</si>
  <si>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</si>
  <si>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</si>
  <si>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</si>
  <si>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</si>
  <si>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</si>
  <si>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</si>
  <si>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</si>
  <si>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</si>
  <si>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</si>
  <si>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</si>
  <si>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</si>
  <si>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</si>
  <si>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</si>
  <si>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</si>
  <si>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</si>
  <si>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</si>
  <si>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</si>
  <si>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</si>
  <si>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</si>
  <si>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</si>
  <si>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</si>
  <si>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</si>
  <si>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</si>
  <si>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</si>
  <si>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</si>
  <si>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</si>
  <si>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</si>
  <si>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</si>
  <si>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</si>
  <si>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</si>
  <si>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</si>
  <si>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</si>
  <si>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</si>
  <si>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</si>
  <si>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</si>
  <si>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</si>
  <si>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</si>
  <si>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</si>
  <si>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</si>
  <si>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</si>
  <si>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</si>
  <si>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</si>
  <si>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</si>
  <si>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</si>
  <si>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</si>
  <si>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</si>
  <si>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</si>
  <si>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</si>
  <si>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</si>
  <si>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</si>
  <si>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</si>
  <si>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</si>
  <si>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</si>
  <si>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</si>
  <si>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</si>
  <si>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</si>
  <si>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</si>
  <si>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</si>
  <si>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</si>
  <si>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</si>
  <si>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</si>
  <si>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</si>
  <si>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</si>
  <si>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</si>
  <si>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</si>
  <si>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</si>
  <si>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</si>
  <si>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</si>
  <si>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</si>
  <si>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</si>
  <si>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</si>
  <si>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</si>
  <si>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</si>
  <si>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</si>
  <si>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</si>
  <si>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</si>
  <si>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</si>
  <si>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</si>
  <si>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</si>
  <si>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</si>
  <si>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</si>
  <si>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</si>
  <si>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</si>
  <si>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</si>
  <si>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</si>
  <si>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</si>
  <si>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</si>
  <si>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</si>
  <si>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</si>
  <si>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</si>
  <si>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</si>
  <si>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</si>
  <si>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</si>
  <si>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</si>
  <si>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</si>
  <si>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</si>
  <si>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</si>
  <si>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</si>
  <si>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</si>
  <si>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</si>
  <si>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</si>
  <si>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</si>
  <si>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</si>
  <si>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</si>
  <si>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</si>
  <si>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</si>
  <si>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</si>
  <si>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</si>
  <si>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</si>
  <si>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</si>
  <si>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</si>
  <si>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</si>
  <si>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</si>
  <si>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</si>
  <si>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</si>
  <si>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</si>
  <si>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</si>
  <si>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</si>
  <si>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</si>
  <si>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</si>
  <si>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</si>
  <si>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</si>
  <si>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</si>
  <si>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</si>
  <si>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</si>
  <si>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</si>
  <si>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</si>
  <si>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</si>
  <si>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</si>
  <si>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</si>
  <si>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</si>
  <si>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</si>
  <si>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</si>
  <si>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</si>
  <si>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</si>
  <si>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</si>
  <si>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</si>
  <si>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</si>
  <si>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</si>
  <si>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</si>
  <si>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</si>
  <si>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</si>
  <si>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</si>
  <si>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</si>
  <si>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</si>
  <si>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</si>
  <si>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</si>
  <si>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</si>
  <si>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</si>
  <si>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</si>
  <si>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</si>
  <si>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</si>
  <si>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</si>
  <si>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</si>
  <si>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</si>
  <si>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</si>
  <si>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</si>
  <si>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</si>
  <si>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</si>
  <si>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</si>
  <si>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</si>
  <si>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</si>
  <si>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</si>
  <si>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</si>
  <si>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</si>
  <si>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</si>
  <si>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</si>
  <si>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</si>
  <si>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</si>
  <si>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</si>
  <si>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</si>
  <si>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</si>
  <si>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</si>
  <si>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</si>
  <si>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</si>
  <si>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</si>
  <si>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</si>
  <si>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</si>
  <si>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</si>
  <si>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</si>
  <si>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</si>
  <si>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</si>
  <si>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</si>
  <si>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</si>
  <si>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</si>
  <si>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</si>
  <si>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</si>
  <si>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</si>
  <si>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</si>
  <si>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</si>
  <si>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</si>
  <si>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</si>
  <si>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</si>
  <si>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</si>
  <si>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</si>
  <si>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</si>
  <si>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</si>
  <si>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</si>
  <si>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</si>
  <si>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</si>
  <si>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</si>
  <si>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</si>
  <si>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</si>
  <si>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</si>
  <si>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</si>
  <si>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</si>
  <si>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</si>
  <si>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</si>
  <si>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</si>
  <si>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</si>
  <si>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</si>
  <si>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</si>
  <si>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</si>
  <si>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</si>
  <si>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</si>
  <si>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</si>
  <si>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</si>
  <si>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</si>
  <si>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</si>
  <si>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</si>
  <si>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</si>
  <si>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</si>
  <si>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</si>
  <si>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</si>
  <si>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</si>
  <si>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</si>
  <si>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</si>
  <si>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</si>
  <si>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</si>
  <si>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</si>
  <si>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</si>
  <si>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</si>
  <si>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</si>
  <si>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</si>
  <si>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</si>
  <si>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</si>
  <si>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</si>
  <si>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</si>
  <si>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</si>
  <si>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</si>
  <si>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</si>
  <si>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</si>
  <si>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</si>
  <si>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</si>
  <si>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</si>
  <si>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</si>
  <si>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</si>
  <si>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</si>
  <si>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</si>
  <si>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</si>
  <si>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</si>
  <si>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</si>
  <si>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</si>
  <si>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</si>
  <si>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</si>
  <si>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</si>
  <si>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</si>
  <si>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</si>
  <si>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</si>
  <si>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</si>
  <si>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</si>
  <si>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</si>
  <si>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</si>
  <si>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</si>
  <si>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</si>
  <si>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</si>
  <si>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</si>
  <si>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</si>
  <si>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</si>
  <si>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</si>
  <si>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</si>
  <si>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</si>
  <si>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</si>
  <si>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</si>
  <si>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</si>
  <si>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</si>
  <si>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</si>
  <si>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</si>
  <si>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</si>
  <si>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</si>
  <si>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</si>
  <si>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</si>
  <si>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</si>
  <si>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</si>
  <si>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</si>
  <si>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</si>
  <si>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</si>
  <si>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</si>
  <si>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</si>
  <si>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</si>
  <si>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</si>
  <si>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</si>
  <si>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</si>
  <si>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</si>
  <si>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</si>
  <si>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</si>
  <si>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</si>
  <si>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</si>
  <si>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</si>
  <si>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</si>
  <si>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</si>
  <si>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</si>
  <si>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</si>
  <si>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</si>
  <si>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</si>
  <si>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</si>
  <si>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</si>
  <si>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</si>
  <si>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</si>
  <si>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</si>
  <si>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</si>
  <si>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</si>
  <si>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</si>
  <si>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</si>
  <si>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</si>
  <si>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</si>
  <si>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</si>
  <si>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</si>
  <si>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</si>
  <si>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</si>
  <si>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</si>
  <si>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</si>
  <si>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</si>
  <si>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</si>
  <si>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</si>
  <si>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</si>
  <si>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</si>
  <si>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</si>
  <si>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</si>
  <si>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</si>
  <si>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</si>
  <si>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</si>
  <si>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</si>
  <si>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</si>
  <si>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</si>
  <si>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</si>
  <si>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</si>
  <si>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</si>
  <si>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</si>
  <si>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</si>
  <si>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</si>
  <si>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</si>
  <si>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</si>
  <si>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</si>
  <si>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</si>
  <si>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</si>
  <si>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</si>
  <si>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</si>
  <si>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</si>
  <si>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</si>
  <si>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</si>
  <si>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</si>
  <si>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</si>
  <si>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</si>
  <si>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</si>
  <si>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</si>
  <si>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</si>
  <si>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</si>
  <si>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</si>
  <si>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</si>
  <si>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</si>
  <si>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</si>
  <si>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</si>
  <si>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</si>
  <si>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</si>
  <si>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</si>
  <si>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</si>
  <si>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</si>
  <si>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</si>
  <si>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</si>
  <si>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</si>
  <si>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</si>
  <si>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</si>
  <si>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</si>
  <si>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</si>
  <si>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</si>
  <si>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</si>
  <si>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</si>
  <si>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</si>
  <si>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</si>
  <si>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</si>
  <si>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</si>
  <si>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</si>
  <si>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</si>
  <si>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</si>
  <si>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</si>
  <si>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</si>
  <si>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</si>
  <si>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</si>
  <si>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</si>
  <si>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</si>
  <si>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</si>
  <si>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</si>
  <si>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</si>
  <si>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</si>
  <si>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</si>
  <si>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</si>
  <si>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</si>
  <si>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</si>
  <si>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</si>
  <si>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</si>
  <si>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</si>
  <si>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</si>
  <si>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</si>
  <si>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</si>
  <si>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</si>
  <si>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</si>
  <si>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</si>
  <si>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</si>
  <si>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</si>
  <si>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</si>
  <si>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</si>
  <si>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</si>
  <si>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</si>
  <si>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</si>
  <si>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</si>
  <si>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</si>
  <si>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</si>
  <si>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</si>
  <si>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</si>
  <si>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</si>
  <si>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</si>
  <si>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</si>
  <si>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</si>
  <si>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</si>
  <si>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</si>
  <si>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</si>
  <si>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</si>
  <si>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</si>
  <si>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</si>
  <si>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</si>
  <si>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</si>
  <si>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</si>
  <si>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</si>
  <si>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</si>
  <si>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</si>
  <si>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</si>
  <si>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</si>
  <si>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</si>
  <si>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</si>
  <si>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</si>
  <si>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</si>
  <si>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</si>
  <si>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</si>
  <si>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</si>
  <si>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</si>
  <si>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</si>
  <si>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</si>
  <si>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</si>
  <si>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</si>
  <si>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</si>
  <si>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</si>
  <si>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</si>
  <si>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</si>
  <si>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</si>
  <si>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</si>
  <si>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</si>
  <si>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</si>
  <si>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</si>
  <si>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</si>
  <si>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</si>
  <si>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</si>
  <si>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</si>
  <si>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</si>
  <si>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</si>
  <si>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</si>
  <si>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</si>
  <si>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</si>
  <si>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</si>
  <si>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</si>
  <si>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</si>
  <si>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</si>
  <si>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</si>
  <si>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</si>
  <si>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</si>
  <si>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</si>
  <si>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</si>
  <si>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</si>
  <si>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</si>
  <si>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</si>
  <si>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</si>
  <si>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</si>
  <si>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</si>
  <si>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</si>
  <si>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</si>
  <si>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</si>
  <si>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</si>
  <si>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</si>
  <si>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</si>
  <si>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</si>
  <si>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</si>
  <si>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</si>
  <si>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</si>
  <si>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</si>
  <si>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</si>
  <si>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</si>
  <si>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</si>
  <si>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</si>
  <si>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</si>
  <si>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</si>
  <si>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</si>
  <si>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</si>
  <si>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</si>
  <si>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</si>
  <si>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</si>
  <si>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</si>
  <si>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</si>
  <si>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</si>
  <si>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</si>
  <si>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</si>
  <si>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</si>
  <si>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</si>
  <si>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</si>
  <si>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</si>
  <si>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</si>
  <si>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</si>
  <si>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</si>
  <si>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</si>
  <si>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</si>
  <si>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</si>
  <si>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</si>
  <si>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</si>
  <si>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</si>
  <si>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</si>
  <si>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</si>
  <si>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</si>
  <si>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</si>
  <si>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</si>
  <si>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</si>
  <si>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</si>
  <si>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</si>
  <si>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</si>
  <si>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</si>
  <si>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</si>
  <si>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</si>
  <si>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</si>
  <si>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</si>
  <si>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</si>
  <si>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</si>
  <si>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</si>
  <si>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</si>
  <si>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</si>
  <si>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</si>
  <si>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</si>
  <si>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</si>
  <si>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</si>
  <si>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</si>
  <si>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</si>
  <si>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</si>
  <si>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</si>
  <si>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</si>
  <si>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</si>
  <si>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</si>
  <si>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</si>
  <si>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</si>
  <si>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</si>
  <si>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</si>
  <si>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</si>
  <si>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</si>
  <si>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</si>
  <si>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</si>
  <si>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</si>
  <si>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</si>
  <si>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</si>
  <si>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</si>
  <si>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</si>
  <si>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</si>
  <si>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</si>
  <si>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</si>
  <si>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</si>
  <si>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</si>
  <si>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</si>
  <si>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</si>
  <si>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</si>
  <si>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</si>
  <si>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</si>
  <si>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</si>
  <si>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</si>
  <si>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</si>
  <si>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</si>
  <si>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</si>
  <si>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</si>
  <si>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</si>
  <si>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</si>
  <si>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</si>
  <si>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</si>
  <si>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</si>
  <si>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</si>
  <si>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</si>
  <si>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</si>
  <si>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</si>
  <si>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</si>
  <si>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</si>
  <si>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</si>
  <si>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</si>
  <si>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</si>
  <si>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</si>
  <si>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</si>
  <si>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</si>
  <si>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</si>
  <si>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</si>
  <si>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</si>
  <si>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</si>
  <si>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</si>
  <si>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</si>
  <si>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</si>
  <si>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</si>
  <si>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</si>
  <si>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</si>
  <si>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</si>
  <si>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</si>
  <si>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</si>
  <si>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</si>
  <si>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</si>
  <si>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</si>
  <si>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</si>
  <si>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</si>
  <si>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</si>
  <si>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</si>
  <si>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</si>
  <si>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</si>
  <si>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</si>
  <si>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</si>
  <si>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</si>
  <si>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</si>
  <si>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</si>
  <si>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</si>
  <si>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</si>
  <si>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</si>
  <si>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</si>
  <si>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</si>
  <si>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</si>
  <si>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</si>
  <si>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</si>
  <si>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</si>
  <si>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</si>
  <si>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</si>
  <si>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</si>
  <si>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</si>
  <si>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</si>
  <si>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</si>
  <si>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</si>
  <si>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</si>
  <si>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</si>
  <si>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</si>
  <si>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</si>
  <si>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</si>
  <si>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</si>
  <si>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</si>
  <si>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</si>
  <si>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</si>
  <si>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</si>
  <si>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</si>
  <si>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</si>
  <si>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</si>
  <si>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</si>
  <si>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</si>
  <si>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</si>
  <si>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</si>
  <si>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</si>
  <si>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</si>
  <si>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</si>
  <si>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</si>
  <si>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</si>
  <si>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</si>
  <si>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</si>
  <si>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</si>
  <si>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</si>
  <si>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</si>
  <si>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</si>
  <si>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</si>
  <si>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</si>
  <si>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</si>
  <si>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</si>
  <si>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</si>
  <si>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</si>
  <si>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</si>
  <si>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</si>
  <si>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</si>
  <si>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</si>
  <si>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</si>
  <si>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</si>
  <si>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</si>
  <si>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</si>
  <si>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</si>
  <si>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</si>
  <si>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</si>
  <si>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</si>
  <si>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</si>
  <si>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</si>
  <si>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</si>
  <si>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</si>
  <si>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</si>
  <si>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</si>
  <si>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</si>
  <si>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</si>
  <si>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</si>
  <si>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</si>
  <si>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</si>
  <si>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</si>
  <si>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</si>
  <si>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</si>
  <si>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</si>
  <si>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</si>
  <si>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</si>
  <si>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</si>
  <si>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</si>
  <si>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</si>
  <si>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</si>
  <si>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</si>
  <si>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</si>
  <si>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</si>
  <si>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</si>
  <si>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</si>
  <si>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</si>
  <si>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</si>
  <si>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</si>
  <si>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</si>
  <si>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</si>
  <si>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</si>
  <si>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</si>
  <si>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</si>
  <si>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</si>
  <si>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</si>
  <si>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</si>
  <si>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</si>
  <si>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</si>
  <si>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</si>
  <si>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</si>
  <si>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</si>
  <si>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</si>
  <si>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</si>
  <si>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</si>
  <si>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</si>
  <si>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</si>
  <si>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</si>
  <si>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</si>
  <si>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</si>
  <si>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</si>
  <si>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</si>
  <si>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</si>
  <si>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</si>
  <si>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</si>
  <si>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</si>
  <si>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</si>
  <si>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</si>
  <si>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</si>
  <si>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</si>
  <si>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</si>
  <si>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</si>
  <si>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</si>
  <si>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</si>
  <si>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</si>
  <si>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</si>
  <si>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</si>
  <si>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</si>
  <si>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</si>
  <si>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</si>
  <si>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</si>
  <si>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</si>
  <si>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</si>
  <si>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</si>
  <si>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</si>
  <si>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</si>
  <si>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</si>
  <si>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</si>
  <si>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</si>
  <si>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</si>
  <si>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</si>
  <si>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</si>
  <si>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</si>
  <si>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</si>
  <si>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</si>
  <si>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</si>
  <si>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</si>
  <si>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</si>
  <si>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</si>
  <si>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</si>
  <si>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</si>
  <si>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</si>
  <si>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</si>
  <si>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</si>
  <si>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</si>
  <si>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</si>
  <si>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</si>
  <si>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</si>
  <si>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</si>
  <si>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</si>
  <si>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</si>
  <si>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</si>
  <si>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</si>
  <si>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</si>
  <si>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</si>
  <si>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</si>
  <si>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</si>
  <si>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</si>
  <si>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</si>
  <si>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</si>
  <si>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</si>
  <si>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</si>
  <si>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</si>
  <si>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</si>
  <si>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</si>
  <si>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</si>
  <si>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</si>
  <si>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</si>
  <si>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</si>
  <si>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</si>
  <si>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</si>
  <si>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</si>
  <si>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</si>
  <si>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</si>
  <si>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</si>
  <si>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</si>
  <si>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</si>
  <si>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</si>
  <si>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</si>
  <si>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</si>
  <si>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</si>
  <si>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</si>
  <si>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</si>
  <si>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</si>
  <si>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</si>
  <si>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</si>
  <si>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</si>
  <si>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</si>
  <si>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</si>
  <si>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</si>
  <si>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</si>
  <si>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</si>
  <si>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</si>
  <si>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</si>
  <si>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</si>
  <si>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</si>
  <si>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</si>
  <si>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</si>
  <si>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</si>
  <si>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</si>
  <si>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</si>
  <si>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</si>
  <si>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</si>
  <si>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</si>
  <si>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</si>
  <si>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</si>
  <si>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</si>
  <si>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</si>
  <si>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</si>
  <si>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</si>
  <si>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</si>
  <si>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</si>
  <si>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</si>
  <si>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</si>
  <si>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</si>
  <si>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</si>
  <si>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</si>
  <si>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</si>
  <si>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</si>
  <si>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</si>
  <si>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</si>
  <si>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</si>
  <si>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</si>
  <si>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</si>
  <si>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</si>
  <si>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</si>
  <si>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</si>
  <si>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</si>
  <si>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</si>
  <si>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</si>
  <si>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</si>
  <si>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</si>
  <si>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</si>
  <si>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</si>
  <si>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</si>
  <si>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</si>
  <si>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</si>
  <si>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</si>
  <si>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</si>
  <si>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</si>
  <si>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</si>
  <si>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</si>
  <si>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</si>
  <si>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</si>
  <si>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</si>
  <si>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</si>
  <si>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</si>
  <si>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</si>
  <si>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</si>
  <si>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</si>
  <si>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</si>
  <si>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</si>
  <si>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</si>
  <si>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</si>
  <si>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</si>
  <si>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</si>
  <si>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</si>
  <si>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</si>
  <si>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</si>
  <si>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</si>
  <si>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</si>
  <si>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</si>
  <si>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</si>
  <si>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</si>
  <si>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</si>
  <si>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</si>
  <si>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</si>
  <si>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</si>
  <si>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</si>
  <si>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</si>
  <si>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</si>
  <si>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</si>
  <si>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</si>
  <si>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</si>
  <si>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</si>
  <si>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</si>
  <si>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</si>
  <si>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</si>
  <si>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</si>
  <si>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</si>
  <si>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</si>
  <si>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</si>
  <si>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</si>
  <si>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</si>
  <si>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</si>
  <si>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</si>
  <si>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</si>
  <si>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</si>
  <si>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</si>
  <si>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</si>
  <si>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</si>
  <si>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</si>
  <si>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</si>
  <si>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</si>
  <si>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</si>
  <si>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</si>
  <si>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</si>
  <si>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</si>
  <si>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</si>
  <si>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</si>
  <si>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</si>
  <si>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</si>
  <si>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</si>
  <si>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</si>
  <si>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</si>
  <si>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</si>
  <si>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</si>
  <si>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</si>
  <si>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</si>
  <si>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</si>
  <si>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</si>
  <si>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</si>
  <si>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</si>
  <si>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</si>
  <si>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</si>
  <si>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</si>
  <si>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</si>
  <si>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</si>
  <si>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</si>
  <si>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</si>
  <si>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</si>
  <si>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</si>
  <si>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</si>
  <si>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</si>
  <si>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</si>
  <si>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</si>
  <si>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</si>
  <si>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</si>
  <si>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</si>
  <si>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</si>
  <si>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</si>
  <si>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</si>
  <si>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</si>
  <si>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</si>
  <si>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</si>
  <si>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</si>
  <si>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</si>
  <si>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</si>
  <si>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</si>
  <si>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</si>
  <si>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</si>
  <si>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</si>
  <si>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</si>
  <si>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</si>
  <si>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</si>
  <si>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</si>
  <si>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</si>
  <si>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</si>
  <si>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</si>
  <si>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</si>
  <si>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</si>
  <si>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</si>
  <si>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</si>
  <si>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</si>
  <si>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</si>
  <si>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</si>
  <si>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</si>
  <si>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</si>
  <si>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</si>
  <si>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</si>
  <si>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</si>
  <si>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</si>
  <si>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</si>
  <si>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</si>
  <si>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</si>
  <si>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</si>
  <si>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</si>
  <si>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</si>
  <si>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</si>
  <si>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</si>
  <si>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</si>
  <si>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</si>
  <si>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</si>
  <si>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</si>
  <si>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</si>
  <si>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</si>
  <si>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</si>
  <si>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</si>
  <si>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</si>
  <si>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</si>
  <si>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</si>
  <si>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</si>
  <si>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</si>
  <si>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</si>
  <si>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</si>
  <si>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</si>
  <si>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</si>
  <si>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</si>
  <si>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</si>
  <si>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</si>
  <si>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</si>
  <si>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</si>
  <si>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</si>
  <si>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</si>
  <si>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</si>
  <si>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</si>
  <si>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</si>
  <si>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</si>
  <si>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</si>
  <si>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</si>
  <si>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</si>
  <si>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</si>
  <si>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</si>
  <si>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</si>
  <si>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</si>
  <si>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</si>
  <si>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</si>
  <si>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</si>
  <si>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</si>
  <si>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</si>
  <si>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</si>
  <si>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</si>
  <si>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</si>
  <si>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</si>
  <si>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</si>
  <si>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</si>
  <si>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</si>
  <si>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</si>
  <si>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</si>
  <si>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</si>
  <si>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</si>
  <si>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</si>
  <si>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</si>
  <si>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</si>
  <si>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</si>
  <si>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</si>
  <si>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</si>
  <si>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</si>
  <si>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</si>
  <si>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</si>
  <si>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</si>
  <si>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</si>
  <si>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</si>
  <si>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</si>
  <si>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</si>
  <si>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</si>
  <si>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</si>
  <si>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</si>
  <si>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</si>
  <si>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</si>
  <si>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</si>
  <si>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</si>
  <si>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</si>
  <si>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</si>
  <si>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</si>
  <si>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</si>
  <si>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</si>
  <si>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</si>
  <si>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</si>
  <si>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</si>
  <si>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</si>
  <si>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</si>
  <si>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</si>
  <si>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</si>
  <si>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</si>
  <si>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</si>
  <si>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</si>
  <si>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</si>
  <si>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</si>
  <si>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</si>
  <si>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</si>
  <si>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</si>
  <si>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</si>
  <si>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</si>
  <si>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</si>
  <si>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</si>
  <si>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</si>
  <si>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</si>
  <si>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</si>
  <si>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</si>
  <si>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</si>
  <si>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</si>
  <si>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</si>
  <si>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</si>
  <si>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</si>
  <si>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</si>
  <si>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</si>
  <si>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</si>
  <si>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</si>
  <si>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</si>
  <si>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</si>
  <si>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</si>
  <si>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</si>
  <si>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</si>
  <si>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</si>
  <si>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</si>
  <si>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</si>
  <si>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</si>
  <si>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</si>
  <si>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</si>
  <si>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</si>
  <si>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</si>
  <si>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</si>
  <si>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</si>
  <si>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</si>
  <si>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</si>
  <si>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</si>
  <si>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</si>
  <si>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</si>
  <si>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</si>
  <si>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</si>
  <si>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</si>
  <si>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</si>
  <si>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</si>
  <si>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</si>
  <si>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</si>
  <si>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</si>
  <si>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</si>
  <si>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</si>
  <si>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</si>
  <si>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</si>
  <si>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</si>
  <si>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</si>
  <si>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</si>
  <si>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</si>
  <si>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</si>
  <si>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</si>
  <si>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</si>
  <si>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</si>
  <si>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</si>
  <si>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</si>
  <si>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</si>
  <si>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</si>
  <si>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</si>
  <si>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</si>
  <si>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</si>
  <si>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</si>
  <si>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</si>
  <si>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</si>
  <si>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</si>
  <si>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</si>
  <si>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</si>
  <si>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</si>
  <si>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</si>
  <si>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</si>
  <si>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</si>
  <si>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</si>
  <si>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</si>
  <si>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</si>
  <si>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</si>
  <si>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</si>
  <si>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</si>
  <si>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</si>
  <si>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</si>
  <si>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</si>
  <si>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</si>
  <si>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</si>
  <si>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</si>
  <si>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</si>
  <si>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</si>
  <si>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</si>
  <si>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</si>
  <si>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</si>
  <si>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</si>
  <si>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</si>
  <si>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</si>
  <si>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</si>
  <si>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</si>
  <si>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</si>
  <si>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</si>
  <si>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</si>
  <si>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</si>
  <si>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</si>
  <si>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</si>
  <si>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</si>
  <si>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</si>
  <si>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</si>
  <si>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</si>
  <si>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</si>
  <si>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</si>
  <si>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</si>
  <si>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</si>
  <si>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</si>
  <si>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</si>
  <si>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</si>
  <si>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</si>
  <si>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</si>
  <si>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</si>
  <si>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</si>
  <si>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</si>
  <si>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</si>
  <si>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</si>
  <si>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</si>
  <si>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</si>
  <si>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</si>
  <si>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</si>
  <si>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</si>
  <si>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</si>
  <si>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</si>
  <si>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</si>
  <si>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</si>
  <si>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</si>
  <si>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</si>
  <si>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</si>
  <si>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</si>
  <si>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</si>
  <si>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</si>
  <si>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</si>
  <si>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</si>
  <si>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</si>
  <si>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</si>
  <si>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</si>
  <si>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</si>
  <si>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</si>
  <si>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</si>
  <si>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</si>
  <si>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</si>
  <si>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</si>
  <si>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</si>
  <si>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</si>
  <si>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</si>
  <si>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</si>
  <si>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</si>
  <si>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</si>
  <si>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</si>
  <si>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</si>
  <si>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</si>
  <si>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</si>
  <si>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</si>
  <si>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</si>
  <si>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</si>
  <si>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</si>
  <si>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</si>
  <si>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</si>
  <si>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</si>
  <si>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</si>
  <si>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</si>
  <si>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</si>
  <si>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</si>
  <si>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</si>
  <si>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</si>
  <si>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</si>
  <si>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</si>
  <si>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</si>
  <si>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</si>
  <si>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</si>
  <si>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</si>
  <si>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</si>
  <si>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</si>
  <si>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</si>
  <si>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</si>
  <si>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</si>
  <si>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</si>
  <si>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</si>
  <si>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</si>
  <si>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</si>
  <si>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</si>
  <si>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</si>
  <si>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</si>
  <si>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</si>
  <si>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</si>
  <si>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</si>
  <si>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</si>
  <si>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</si>
  <si>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</si>
  <si>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</si>
  <si>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</si>
  <si>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</si>
  <si>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</si>
  <si>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</si>
  <si>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</si>
  <si>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</si>
  <si>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</si>
  <si>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</si>
  <si>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</si>
  <si>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</si>
  <si>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</si>
  <si>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</si>
  <si>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</si>
  <si>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</si>
  <si>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</si>
  <si>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</si>
  <si>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</si>
  <si>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</si>
  <si>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</si>
  <si>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</si>
  <si>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</si>
  <si>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</si>
  <si>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</si>
  <si>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</si>
  <si>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</si>
  <si>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</si>
  <si>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</si>
  <si>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</si>
  <si>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</si>
  <si>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</si>
  <si>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</si>
  <si>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</si>
  <si>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</si>
  <si>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</si>
  <si>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</si>
  <si>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</si>
  <si>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</si>
  <si>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</si>
  <si>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</si>
  <si>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</si>
  <si>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</si>
  <si>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</si>
  <si>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</si>
  <si>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</si>
  <si>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</si>
  <si>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</si>
  <si>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</si>
  <si>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</si>
  <si>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</si>
  <si>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</si>
  <si>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</si>
  <si>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</si>
  <si>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</si>
  <si>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</si>
  <si>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</si>
  <si>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</si>
  <si>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</si>
  <si>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</si>
  <si>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</si>
  <si>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</si>
  <si>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</si>
  <si>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</si>
  <si>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</si>
  <si>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</si>
  <si>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</si>
  <si>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</si>
  <si>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</si>
  <si>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</si>
  <si>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</si>
  <si>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</si>
  <si>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</si>
  <si>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</si>
  <si>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</si>
  <si>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</si>
  <si>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</si>
  <si>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</si>
  <si>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</si>
  <si>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</si>
  <si>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</si>
  <si>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</si>
  <si>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</si>
  <si>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</si>
  <si>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</si>
  <si>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</si>
  <si>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</si>
  <si>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</si>
  <si>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</si>
  <si>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</si>
  <si>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</si>
  <si>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</si>
  <si>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</si>
  <si>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</si>
  <si>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</si>
  <si>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</si>
  <si>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</si>
  <si>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</si>
  <si>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</si>
  <si>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</si>
  <si>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</si>
  <si>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</si>
  <si>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</si>
  <si>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</si>
  <si>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</si>
  <si>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</si>
  <si>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</si>
  <si>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</si>
  <si>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</si>
  <si>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</si>
  <si>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</si>
  <si>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</si>
  <si>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</si>
  <si>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</si>
  <si>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</si>
  <si>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</si>
  <si>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</si>
  <si>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</si>
  <si>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</si>
  <si>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</si>
  <si>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</si>
  <si>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</si>
  <si>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</si>
  <si>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</si>
  <si>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</si>
  <si>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</si>
  <si>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</si>
  <si>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</si>
  <si>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</si>
  <si>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</si>
  <si>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</si>
  <si>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</si>
  <si>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</si>
  <si>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</si>
  <si>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</si>
  <si>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</si>
  <si>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</si>
  <si>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</si>
  <si>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</si>
  <si>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</si>
  <si>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</si>
  <si>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</si>
  <si>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</si>
  <si>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</si>
  <si>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</si>
  <si>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</si>
  <si>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</si>
  <si>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</si>
  <si>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</si>
  <si>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</si>
  <si>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</si>
  <si>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</si>
  <si>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</si>
  <si>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</si>
  <si>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</si>
  <si>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</si>
  <si>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</si>
  <si>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</si>
  <si>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</si>
  <si>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</si>
  <si>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</si>
  <si>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</si>
  <si>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</si>
  <si>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</si>
  <si>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</si>
  <si>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</si>
  <si>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</si>
  <si>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</si>
  <si>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</si>
  <si>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</si>
  <si>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</si>
  <si>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</si>
  <si>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</si>
  <si>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</si>
  <si>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</si>
  <si>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</si>
  <si>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</si>
  <si>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</si>
  <si>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</si>
  <si>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</si>
  <si>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</si>
  <si>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</si>
  <si>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</si>
  <si>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</si>
  <si>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</si>
  <si>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</si>
  <si>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</si>
  <si>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</si>
  <si>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</si>
  <si>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</si>
  <si>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</si>
  <si>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</si>
  <si>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</si>
  <si>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</si>
  <si>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</si>
  <si>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</si>
  <si>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</si>
  <si>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</si>
  <si>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</si>
  <si>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</si>
  <si>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</si>
  <si>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</si>
  <si>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</si>
  <si>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</si>
  <si>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</si>
  <si>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</si>
  <si>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</si>
  <si>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</si>
  <si>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</si>
  <si>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</si>
  <si>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</si>
  <si>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</si>
  <si>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</si>
  <si>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</si>
  <si>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</si>
  <si>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</si>
  <si>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</si>
  <si>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</si>
  <si>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</si>
  <si>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</si>
  <si>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</si>
  <si>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</si>
  <si>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</si>
  <si>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</si>
  <si>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</si>
  <si>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</si>
  <si>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</si>
  <si>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</si>
  <si>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</si>
  <si>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</si>
  <si>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</si>
  <si>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</si>
  <si>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</si>
  <si>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</si>
  <si>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</si>
  <si>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</si>
  <si>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</si>
  <si>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</si>
  <si>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</si>
  <si>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</si>
  <si>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</si>
  <si>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</si>
  <si>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</si>
  <si>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</si>
  <si>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</si>
  <si>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</si>
  <si>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</si>
  <si>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</si>
  <si>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</si>
  <si>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</si>
  <si>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</si>
  <si>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</si>
  <si>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</si>
  <si>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</si>
  <si>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</si>
  <si>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</si>
  <si>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</si>
  <si>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</si>
  <si>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</si>
  <si>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</si>
  <si>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</si>
  <si>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</si>
  <si>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</si>
  <si>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</si>
  <si>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</si>
  <si>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</si>
  <si>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</si>
  <si>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</si>
  <si>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</si>
  <si>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</si>
  <si>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</si>
  <si>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</si>
  <si>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</si>
  <si>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</si>
  <si>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</si>
  <si>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</si>
  <si>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</si>
  <si>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</si>
  <si>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</si>
  <si>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</si>
  <si>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</si>
  <si>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</si>
  <si>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</si>
  <si>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</si>
  <si>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</si>
  <si>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</si>
  <si>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</si>
  <si>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</si>
  <si>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</si>
  <si>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</si>
  <si>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</si>
  <si>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</si>
  <si>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</si>
  <si>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</si>
  <si>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</si>
  <si>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</si>
  <si>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</si>
  <si>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</si>
  <si>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</si>
  <si>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</si>
  <si>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</si>
  <si>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</si>
  <si>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</si>
  <si>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</si>
  <si>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</si>
  <si>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</si>
  <si>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</si>
  <si>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</si>
  <si>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</si>
  <si>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</si>
  <si>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</si>
  <si>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</si>
  <si>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</si>
  <si>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</si>
  <si>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</si>
  <si>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</si>
  <si>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</si>
  <si>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</si>
  <si>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</si>
  <si>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</si>
  <si>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</si>
  <si>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</si>
  <si>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</si>
  <si>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</si>
  <si>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</si>
  <si>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</si>
  <si>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</si>
  <si>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</si>
  <si>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</si>
  <si>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</si>
  <si>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</si>
  <si>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</si>
  <si>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</si>
  <si>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</si>
  <si>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</si>
  <si>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</si>
  <si>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</si>
  <si>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</si>
  <si>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</si>
  <si>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</si>
  <si>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</si>
  <si>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</si>
  <si>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</si>
  <si>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</si>
  <si>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</si>
  <si>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</si>
  <si>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</si>
  <si>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</si>
  <si>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</si>
  <si>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</si>
  <si>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</si>
  <si>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</si>
  <si>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</si>
  <si>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</si>
  <si>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</si>
  <si>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</si>
  <si>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</si>
  <si>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</si>
  <si>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</si>
  <si>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</si>
  <si>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</si>
  <si>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</si>
  <si>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</si>
  <si>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</si>
  <si>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</si>
  <si>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</si>
  <si>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</si>
  <si>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</si>
  <si>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</si>
  <si>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</si>
  <si>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</si>
  <si>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</si>
  <si>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</si>
  <si>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</si>
  <si>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</si>
  <si>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</si>
  <si>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</si>
  <si>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</si>
  <si>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</si>
  <si>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</si>
  <si>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</si>
  <si>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</si>
  <si>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</si>
  <si>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</si>
  <si>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</si>
  <si>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</si>
  <si>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</si>
  <si>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</si>
  <si>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</si>
  <si>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</si>
  <si>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</si>
  <si>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</si>
  <si>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</si>
  <si>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</si>
  <si>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</si>
  <si>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</si>
  <si>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</si>
  <si>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</si>
  <si>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</si>
  <si>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</si>
  <si>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</si>
  <si>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</si>
  <si>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</si>
  <si>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</si>
  <si>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</si>
  <si>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</si>
  <si>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</si>
  <si>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</si>
  <si>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</si>
  <si>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</si>
  <si>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</si>
  <si>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</si>
  <si>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</si>
  <si>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</si>
  <si>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</si>
  <si>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</si>
  <si>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</si>
  <si>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</si>
  <si>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</si>
  <si>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</si>
  <si>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</si>
  <si>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</si>
  <si>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</si>
  <si>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</si>
  <si>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</si>
  <si>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</si>
  <si>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</si>
  <si>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</si>
  <si>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</si>
  <si>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</si>
  <si>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</si>
  <si>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</si>
  <si>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</si>
  <si>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</si>
  <si>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</si>
  <si>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</si>
  <si>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</si>
  <si>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</si>
  <si>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</si>
  <si>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</si>
  <si>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</si>
  <si>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</si>
  <si>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</si>
  <si>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</si>
  <si>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</si>
  <si>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</si>
  <si>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</si>
  <si>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</si>
  <si>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</si>
  <si>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</si>
  <si>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</si>
  <si>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</si>
  <si>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</si>
  <si>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</si>
  <si>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</si>
  <si>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</si>
  <si>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</si>
  <si>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</si>
  <si>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</si>
  <si>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</si>
  <si>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</si>
  <si>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</si>
  <si>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</si>
  <si>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</si>
  <si>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</si>
  <si>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</si>
  <si>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</si>
  <si>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</si>
  <si>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</si>
  <si>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</si>
  <si>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</si>
  <si>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</si>
  <si>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</si>
  <si>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</si>
  <si>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</si>
  <si>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</si>
  <si>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</si>
  <si>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</si>
  <si>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</si>
  <si>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</si>
  <si>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</si>
  <si>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</si>
  <si>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</si>
  <si>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</si>
  <si>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</si>
  <si>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</si>
  <si>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</si>
  <si>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</si>
  <si>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</si>
  <si>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</si>
  <si>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</si>
  <si>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</si>
  <si>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</si>
  <si>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</si>
  <si>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</si>
  <si>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</si>
  <si>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</si>
  <si>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</si>
  <si>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</si>
  <si>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</si>
  <si>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</si>
  <si>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</si>
  <si>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</si>
  <si>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</si>
  <si>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</si>
  <si>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</si>
  <si>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</si>
  <si>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</si>
  <si>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</si>
  <si>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</si>
  <si>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</si>
  <si>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</si>
  <si>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</si>
  <si>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</si>
  <si>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</si>
  <si>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</si>
  <si>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</si>
  <si>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</si>
  <si>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</si>
  <si>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</si>
  <si>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</si>
  <si>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</si>
  <si>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</si>
  <si>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</si>
  <si>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</si>
  <si>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</si>
  <si>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</si>
  <si>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</si>
  <si>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</si>
  <si>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</si>
  <si>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</si>
  <si>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</si>
  <si>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</si>
  <si>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</si>
  <si>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</si>
  <si>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</si>
  <si>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</si>
  <si>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</si>
  <si>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</si>
  <si>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</si>
  <si>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</si>
  <si>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</si>
  <si>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</si>
  <si>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</si>
  <si>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</si>
  <si>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</si>
  <si>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</si>
  <si>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</si>
  <si>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</si>
  <si>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</si>
  <si>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</si>
  <si>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</si>
  <si>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</si>
  <si>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</si>
  <si>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</si>
  <si>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</si>
  <si>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</si>
  <si>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</si>
  <si>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</si>
  <si>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</si>
  <si>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</si>
  <si>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</si>
  <si>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</si>
  <si>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</si>
  <si>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</si>
  <si>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</si>
  <si>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</si>
  <si>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</si>
  <si>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</si>
  <si>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</si>
  <si>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</si>
  <si>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</si>
  <si>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</si>
  <si>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</si>
  <si>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</si>
  <si>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</si>
  <si>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</si>
  <si>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</si>
  <si>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</si>
  <si>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</si>
  <si>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</si>
  <si>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</si>
  <si>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</si>
  <si>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</si>
  <si>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</si>
  <si>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</si>
  <si>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</si>
  <si>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</si>
  <si>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</si>
  <si>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</si>
  <si>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</si>
  <si>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</si>
  <si>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</si>
  <si>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</si>
  <si>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</si>
  <si>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</si>
  <si>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</si>
  <si>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</si>
  <si>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</si>
  <si>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</si>
  <si>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</si>
  <si>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</si>
  <si>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</si>
  <si>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</si>
  <si>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</si>
  <si>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</si>
  <si>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</si>
  <si>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</si>
  <si>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</si>
  <si>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</si>
  <si>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</si>
  <si>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</si>
  <si>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</si>
  <si>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</si>
  <si>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</si>
  <si>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</si>
  <si>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</si>
  <si>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</si>
  <si>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</si>
  <si>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</si>
  <si>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</si>
  <si>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</si>
  <si>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</si>
  <si>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</si>
  <si>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</si>
  <si>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</si>
  <si>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</si>
  <si>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</si>
  <si>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</si>
  <si>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</si>
  <si>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</si>
  <si>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</si>
  <si>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</si>
  <si>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</si>
  <si>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</si>
  <si>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</si>
  <si>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</si>
  <si>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</si>
  <si>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</si>
  <si>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</si>
  <si>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</si>
  <si>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</si>
  <si>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</si>
  <si>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</si>
  <si>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</si>
  <si>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</si>
  <si>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</si>
  <si>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</si>
  <si>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</si>
  <si>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</si>
  <si>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</si>
  <si>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</si>
  <si>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</si>
  <si>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</si>
  <si>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</si>
  <si>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</si>
  <si>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</si>
  <si>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</si>
  <si>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</si>
  <si>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</si>
  <si>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</si>
  <si>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</si>
  <si>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</si>
  <si>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</si>
  <si>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</si>
  <si>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</si>
  <si>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</si>
  <si>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</si>
  <si>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</si>
  <si>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</si>
  <si>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</si>
  <si>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</si>
  <si>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</si>
  <si>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</si>
  <si>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</si>
  <si>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</si>
  <si>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</si>
  <si>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</si>
  <si>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</si>
  <si>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</si>
  <si>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</si>
  <si>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</si>
  <si>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</si>
  <si>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</si>
  <si>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</si>
  <si>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</si>
  <si>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</si>
  <si>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</si>
  <si>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</si>
  <si>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</si>
  <si>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</si>
  <si>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</si>
  <si>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</si>
  <si>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</si>
  <si>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</si>
  <si>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</si>
  <si>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</si>
  <si>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</si>
  <si>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</si>
  <si>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</si>
  <si>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</si>
  <si>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</si>
  <si>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</si>
  <si>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</si>
  <si>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</si>
  <si>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</si>
  <si>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</si>
  <si>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</si>
  <si>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</si>
  <si>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</si>
  <si>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</si>
  <si>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</si>
  <si>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</si>
  <si>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</si>
  <si>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</si>
  <si>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</si>
  <si>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</si>
  <si>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</si>
  <si>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</si>
  <si>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</si>
  <si>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</si>
  <si>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</si>
  <si>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</si>
  <si>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</si>
  <si>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</si>
  <si>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</si>
  <si>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</si>
  <si>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</si>
  <si>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</si>
  <si>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</si>
  <si>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</si>
  <si>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</si>
  <si>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</si>
  <si>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</si>
  <si>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</si>
  <si>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</si>
  <si>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</si>
  <si>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</si>
  <si>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</si>
  <si>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</si>
  <si>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</si>
  <si>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</si>
  <si>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</si>
  <si>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</si>
  <si>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</si>
  <si>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</si>
  <si>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</si>
  <si>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</si>
  <si>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</si>
  <si>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</si>
  <si>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</si>
  <si>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</si>
  <si>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</si>
  <si>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</si>
  <si>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</si>
  <si>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</si>
  <si>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</si>
  <si>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</si>
  <si>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</si>
  <si>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</si>
  <si>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</si>
  <si>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</si>
  <si>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</si>
  <si>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</si>
  <si>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</si>
  <si>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</si>
  <si>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</si>
  <si>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</si>
  <si>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</si>
  <si>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</si>
  <si>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</si>
  <si>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</si>
  <si>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</si>
  <si>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</si>
  <si>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</si>
  <si>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</si>
  <si>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</si>
  <si>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</si>
  <si>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</si>
  <si>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</si>
  <si>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</si>
  <si>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</si>
  <si>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</si>
  <si>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</si>
  <si>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</si>
  <si>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</si>
  <si>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</si>
  <si>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</si>
  <si>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</si>
  <si>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</si>
  <si>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</si>
  <si>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</si>
  <si>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</si>
  <si>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</si>
  <si>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</si>
  <si>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</si>
  <si>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</si>
  <si>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</si>
  <si>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</si>
  <si>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</si>
  <si>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</si>
  <si>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</si>
  <si>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</si>
  <si>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</si>
  <si>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</si>
  <si>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</si>
  <si>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</si>
  <si>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</si>
  <si>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</si>
  <si>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</si>
  <si>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</si>
  <si>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</si>
  <si>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</si>
  <si>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</si>
  <si>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</si>
  <si>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</si>
  <si>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</si>
  <si>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</si>
  <si>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</si>
  <si>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</si>
  <si>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</si>
  <si>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</si>
  <si>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</si>
  <si>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</si>
  <si>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</si>
  <si>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</si>
  <si>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</si>
  <si>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</si>
  <si>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</si>
  <si>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</si>
  <si>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</si>
  <si>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</si>
  <si>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</si>
  <si>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</si>
  <si>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</si>
  <si>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</si>
  <si>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</si>
  <si>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</si>
  <si>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</si>
  <si>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</si>
  <si>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</si>
  <si>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</si>
  <si>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</si>
  <si>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</si>
  <si>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</si>
  <si>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</si>
  <si>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</si>
  <si>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</si>
  <si>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</si>
  <si>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</si>
  <si>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</si>
  <si>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</si>
  <si>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</si>
  <si>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</si>
  <si>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</si>
  <si>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</si>
  <si>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</si>
  <si>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</si>
  <si>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</si>
  <si>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</si>
  <si>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</si>
  <si>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</si>
  <si>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</si>
  <si>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</si>
  <si>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</si>
  <si>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</si>
  <si>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</si>
  <si>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</si>
  <si>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</si>
  <si>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</si>
  <si>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</si>
  <si>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</si>
  <si>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</si>
  <si>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</si>
  <si>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</si>
  <si>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</si>
  <si>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</si>
  <si>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</si>
  <si>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</si>
  <si>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</si>
  <si>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</si>
  <si>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</si>
  <si>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</si>
  <si>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</si>
  <si>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</si>
  <si>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</si>
  <si>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</si>
  <si>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</si>
  <si>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</si>
  <si>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</si>
  <si>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</si>
  <si>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</si>
  <si>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</si>
  <si>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</si>
  <si>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</si>
  <si>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</si>
  <si>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</si>
  <si>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</si>
  <si>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</si>
  <si>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</si>
  <si>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</si>
  <si>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</si>
  <si>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</si>
  <si>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</si>
  <si>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</si>
  <si>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</si>
  <si>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</si>
  <si>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</si>
  <si>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</si>
  <si>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</si>
  <si>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</si>
  <si>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</si>
  <si>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</si>
  <si>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</si>
  <si>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</si>
  <si>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</si>
  <si>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</si>
  <si>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</si>
  <si>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</si>
  <si>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</si>
  <si>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</si>
  <si>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</si>
  <si>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</si>
  <si>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</si>
  <si>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</si>
  <si>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</si>
  <si>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</si>
  <si>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</si>
  <si>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</si>
  <si>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</si>
  <si>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</si>
  <si>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</si>
  <si>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</si>
  <si>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</si>
  <si>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</si>
  <si>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</si>
  <si>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</si>
  <si>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</si>
  <si>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</si>
  <si>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</si>
  <si>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</si>
  <si>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</si>
  <si>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</si>
  <si>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</si>
  <si>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</si>
  <si>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</si>
  <si>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</si>
  <si>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</si>
  <si>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</si>
  <si>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</si>
  <si>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</si>
  <si>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</si>
  <si>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</si>
  <si>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</si>
  <si>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</si>
  <si>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</si>
  <si>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</si>
  <si>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</si>
  <si>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</si>
  <si>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</si>
  <si>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</si>
  <si>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</si>
  <si>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</si>
  <si>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</si>
  <si>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</si>
  <si>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</si>
  <si>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</si>
  <si>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</si>
  <si>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</si>
  <si>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</si>
  <si>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</si>
  <si>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</si>
  <si>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</si>
  <si>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</si>
  <si>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</si>
  <si>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</si>
  <si>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</si>
  <si>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</si>
  <si>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</si>
  <si>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</si>
  <si>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</si>
  <si>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</si>
  <si>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</si>
  <si>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</si>
  <si>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</si>
  <si>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</si>
  <si>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</si>
  <si>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</si>
  <si>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</si>
  <si>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</si>
  <si>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</si>
  <si>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</si>
  <si>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</si>
  <si>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</si>
  <si>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</si>
  <si>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</si>
  <si>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</si>
  <si>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</si>
  <si>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</si>
  <si>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</si>
  <si>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</si>
  <si>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</si>
  <si>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</si>
  <si>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</si>
  <si>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</si>
  <si>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</si>
  <si>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</si>
  <si>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</si>
  <si>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</si>
  <si>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</si>
  <si>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</si>
  <si>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</si>
  <si>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</si>
  <si>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</si>
  <si>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</si>
  <si>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</si>
  <si>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</si>
  <si>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</si>
  <si>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</si>
  <si>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</si>
  <si>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</si>
  <si>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</si>
  <si>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</si>
  <si>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</si>
  <si>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</si>
  <si>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</si>
  <si>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</si>
  <si>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</si>
  <si>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</si>
  <si>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</si>
  <si>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</si>
  <si>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</si>
  <si>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</si>
  <si>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</si>
  <si>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</si>
  <si>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</si>
  <si>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</si>
  <si>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</si>
  <si>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</si>
  <si>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</si>
  <si>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</si>
  <si>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</si>
  <si>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</si>
  <si>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</si>
  <si>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</si>
  <si>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</si>
  <si>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</si>
  <si>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</si>
  <si>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</si>
  <si>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</si>
  <si>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</si>
  <si>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</si>
  <si>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</si>
  <si>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</si>
  <si>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</si>
  <si>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</si>
  <si>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</si>
  <si>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</si>
  <si>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</si>
  <si>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</si>
  <si>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</si>
  <si>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</si>
  <si>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</si>
  <si>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</si>
  <si>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</si>
  <si>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</si>
  <si>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</si>
  <si>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</si>
  <si>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</si>
  <si>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</si>
  <si>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</si>
  <si>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</si>
  <si>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</si>
  <si>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</si>
  <si>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</si>
  <si>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</si>
  <si>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</si>
  <si>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</si>
  <si>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</si>
  <si>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</si>
  <si>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</si>
  <si>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</si>
  <si>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</si>
  <si>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</si>
  <si>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</si>
  <si>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</si>
  <si>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</si>
  <si>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</si>
  <si>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</si>
  <si>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</si>
  <si>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</si>
  <si>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</si>
  <si>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</si>
  <si>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</si>
  <si>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</si>
  <si>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</si>
  <si>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</si>
  <si>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</si>
  <si>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</si>
  <si>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</si>
  <si>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</si>
  <si>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</si>
  <si>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</si>
  <si>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</si>
  <si>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</si>
  <si>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</si>
  <si>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</si>
  <si>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</si>
  <si>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</si>
  <si>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</si>
  <si>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</si>
  <si>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</si>
  <si>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</si>
  <si>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</si>
  <si>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</si>
  <si>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</si>
  <si>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</si>
  <si>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</si>
  <si>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</si>
  <si>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</si>
  <si>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</si>
  <si>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</si>
  <si>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</si>
  <si>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</si>
  <si>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</si>
  <si>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</si>
  <si>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</si>
  <si>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</si>
  <si>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</si>
  <si>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</si>
  <si>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</si>
  <si>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</si>
  <si>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</si>
  <si>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</si>
  <si>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</si>
  <si>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</si>
  <si>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</si>
  <si>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</si>
  <si>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</si>
  <si>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</si>
  <si>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</si>
  <si>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</si>
  <si>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</si>
  <si>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</si>
  <si>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</si>
  <si>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</si>
  <si>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</si>
  <si>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</si>
  <si>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</si>
  <si>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</si>
  <si>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</si>
  <si>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</si>
  <si>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</si>
  <si>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</si>
  <si>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</si>
  <si>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</si>
  <si>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</si>
  <si>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</si>
  <si>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</si>
  <si>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</si>
  <si>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</si>
  <si>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</si>
  <si>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</si>
  <si>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</si>
  <si>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</si>
  <si>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</si>
  <si>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</si>
  <si>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</si>
  <si>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</si>
  <si>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</si>
  <si>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</si>
  <si>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</si>
  <si>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</si>
  <si>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</si>
  <si>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</si>
  <si>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</si>
  <si>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</si>
  <si>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</si>
  <si>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</si>
  <si>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</si>
  <si>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</si>
  <si>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</si>
  <si>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</si>
  <si>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</si>
  <si>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</si>
  <si>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</si>
  <si>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</si>
  <si>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</si>
  <si>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</si>
  <si>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</si>
  <si>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</si>
  <si>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</si>
  <si>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</si>
  <si>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</si>
  <si>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</si>
  <si>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</si>
  <si>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</si>
  <si>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</si>
  <si>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</si>
  <si>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</si>
  <si>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</si>
  <si>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</si>
  <si>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</si>
  <si>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</si>
  <si>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</si>
  <si>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</si>
  <si>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</si>
  <si>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</si>
  <si>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</si>
  <si>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</si>
  <si>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</si>
  <si>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</si>
  <si>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</si>
  <si>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</si>
  <si>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</si>
  <si>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</si>
  <si>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</si>
  <si>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</si>
  <si>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</si>
  <si>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</si>
  <si>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</si>
  <si>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</si>
  <si>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</si>
  <si>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</si>
  <si>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</si>
  <si>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</si>
  <si>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</si>
  <si>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</si>
  <si>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</si>
  <si>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</si>
  <si>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</si>
  <si>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</si>
  <si>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</si>
  <si>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</si>
  <si>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</si>
  <si>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</si>
  <si>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</si>
  <si>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</si>
  <si>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</si>
  <si>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</si>
  <si>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</si>
  <si>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</si>
  <si>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</si>
  <si>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</si>
  <si>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</si>
  <si>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</si>
  <si>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</si>
  <si>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</si>
  <si>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</si>
  <si>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</si>
  <si>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</si>
  <si>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</si>
  <si>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</si>
  <si>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</si>
  <si>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</si>
  <si>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</si>
  <si>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</si>
  <si>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</si>
  <si>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</si>
  <si>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</si>
  <si>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</si>
  <si>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</si>
  <si>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</si>
  <si>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</si>
  <si>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</si>
  <si>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</si>
  <si>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</si>
  <si>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</si>
  <si>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</si>
  <si>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</si>
  <si>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</si>
  <si>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</si>
  <si>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</si>
  <si>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</si>
  <si>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</si>
  <si>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</si>
  <si>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</si>
  <si>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</si>
  <si>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</si>
  <si>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</si>
  <si>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</si>
  <si>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</si>
  <si>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</si>
  <si>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</si>
  <si>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</si>
  <si>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</si>
  <si>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</si>
  <si>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</si>
  <si>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</si>
  <si>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</si>
  <si>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</si>
  <si>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</si>
  <si>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</si>
  <si>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</si>
  <si>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</si>
  <si>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</si>
  <si>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</si>
  <si>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</si>
  <si>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</si>
  <si>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</si>
  <si>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</si>
  <si>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</si>
  <si>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</si>
  <si>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</si>
  <si>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</si>
  <si>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</si>
  <si>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</si>
  <si>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</si>
  <si>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</si>
  <si>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</si>
  <si>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</si>
  <si>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</si>
  <si>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</si>
  <si>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</si>
  <si>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</si>
  <si>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</si>
  <si>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</si>
  <si>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</si>
  <si>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</si>
  <si>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</si>
  <si>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</si>
  <si>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</si>
  <si>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</si>
  <si>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</si>
  <si>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</si>
  <si>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</si>
  <si>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</si>
  <si>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</si>
  <si>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</si>
  <si>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</si>
  <si>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</si>
  <si>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</si>
  <si>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</si>
  <si>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</si>
  <si>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</si>
  <si>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</si>
  <si>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</si>
  <si>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</si>
  <si>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</si>
  <si>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</si>
  <si>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</si>
  <si>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</si>
  <si>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</si>
  <si>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</si>
  <si>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</si>
  <si>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</si>
  <si>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</si>
  <si>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</si>
  <si>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</si>
  <si>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</si>
  <si>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</si>
  <si>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</si>
  <si>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</si>
  <si>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</si>
  <si>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</si>
  <si>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</si>
  <si>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</si>
  <si>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</si>
  <si>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</si>
  <si>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</si>
  <si>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</si>
  <si>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</si>
  <si>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</si>
  <si>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</si>
  <si>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</si>
  <si>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</si>
  <si>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</si>
  <si>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</si>
  <si>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</si>
  <si>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</si>
  <si>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</si>
  <si>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</si>
  <si>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</si>
  <si>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</si>
  <si>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</si>
  <si>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</si>
  <si>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</si>
  <si>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</si>
  <si>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</si>
  <si>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</si>
  <si>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</si>
  <si>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</si>
  <si>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</si>
  <si>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</si>
  <si>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</si>
  <si>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</si>
  <si>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</si>
  <si>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</si>
  <si>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</si>
  <si>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</si>
  <si>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</si>
  <si>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</si>
  <si>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</si>
  <si>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</si>
  <si>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</si>
  <si>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</si>
  <si>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</si>
  <si>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</si>
  <si>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</si>
  <si>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</si>
  <si>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</si>
  <si>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</si>
  <si>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</si>
  <si>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</si>
  <si>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</si>
  <si>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</si>
  <si>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</si>
  <si>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</si>
  <si>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</si>
  <si>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</si>
  <si>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</si>
  <si>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</si>
  <si>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</si>
  <si>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</si>
  <si>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</si>
  <si>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</si>
  <si>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</si>
  <si>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</si>
  <si>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</si>
  <si>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</si>
  <si>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</si>
  <si>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</si>
  <si>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</si>
  <si>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</si>
  <si>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</si>
  <si>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</si>
  <si>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</si>
  <si>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</si>
  <si>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</si>
  <si>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</si>
  <si>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</si>
  <si>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</si>
  <si>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</si>
  <si>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</si>
  <si>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</si>
  <si>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</si>
  <si>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</si>
  <si>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</si>
  <si>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</si>
  <si>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</si>
  <si>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</si>
  <si>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</si>
  <si>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</si>
  <si>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</si>
  <si>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</si>
  <si>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</si>
  <si>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</si>
  <si>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</si>
  <si>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</si>
  <si>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</si>
  <si>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</si>
  <si>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</si>
  <si>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</si>
  <si>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</si>
  <si>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</si>
  <si>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</si>
  <si>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</si>
  <si>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</si>
  <si>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</si>
  <si>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</si>
  <si>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</si>
  <si>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</si>
  <si>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</si>
  <si>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</si>
  <si>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</si>
  <si>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</si>
  <si>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</si>
  <si>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</si>
  <si>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</si>
  <si>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</si>
  <si>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</si>
  <si>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</si>
  <si>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</si>
  <si>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</si>
  <si>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</si>
  <si>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</si>
  <si>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</si>
  <si>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</si>
  <si>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</si>
  <si>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</si>
  <si>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</si>
  <si>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</si>
  <si>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</si>
  <si>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</si>
  <si>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</si>
  <si>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</si>
  <si>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</si>
  <si>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</si>
  <si>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</si>
  <si>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</si>
  <si>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</si>
  <si>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</si>
  <si>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</si>
  <si>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</si>
  <si>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</si>
  <si>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</si>
  <si>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</si>
  <si>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</si>
  <si>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</si>
  <si>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</si>
  <si>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</si>
  <si>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</si>
  <si>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</si>
  <si>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</si>
  <si>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</si>
  <si>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</si>
  <si>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</si>
  <si>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</si>
  <si>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</si>
  <si>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</si>
  <si>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</si>
  <si>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</si>
  <si>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</si>
  <si>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</si>
  <si>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</si>
  <si>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</si>
  <si>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</si>
  <si>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</si>
  <si>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</si>
  <si>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</si>
  <si>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</si>
  <si>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</si>
  <si>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</si>
  <si>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</si>
  <si>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</si>
  <si>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</si>
  <si>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</si>
  <si>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</si>
  <si>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</si>
  <si>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</si>
  <si>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</si>
  <si>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</si>
  <si>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</si>
  <si>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</si>
  <si>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</si>
  <si>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</si>
  <si>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</si>
  <si>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</si>
  <si>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</si>
  <si>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</si>
  <si>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</si>
  <si>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</si>
  <si>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</si>
  <si>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</si>
  <si>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</si>
  <si>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</si>
  <si>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</si>
  <si>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</si>
  <si>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</si>
  <si>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</si>
  <si>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</si>
  <si>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</si>
  <si>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</si>
  <si>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</si>
  <si>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</si>
  <si>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</si>
  <si>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</si>
  <si>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</si>
  <si>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</si>
  <si>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</si>
  <si>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</si>
  <si>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</si>
  <si>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</si>
  <si>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</si>
  <si>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</si>
  <si>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</si>
  <si>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</si>
  <si>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</si>
  <si>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</si>
  <si>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</si>
  <si>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</si>
  <si>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</si>
  <si>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</si>
  <si>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</si>
  <si>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</si>
  <si>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</si>
  <si>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</si>
  <si>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</si>
  <si>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</si>
  <si>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</si>
  <si>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</si>
  <si>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</si>
  <si>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</si>
  <si>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</si>
  <si>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</si>
  <si>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</si>
  <si>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</si>
  <si>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</si>
  <si>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</si>
  <si>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</si>
  <si>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</si>
  <si>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</si>
  <si>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</si>
  <si>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</si>
  <si>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</si>
  <si>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</si>
  <si>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</si>
  <si>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</si>
  <si>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</si>
  <si>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</si>
  <si>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</si>
  <si>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</si>
  <si>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</si>
  <si>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</si>
  <si>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</si>
  <si>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</si>
  <si>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</si>
  <si>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</si>
  <si>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</si>
  <si>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</si>
  <si>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</si>
  <si>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</si>
  <si>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</si>
  <si>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</si>
  <si>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</si>
  <si>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</si>
  <si>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</si>
  <si>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</si>
  <si>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</si>
  <si>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</si>
  <si>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</si>
  <si>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</si>
  <si>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</si>
  <si>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</si>
  <si>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</si>
  <si>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</si>
  <si>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</si>
  <si>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</si>
  <si>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</si>
  <si>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</si>
  <si>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</si>
  <si>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</si>
  <si>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</si>
  <si>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</si>
  <si>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</si>
  <si>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</si>
  <si>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</si>
  <si>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</si>
  <si>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</si>
  <si>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</si>
  <si>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</si>
  <si>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</si>
  <si>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</si>
  <si>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</si>
  <si>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</si>
  <si>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</si>
  <si>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</si>
  <si>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</si>
  <si>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</si>
  <si>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</si>
  <si>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</si>
  <si>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</si>
  <si>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</si>
  <si>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</si>
  <si>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</si>
  <si>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</si>
  <si>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</si>
  <si>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</si>
  <si>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</si>
  <si>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</si>
  <si>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</si>
  <si>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</si>
  <si>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</si>
  <si>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</si>
  <si>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</si>
  <si>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</si>
  <si>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</si>
  <si>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</si>
  <si>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</si>
  <si>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</si>
  <si>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</si>
  <si>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</si>
  <si>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</si>
  <si>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</si>
  <si>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</si>
  <si>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</si>
  <si>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</si>
  <si>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</si>
  <si>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</si>
  <si>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</si>
  <si>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</si>
  <si>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</si>
  <si>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</si>
  <si>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</si>
  <si>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</si>
  <si>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</si>
  <si>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</si>
  <si>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</si>
  <si>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</si>
  <si>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</si>
  <si>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</si>
  <si>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</si>
  <si>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</si>
  <si>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</si>
  <si>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</si>
  <si>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</si>
  <si>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</si>
  <si>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</si>
  <si>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</si>
  <si>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</si>
  <si>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</si>
  <si>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</si>
  <si>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</si>
  <si>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</si>
  <si>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</si>
  <si>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</si>
  <si>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</si>
  <si>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</si>
  <si>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</si>
  <si>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</si>
  <si>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</si>
  <si>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</si>
  <si>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</si>
  <si>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</si>
  <si>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</si>
  <si>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</si>
  <si>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</si>
  <si>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</si>
  <si>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</si>
  <si>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</si>
  <si>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</si>
  <si>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</si>
  <si>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</si>
  <si>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</si>
  <si>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</si>
  <si>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</si>
  <si>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</si>
  <si>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</si>
  <si>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</si>
  <si>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</si>
  <si>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</si>
  <si>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</si>
  <si>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</si>
  <si>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</si>
  <si>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</si>
  <si>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</si>
  <si>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</si>
  <si>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</si>
  <si>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</si>
  <si>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</si>
  <si>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</si>
  <si>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</si>
  <si>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</si>
  <si>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</si>
  <si>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</si>
  <si>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</si>
  <si>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</si>
  <si>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</si>
  <si>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</si>
  <si>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</si>
  <si>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</si>
  <si>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</si>
  <si>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</si>
  <si>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</si>
  <si>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</si>
  <si>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</si>
  <si>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</si>
  <si>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</si>
  <si>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</si>
  <si>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</si>
  <si>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</si>
  <si>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</si>
  <si>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</si>
  <si>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</si>
  <si>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</si>
  <si>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</si>
  <si>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</si>
  <si>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</si>
  <si>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</si>
  <si>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</si>
  <si>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</si>
  <si>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</si>
  <si>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</si>
  <si>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</si>
  <si>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</si>
  <si>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</si>
  <si>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</si>
  <si>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</si>
  <si>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</si>
  <si>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</si>
  <si>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</si>
  <si>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</si>
  <si>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</si>
  <si>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</si>
  <si>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</si>
  <si>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</si>
  <si>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</si>
  <si>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</si>
  <si>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</si>
  <si>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</si>
  <si>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</si>
  <si>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</si>
  <si>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</si>
  <si>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</si>
  <si>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</si>
  <si>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</si>
  <si>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</si>
  <si>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</si>
  <si>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</si>
  <si>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</si>
  <si>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</si>
  <si>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</si>
  <si>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</si>
  <si>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</si>
  <si>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</si>
  <si>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</si>
  <si>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</si>
  <si>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</si>
  <si>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</si>
  <si>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</si>
  <si>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</si>
  <si>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</si>
  <si>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</si>
  <si>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</si>
  <si>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</si>
  <si>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</si>
  <si>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</si>
  <si>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</si>
  <si>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</si>
  <si>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</si>
  <si>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</si>
  <si>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</si>
  <si>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</si>
  <si>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</si>
  <si>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</si>
  <si>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</si>
  <si>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</si>
  <si>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</si>
  <si>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</si>
  <si>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</si>
  <si>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</si>
  <si>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</si>
  <si>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</si>
  <si>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</si>
  <si>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</si>
  <si>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</si>
  <si>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</si>
  <si>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</si>
  <si>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</si>
  <si>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</si>
  <si>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</si>
  <si>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</si>
  <si>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</si>
  <si>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</si>
  <si>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</si>
  <si>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</si>
  <si>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</si>
  <si>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</si>
  <si>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</si>
  <si>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</si>
  <si>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</si>
  <si>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</si>
  <si>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</si>
  <si>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</si>
  <si>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</si>
  <si>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</si>
  <si>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</si>
  <si>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</si>
  <si>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</si>
  <si>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</si>
  <si>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</si>
  <si>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</si>
  <si>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</si>
  <si>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</si>
  <si>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</si>
  <si>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</si>
  <si>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</si>
  <si>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</si>
  <si>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</si>
  <si>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</si>
  <si>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</si>
  <si>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</si>
  <si>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</si>
  <si>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</si>
  <si>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</si>
  <si>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</si>
  <si>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</si>
  <si>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</si>
  <si>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</si>
  <si>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</si>
  <si>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</si>
  <si>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</si>
  <si>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</si>
  <si>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</si>
  <si>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</si>
  <si>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</si>
  <si>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</si>
  <si>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</si>
  <si>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</si>
  <si>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</si>
  <si>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</si>
  <si>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</si>
  <si>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</si>
  <si>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</si>
  <si>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</si>
  <si>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</si>
  <si>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</si>
  <si>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</si>
  <si>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</si>
  <si>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</si>
  <si>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</si>
  <si>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</si>
  <si>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</si>
  <si>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</si>
  <si>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</si>
  <si>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</si>
  <si>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</si>
  <si>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</si>
  <si>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</si>
  <si>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</si>
  <si>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</si>
  <si>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</si>
  <si>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</si>
  <si>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</si>
  <si>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</si>
  <si>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</si>
  <si>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</si>
  <si>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</si>
  <si>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</si>
  <si>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</si>
  <si>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</si>
  <si>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</si>
  <si>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</si>
  <si>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</si>
  <si>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</si>
  <si>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</si>
  <si>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</si>
  <si>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</si>
  <si>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</si>
  <si>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</si>
  <si>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</si>
  <si>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</si>
  <si>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</si>
  <si>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</si>
  <si>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</si>
  <si>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</si>
  <si>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</si>
  <si>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</si>
  <si>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</si>
  <si>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</si>
  <si>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</si>
  <si>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</si>
  <si>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</si>
  <si>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</si>
  <si>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</si>
  <si>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</si>
  <si>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</si>
  <si>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</si>
  <si>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</si>
  <si>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</si>
  <si>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</si>
  <si>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</si>
  <si>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</si>
  <si>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</si>
  <si>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</si>
  <si>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</si>
  <si>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</si>
  <si>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</si>
  <si>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</si>
  <si>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</si>
  <si>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</si>
  <si>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</si>
  <si>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</si>
  <si>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</si>
  <si>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</si>
  <si>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</si>
  <si>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</si>
  <si>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</si>
  <si>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</si>
  <si>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</si>
  <si>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</si>
  <si>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</si>
  <si>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</si>
  <si>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</si>
  <si>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</si>
  <si>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</si>
  <si>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</si>
  <si>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</si>
  <si>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</si>
  <si>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</si>
  <si>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</si>
  <si>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</si>
  <si>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</si>
  <si>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</si>
  <si>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</si>
  <si>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</si>
  <si>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</si>
  <si>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</si>
  <si>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</si>
  <si>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</si>
  <si>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</si>
  <si>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</si>
  <si>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</si>
  <si>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</si>
  <si>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</si>
  <si>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</si>
  <si>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</si>
  <si>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</si>
  <si>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</si>
  <si>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</si>
  <si>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</si>
  <si>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</si>
  <si>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</si>
  <si>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</si>
  <si>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</si>
  <si>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</si>
  <si>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</si>
  <si>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</si>
  <si>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</si>
  <si>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</si>
  <si>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</si>
  <si>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</si>
  <si>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</si>
  <si>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</si>
  <si>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</si>
  <si>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</si>
  <si>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</si>
  <si>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</si>
  <si>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</si>
  <si>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</si>
  <si>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</si>
  <si>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</si>
  <si>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</si>
  <si>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</si>
  <si>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</si>
  <si>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</si>
  <si>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</si>
  <si>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</si>
  <si>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</si>
  <si>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</si>
  <si>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</si>
  <si>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</si>
  <si>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</si>
  <si>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</si>
  <si>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</si>
  <si>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</si>
  <si>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</si>
  <si>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</si>
  <si>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</si>
  <si>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</si>
  <si>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</si>
  <si>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</si>
  <si>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</si>
  <si>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</si>
  <si>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</si>
  <si>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</si>
  <si>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</si>
  <si>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</si>
  <si>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</si>
  <si>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</si>
  <si>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</si>
  <si>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</si>
  <si>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</si>
  <si>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</si>
  <si>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</si>
  <si>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</si>
  <si>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</si>
  <si>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</si>
  <si>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</si>
  <si>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</si>
  <si>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</si>
  <si>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</si>
  <si>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</si>
  <si>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</si>
  <si>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</si>
  <si>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</si>
  <si>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</si>
  <si>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</si>
  <si>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</si>
  <si>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</si>
  <si>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</si>
  <si>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</si>
  <si>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</si>
  <si>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</si>
  <si>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</si>
  <si>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</si>
  <si>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</si>
  <si>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</si>
  <si>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</si>
  <si>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</si>
  <si>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</si>
  <si>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</si>
  <si>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</si>
  <si>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</si>
  <si>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</si>
  <si>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</si>
  <si>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</si>
  <si>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</si>
  <si>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</si>
  <si>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</si>
  <si>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</si>
  <si>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</si>
  <si>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</si>
  <si>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</si>
  <si>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</si>
  <si>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</si>
  <si>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</si>
  <si>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</si>
  <si>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</si>
  <si>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</si>
  <si>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</si>
  <si>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</si>
  <si>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</si>
  <si>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</si>
  <si>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</si>
  <si>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</si>
  <si>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</si>
  <si>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</si>
  <si>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</si>
  <si>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</si>
  <si>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</si>
  <si>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</si>
  <si>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</si>
  <si>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</si>
  <si>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</si>
  <si>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</si>
  <si>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</si>
  <si>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</si>
  <si>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</si>
  <si>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</si>
  <si>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</si>
  <si>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</si>
  <si>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</si>
  <si>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</si>
  <si>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</si>
  <si>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</si>
  <si>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</si>
  <si>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</si>
  <si>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</si>
  <si>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</si>
  <si>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</si>
  <si>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</si>
  <si>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</si>
  <si>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</si>
  <si>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</si>
  <si>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</si>
  <si>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</si>
  <si>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</si>
  <si>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</si>
  <si>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</si>
  <si>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</si>
  <si>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</si>
  <si>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</si>
  <si>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</si>
  <si>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</si>
  <si>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</si>
  <si>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</si>
  <si>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</si>
  <si>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</si>
  <si>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</si>
  <si>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</si>
  <si>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</si>
  <si>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</si>
  <si>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</si>
  <si>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</si>
  <si>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</si>
  <si>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</si>
  <si>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</si>
  <si>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</si>
  <si>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</si>
  <si>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</si>
  <si>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</si>
  <si>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</si>
  <si>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</si>
  <si>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</si>
  <si>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</si>
  <si>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</si>
  <si>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</si>
  <si>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</si>
  <si>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</si>
  <si>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</si>
  <si>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</si>
  <si>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</si>
  <si>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</si>
  <si>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</si>
  <si>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</si>
  <si>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</si>
  <si>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</si>
  <si>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</si>
  <si>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</si>
  <si>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</si>
  <si>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</si>
  <si>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</si>
  <si>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</si>
  <si>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</si>
  <si>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</si>
  <si>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</si>
  <si>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</si>
  <si>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</si>
  <si>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</si>
  <si>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</si>
  <si>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</si>
  <si>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</si>
  <si>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</si>
  <si>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</si>
  <si>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</si>
  <si>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</si>
  <si>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</si>
  <si>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</si>
  <si>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</si>
  <si>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</si>
  <si>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</si>
  <si>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</si>
  <si>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</si>
  <si>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</si>
  <si>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</si>
  <si>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</si>
  <si>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</si>
  <si>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</si>
  <si>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</si>
  <si>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</si>
  <si>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</si>
  <si>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</si>
  <si>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</si>
  <si>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</si>
  <si>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</si>
  <si>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</si>
  <si>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</si>
  <si>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</si>
  <si>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</si>
  <si>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</si>
  <si>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</si>
  <si>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</si>
  <si>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</si>
  <si>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</si>
  <si>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</si>
  <si>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</si>
  <si>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</si>
  <si>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</si>
  <si>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</si>
  <si>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</si>
  <si>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</si>
  <si>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</si>
  <si>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</si>
  <si>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</si>
  <si>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</si>
  <si>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</si>
  <si>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</si>
  <si>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</si>
  <si>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</si>
  <si>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</si>
  <si>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</si>
  <si>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</si>
  <si>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</si>
  <si>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</si>
  <si>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</si>
  <si>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</si>
  <si>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</si>
  <si>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</si>
  <si>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</si>
  <si>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</si>
  <si>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</si>
  <si>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</si>
  <si>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</si>
  <si>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</si>
  <si>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</si>
  <si>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</si>
  <si>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</si>
  <si>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</si>
  <si>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</si>
  <si>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</si>
  <si>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</si>
  <si>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</si>
  <si>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</si>
  <si>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</si>
  <si>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</si>
  <si>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</si>
  <si>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</si>
  <si>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</si>
  <si>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</si>
  <si>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</si>
  <si>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</si>
  <si>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</si>
  <si>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</si>
  <si>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</si>
  <si>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</si>
  <si>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</si>
  <si>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</si>
  <si>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</si>
  <si>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</si>
  <si>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</si>
  <si>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</si>
  <si>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</si>
  <si>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</si>
  <si>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</si>
  <si>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</si>
  <si>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</si>
  <si>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</si>
  <si>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</si>
  <si>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</si>
  <si>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</si>
  <si>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</si>
  <si>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</si>
  <si>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</si>
  <si>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</si>
  <si>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</si>
  <si>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</si>
  <si>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</si>
  <si>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</si>
  <si>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</si>
  <si>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</si>
  <si>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</si>
  <si>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</si>
  <si>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</si>
  <si>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</si>
  <si>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</si>
  <si>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</si>
  <si>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</si>
  <si>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</si>
  <si>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</si>
  <si>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</si>
  <si>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</si>
  <si>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</si>
  <si>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</si>
  <si>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</si>
  <si>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</si>
  <si>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</si>
  <si>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</si>
  <si>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</si>
  <si>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</si>
  <si>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</si>
  <si>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</si>
  <si>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</si>
  <si>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</si>
  <si>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</si>
  <si>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</si>
  <si>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</si>
  <si>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</si>
  <si>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</si>
  <si>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</si>
  <si>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</si>
  <si>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</si>
  <si>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</si>
  <si>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</si>
  <si>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</si>
  <si>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</si>
  <si>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</si>
  <si>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</si>
  <si>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</si>
  <si>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</si>
  <si>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</si>
  <si>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</si>
  <si>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</si>
  <si>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</si>
  <si>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</si>
  <si>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</si>
  <si>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</si>
  <si>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</si>
  <si>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</si>
  <si>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</si>
  <si>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</si>
  <si>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</si>
  <si>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</si>
  <si>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</si>
  <si>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</si>
  <si>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</si>
  <si>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</si>
  <si>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</si>
  <si>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</si>
  <si>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</si>
  <si>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</si>
  <si>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</si>
  <si>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</si>
  <si>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</si>
  <si>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</si>
  <si>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</si>
  <si>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</si>
  <si>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</si>
  <si>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</si>
  <si>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</si>
  <si>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</si>
  <si>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</si>
  <si>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</si>
  <si>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</si>
  <si>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</si>
  <si>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</si>
  <si>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</si>
  <si>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</si>
  <si>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</si>
  <si>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</si>
  <si>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</si>
  <si>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</si>
  <si>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</si>
  <si>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</si>
  <si>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</si>
  <si>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</si>
  <si>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</si>
  <si>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</si>
  <si>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</si>
  <si>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</si>
  <si>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</si>
  <si>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</si>
  <si>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</si>
  <si>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</si>
  <si>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</si>
  <si>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</si>
  <si>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</si>
  <si>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</si>
  <si>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</si>
  <si>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</si>
  <si>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</si>
  <si>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</si>
  <si>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</si>
  <si>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</si>
  <si>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</si>
  <si>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</si>
  <si>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</si>
  <si>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</si>
  <si>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</si>
  <si>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</si>
  <si>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</si>
  <si>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</si>
  <si>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</si>
  <si>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</si>
  <si>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</si>
  <si>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</si>
  <si>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</si>
  <si>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</si>
  <si>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</si>
  <si>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</si>
  <si>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</si>
  <si>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</si>
  <si>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</si>
  <si>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</si>
  <si>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</si>
  <si>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</si>
  <si>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</si>
  <si>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</si>
  <si>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</si>
  <si>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</si>
  <si>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</si>
  <si>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</si>
  <si>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</si>
  <si>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</si>
  <si>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</si>
  <si>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</si>
  <si>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</si>
  <si>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</si>
  <si>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</si>
  <si>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</si>
  <si>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</si>
  <si>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</si>
  <si>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</si>
  <si>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</si>
  <si>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</si>
  <si>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</si>
  <si>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</si>
  <si>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</si>
  <si>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</si>
  <si>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</si>
  <si>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</si>
  <si>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</si>
  <si>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</si>
  <si>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</si>
  <si>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</si>
  <si>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</si>
  <si>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</si>
  <si>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</si>
  <si>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</si>
  <si>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</si>
  <si>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</si>
  <si>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</si>
  <si>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</si>
  <si>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</si>
  <si>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</si>
  <si>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</si>
  <si>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</si>
  <si>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</si>
  <si>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</si>
  <si>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</si>
  <si>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</si>
  <si>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</si>
  <si>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</si>
  <si>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</si>
  <si>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</si>
  <si>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</si>
  <si>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</si>
  <si>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</si>
  <si>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</si>
  <si>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</si>
  <si>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</si>
  <si>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</si>
  <si>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</si>
  <si>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</si>
  <si>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</si>
  <si>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</si>
  <si>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</si>
  <si>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</si>
  <si>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</si>
  <si>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</si>
  <si>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</si>
  <si>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</si>
  <si>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</si>
  <si>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</si>
  <si>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</si>
  <si>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</si>
  <si>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</si>
  <si>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</si>
  <si>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</si>
  <si>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</si>
  <si>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</si>
  <si>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</si>
  <si>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</si>
  <si>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</si>
  <si>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</si>
  <si>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</si>
  <si>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</si>
  <si>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</si>
  <si>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</si>
  <si>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</si>
  <si>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</si>
  <si>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</si>
  <si>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</si>
  <si>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</si>
  <si>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</si>
  <si>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</si>
  <si>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</si>
  <si>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</si>
  <si>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</si>
  <si>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</si>
  <si>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</si>
  <si>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</si>
  <si>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</si>
  <si>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</si>
  <si>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</si>
  <si>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</si>
  <si>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</si>
  <si>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</si>
  <si>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</si>
  <si>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</si>
  <si>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</si>
  <si>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</si>
  <si>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</si>
  <si>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</si>
  <si>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</si>
  <si>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</si>
  <si>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</si>
  <si>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</si>
  <si>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</si>
  <si>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</si>
  <si>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</si>
  <si>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</si>
  <si>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</si>
  <si>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</si>
  <si>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</si>
  <si>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</si>
  <si>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</si>
  <si>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</si>
  <si>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</si>
  <si>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</si>
  <si>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</si>
  <si>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</si>
  <si>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</si>
  <si>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</si>
  <si>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</si>
  <si>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</si>
  <si>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</si>
  <si>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</si>
  <si>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</si>
  <si>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</si>
  <si>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</si>
  <si>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</si>
  <si>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</si>
  <si>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</si>
  <si>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</si>
  <si>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</si>
  <si>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</si>
  <si>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</si>
  <si>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</si>
  <si>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</si>
  <si>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</si>
  <si>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</si>
  <si>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</si>
  <si>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</si>
  <si>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</si>
  <si>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</si>
  <si>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</si>
  <si>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</si>
  <si>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</si>
  <si>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</si>
  <si>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</si>
  <si>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</si>
  <si>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</si>
  <si>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</si>
  <si>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</si>
  <si>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</si>
  <si>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</si>
  <si>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</si>
  <si>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</si>
  <si>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</si>
  <si>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</si>
  <si>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</si>
  <si>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</si>
  <si>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</si>
  <si>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</si>
  <si>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</si>
  <si>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</si>
  <si>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</si>
  <si>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</si>
  <si>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</si>
  <si>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</si>
  <si>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</si>
  <si>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</si>
  <si>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</si>
  <si>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</si>
  <si>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</si>
  <si>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</si>
  <si>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</si>
  <si>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</si>
  <si>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</si>
  <si>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</si>
  <si>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</si>
  <si>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</si>
  <si>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</si>
  <si>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</si>
  <si>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</si>
  <si>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</si>
  <si>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</si>
  <si>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</si>
  <si>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</si>
  <si>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</si>
  <si>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</si>
  <si>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</si>
  <si>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</si>
  <si>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</si>
  <si>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</si>
  <si>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</si>
  <si>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</si>
  <si>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</si>
  <si>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</si>
  <si>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</si>
  <si>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</si>
  <si>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</si>
  <si>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</si>
  <si>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</si>
  <si>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</si>
  <si>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</si>
  <si>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</si>
  <si>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</si>
  <si>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</si>
  <si>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</si>
  <si>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</si>
  <si>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</si>
  <si>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</si>
  <si>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</si>
  <si>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</si>
  <si>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</si>
  <si>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</si>
  <si>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</si>
  <si>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</si>
  <si>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</si>
  <si>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</si>
  <si>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</si>
  <si>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</si>
  <si>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</si>
  <si>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</si>
  <si>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</si>
  <si>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</si>
  <si>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</si>
  <si>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</si>
  <si>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</si>
  <si>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</si>
  <si>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</si>
  <si>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</si>
  <si>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</si>
  <si>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</si>
  <si>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</si>
  <si>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</si>
  <si>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</si>
  <si>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</si>
  <si>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</si>
  <si>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</si>
  <si>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</si>
  <si>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</si>
  <si>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</si>
  <si>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</si>
  <si>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</si>
  <si>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</si>
  <si>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</si>
  <si>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</si>
  <si>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</si>
  <si>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</si>
  <si>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</si>
  <si>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</si>
  <si>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</si>
  <si>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</si>
  <si>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</si>
  <si>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</si>
  <si>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</si>
  <si>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</si>
  <si>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</si>
  <si>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</si>
  <si>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</si>
  <si>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</si>
  <si>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</si>
  <si>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</si>
  <si>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</si>
  <si>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</si>
  <si>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</si>
  <si>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</si>
  <si>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</si>
  <si>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</si>
  <si>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</si>
  <si>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</si>
  <si>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</si>
  <si>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</si>
  <si>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</si>
  <si>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</si>
  <si>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</si>
  <si>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</si>
  <si>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</si>
  <si>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</si>
  <si>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</si>
  <si>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</si>
  <si>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</si>
  <si>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</si>
  <si>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</si>
  <si>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</si>
  <si>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</si>
  <si>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</si>
  <si>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</si>
  <si>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</si>
  <si>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</si>
  <si>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</si>
  <si>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</si>
  <si>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</si>
  <si>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</si>
  <si>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</si>
  <si>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</si>
  <si>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</si>
  <si>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</si>
  <si>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</si>
  <si>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</si>
  <si>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</si>
  <si>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</si>
  <si>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</si>
  <si>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</si>
  <si>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</si>
  <si>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</si>
  <si>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</si>
  <si>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</si>
  <si>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</si>
  <si>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</si>
  <si>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</si>
  <si>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</si>
  <si>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</si>
  <si>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</si>
  <si>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</si>
  <si>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</si>
  <si>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</si>
  <si>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</si>
  <si>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</si>
  <si>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</si>
  <si>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</si>
  <si>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</si>
  <si>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</si>
  <si>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</si>
  <si>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</si>
  <si>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</si>
  <si>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</si>
  <si>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</si>
  <si>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</si>
  <si>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</si>
  <si>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</si>
  <si>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</si>
  <si>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</si>
  <si>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</si>
  <si>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</si>
  <si>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</si>
  <si>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</si>
  <si>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</si>
  <si>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</si>
  <si>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</si>
  <si>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</si>
  <si>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</si>
  <si>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</si>
  <si>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</si>
  <si>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</si>
  <si>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</si>
  <si>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</si>
  <si>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</si>
  <si>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</si>
  <si>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</si>
  <si>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</si>
  <si>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</si>
  <si>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</si>
  <si>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</si>
  <si>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</si>
  <si>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</si>
  <si>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</si>
  <si>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</si>
  <si>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</si>
  <si>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</si>
  <si>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</si>
  <si>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</si>
  <si>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</si>
  <si>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</si>
  <si>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</si>
  <si>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</si>
  <si>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</si>
  <si>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</si>
  <si>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</si>
  <si>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</si>
  <si>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</si>
  <si>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</si>
  <si>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</si>
  <si>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</si>
  <si>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</si>
  <si>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</si>
  <si>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</si>
  <si>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</si>
  <si>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</si>
  <si>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</si>
  <si>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</si>
  <si>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</si>
  <si>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</si>
  <si>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</si>
  <si>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</si>
  <si>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</si>
  <si>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</si>
  <si>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</si>
  <si>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</si>
  <si>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</si>
  <si>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</si>
  <si>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</si>
  <si>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</si>
  <si>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</si>
  <si>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</si>
  <si>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</si>
  <si>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</si>
  <si>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</si>
  <si>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</si>
  <si>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</si>
  <si>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</si>
  <si>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</si>
  <si>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</si>
  <si>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</si>
  <si>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</si>
  <si>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</si>
  <si>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</si>
  <si>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</si>
  <si>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</si>
  <si>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</si>
  <si>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</si>
  <si>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</si>
  <si>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</si>
  <si>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</si>
  <si>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</si>
  <si>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</si>
  <si>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</si>
  <si>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</si>
  <si>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</si>
  <si>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</si>
  <si>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</si>
  <si>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</si>
  <si>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</si>
  <si>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</si>
  <si>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</si>
  <si>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</si>
  <si>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</si>
  <si>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</si>
  <si>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</si>
  <si>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</si>
  <si>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</si>
  <si>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</si>
  <si>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</si>
  <si>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</si>
  <si>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</si>
  <si>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</si>
  <si>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</si>
  <si>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</si>
  <si>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</si>
  <si>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</si>
  <si>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</si>
  <si>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</si>
  <si>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</si>
  <si>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</si>
  <si>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</si>
  <si>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</si>
  <si>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</si>
  <si>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</si>
  <si>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</si>
  <si>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</si>
  <si>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</si>
  <si>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</si>
  <si>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</si>
  <si>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</si>
  <si>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</si>
  <si>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</si>
  <si>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</si>
  <si>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</si>
  <si>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</si>
  <si>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</si>
  <si>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</si>
  <si>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</si>
  <si>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</si>
  <si>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</si>
  <si>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</si>
  <si>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</si>
  <si>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</si>
  <si>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</si>
  <si>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</si>
  <si>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</si>
  <si>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</si>
  <si>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</si>
  <si>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</si>
  <si>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</si>
  <si>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</si>
  <si>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</si>
  <si>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</si>
  <si>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</si>
  <si>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</si>
  <si>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</si>
  <si>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</si>
  <si>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</si>
  <si>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</si>
  <si>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</si>
  <si>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</si>
  <si>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</si>
  <si>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</si>
  <si>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</si>
  <si>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</si>
  <si>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</si>
  <si>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</si>
  <si>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</si>
  <si>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</si>
  <si>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</si>
  <si>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</si>
  <si>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</si>
  <si>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</si>
  <si>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</si>
  <si>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</si>
  <si>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</si>
  <si>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</si>
  <si>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</si>
  <si>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</si>
  <si>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</si>
  <si>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</si>
  <si>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</si>
  <si>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</si>
  <si>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</si>
  <si>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</si>
  <si>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</si>
  <si>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</si>
  <si>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</si>
  <si>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</si>
  <si>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</si>
  <si>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</si>
  <si>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</si>
  <si>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</si>
  <si>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</si>
  <si>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</si>
  <si>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</si>
  <si>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</si>
  <si>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</si>
  <si>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</si>
  <si>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</si>
  <si>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</si>
  <si>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</si>
  <si>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</si>
  <si>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</si>
  <si>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</si>
  <si>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</si>
  <si>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</si>
  <si>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</si>
  <si>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</si>
  <si>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</si>
  <si>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</si>
  <si>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</si>
  <si>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</si>
  <si>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</si>
  <si>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</si>
  <si>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</si>
  <si>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</si>
  <si>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</si>
  <si>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</si>
  <si>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</si>
  <si>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</si>
  <si>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</si>
  <si>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</si>
  <si>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</si>
  <si>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</si>
  <si>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</si>
  <si>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</si>
  <si>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</si>
  <si>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</si>
  <si>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</si>
  <si>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</si>
  <si>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</si>
  <si>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</si>
  <si>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</si>
  <si>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</si>
  <si>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</si>
  <si>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</si>
  <si>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</si>
  <si>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</si>
  <si>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</si>
  <si>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</si>
  <si>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</si>
  <si>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</si>
  <si>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</si>
  <si>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</si>
  <si>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</si>
  <si>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</si>
  <si>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</si>
  <si>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</si>
  <si>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</si>
  <si>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</si>
  <si>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</si>
  <si>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</si>
  <si>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</si>
  <si>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</si>
  <si>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</si>
  <si>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</si>
  <si>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</si>
  <si>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</si>
  <si>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</si>
  <si>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</si>
  <si>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</si>
  <si>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</si>
  <si>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</si>
  <si>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</si>
  <si>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</si>
  <si>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</si>
  <si>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</si>
  <si>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</si>
  <si>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</si>
  <si>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</si>
  <si>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</si>
  <si>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</si>
  <si>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</si>
  <si>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</si>
  <si>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</si>
  <si>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</si>
  <si>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</si>
  <si>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</si>
  <si>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</si>
  <si>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</si>
  <si>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</si>
  <si>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</si>
  <si>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</si>
  <si>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</si>
  <si>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</si>
  <si>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</si>
  <si>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</si>
  <si>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</si>
  <si>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</si>
  <si>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</si>
  <si>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</si>
  <si>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</si>
  <si>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</si>
  <si>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</si>
  <si>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</si>
  <si>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</si>
  <si>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</si>
  <si>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</si>
  <si>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</si>
  <si>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</si>
  <si>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</si>
  <si>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</si>
  <si>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</si>
  <si>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</si>
  <si>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</si>
  <si>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</si>
  <si>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</si>
  <si>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</si>
  <si>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</si>
  <si>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</si>
  <si>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</si>
  <si>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</si>
  <si>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</si>
  <si>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</si>
  <si>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</si>
  <si>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</si>
  <si>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</si>
  <si>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</si>
  <si>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</si>
  <si>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</si>
  <si>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</si>
  <si>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</si>
  <si>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</si>
  <si>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</si>
  <si>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</si>
  <si>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</si>
  <si>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</si>
  <si>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</si>
  <si>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</si>
  <si>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</si>
  <si>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</si>
  <si>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</si>
  <si>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</si>
  <si>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</si>
  <si>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</si>
  <si>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</si>
  <si>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</si>
  <si>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</si>
  <si>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</si>
  <si>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</si>
  <si>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</si>
  <si>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</si>
  <si>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</si>
  <si>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</si>
  <si>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</si>
  <si>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</si>
  <si>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</si>
  <si>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</si>
  <si>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</si>
  <si>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</si>
  <si>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</si>
  <si>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</si>
  <si>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</si>
  <si>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</si>
  <si>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</si>
  <si>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</si>
  <si>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</si>
  <si>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</si>
  <si>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</si>
  <si>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</si>
  <si>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</si>
  <si>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</si>
  <si>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</si>
  <si>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</si>
  <si>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</si>
  <si>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</si>
  <si>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</si>
  <si>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</si>
  <si>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</si>
  <si>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</si>
  <si>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</si>
  <si>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</si>
  <si>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</si>
  <si>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</si>
  <si>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</si>
  <si>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</si>
  <si>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</si>
  <si>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</si>
  <si>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</si>
  <si>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</si>
  <si>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</si>
  <si>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</si>
  <si>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</si>
  <si>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</si>
  <si>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</si>
  <si>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</si>
  <si>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</si>
  <si>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</si>
  <si>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</si>
  <si>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</si>
  <si>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</si>
  <si>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</si>
  <si>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</si>
  <si>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</si>
  <si>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</si>
  <si>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</si>
  <si>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</si>
  <si>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</si>
  <si>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</si>
  <si>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</si>
  <si>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</si>
  <si>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</si>
  <si>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</si>
  <si>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</si>
  <si>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</si>
  <si>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</si>
  <si>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</si>
  <si>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</si>
  <si>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</si>
  <si>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</si>
  <si>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</si>
  <si>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</si>
  <si>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</si>
  <si>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</si>
  <si>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</si>
  <si>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</si>
  <si>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</si>
  <si>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</si>
  <si>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</si>
  <si>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</si>
  <si>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</si>
  <si>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</si>
  <si>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</si>
  <si>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</si>
  <si>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</si>
  <si>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</si>
  <si>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</si>
  <si>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</si>
  <si>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</si>
  <si>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</si>
  <si>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</si>
  <si>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</si>
  <si>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</si>
  <si>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</si>
  <si>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</si>
  <si>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</si>
  <si>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</si>
  <si>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</si>
  <si>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</si>
  <si>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</si>
  <si>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</si>
  <si>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</si>
  <si>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</si>
  <si>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</si>
  <si>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</si>
  <si>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</si>
  <si>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</si>
  <si>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</si>
  <si>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</si>
  <si>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</si>
  <si>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</si>
  <si>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</si>
  <si>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</si>
  <si>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</si>
  <si>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</si>
  <si>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</si>
  <si>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</si>
  <si>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</si>
  <si>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</si>
  <si>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</si>
  <si>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</si>
  <si>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</si>
  <si>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</si>
  <si>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</si>
  <si>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</si>
  <si>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</si>
  <si>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</si>
  <si>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</si>
  <si>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</si>
  <si>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</si>
  <si>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</si>
  <si>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</si>
  <si>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</si>
  <si>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</si>
  <si>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</si>
  <si>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</si>
  <si>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</si>
  <si>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</si>
  <si>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</si>
  <si>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</si>
  <si>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</si>
  <si>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</si>
  <si>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</si>
  <si>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</si>
  <si>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</si>
  <si>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</si>
  <si>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</si>
  <si>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</si>
  <si>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</si>
  <si>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</si>
  <si>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</si>
  <si>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</si>
  <si>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</si>
  <si>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</si>
  <si>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</si>
  <si>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</si>
  <si>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</si>
  <si>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</si>
  <si>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</si>
  <si>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</si>
  <si>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</si>
  <si>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</si>
  <si>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</si>
  <si>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</si>
  <si>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</si>
  <si>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</si>
  <si>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</si>
  <si>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</si>
  <si>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</si>
  <si>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</si>
  <si>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</si>
  <si>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</si>
  <si>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</si>
  <si>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</si>
  <si>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</si>
  <si>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</si>
  <si>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</si>
  <si>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</si>
  <si>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</si>
  <si>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</si>
  <si>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</si>
  <si>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</si>
  <si>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</si>
  <si>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</si>
  <si>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</si>
  <si>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</si>
  <si>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</si>
  <si>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</si>
  <si>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</si>
  <si>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</si>
  <si>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</si>
  <si>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</si>
  <si>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</si>
  <si>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</si>
  <si>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</si>
  <si>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</si>
  <si>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</si>
  <si>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</si>
  <si>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</si>
  <si>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</si>
  <si>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</si>
  <si>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</si>
  <si>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</si>
  <si>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</si>
  <si>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</si>
  <si>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</si>
  <si>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</si>
  <si>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</si>
  <si>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</si>
  <si>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</si>
  <si>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</si>
  <si>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</si>
  <si>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</si>
  <si>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</si>
  <si>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</si>
  <si>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</si>
  <si>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</si>
  <si>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</si>
  <si>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</si>
  <si>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</si>
  <si>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</si>
  <si>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</si>
  <si>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</si>
  <si>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</si>
  <si>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</si>
  <si>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</si>
  <si>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</si>
  <si>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</si>
  <si>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</si>
  <si>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</si>
  <si>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</si>
  <si>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</si>
  <si>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</si>
  <si>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</si>
  <si>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</si>
  <si>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</si>
  <si>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</si>
  <si>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</si>
  <si>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</si>
  <si>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</si>
  <si>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</si>
  <si>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</si>
  <si>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</si>
  <si>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</si>
  <si>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</si>
  <si>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</si>
  <si>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</si>
  <si>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</si>
  <si>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</si>
  <si>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</si>
  <si>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</si>
  <si>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</si>
  <si>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</si>
  <si>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</si>
  <si>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</si>
  <si>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</si>
  <si>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</si>
  <si>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</si>
  <si>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</si>
  <si>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</si>
  <si>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</si>
  <si>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</si>
  <si>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</si>
  <si>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</si>
  <si>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</si>
  <si>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</si>
  <si>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</si>
  <si>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</si>
  <si>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</si>
  <si>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</si>
  <si>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</si>
  <si>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</si>
  <si>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</si>
  <si>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</si>
  <si>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</si>
  <si>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</si>
  <si>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</si>
  <si>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</si>
  <si>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</si>
  <si>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</si>
  <si>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</si>
  <si>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</si>
  <si>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</si>
  <si>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</si>
  <si>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</si>
  <si>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</si>
  <si>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</si>
  <si>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</si>
  <si>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</si>
  <si>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</si>
  <si>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</si>
  <si>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</si>
  <si>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</si>
  <si>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</si>
  <si>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</si>
  <si>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</si>
  <si>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</si>
  <si>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</si>
  <si>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</si>
  <si>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</si>
  <si>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</si>
  <si>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</si>
  <si>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</si>
  <si>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</si>
  <si>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</si>
  <si>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</si>
  <si>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</si>
  <si>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</si>
  <si>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</si>
  <si>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</si>
  <si>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</si>
  <si>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</si>
  <si>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</si>
  <si>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</si>
  <si>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</si>
  <si>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</si>
  <si>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</si>
  <si>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</si>
  <si>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</si>
  <si>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</si>
  <si>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</si>
  <si>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</si>
  <si>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</si>
  <si>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</si>
  <si>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</si>
  <si>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</si>
  <si>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</si>
  <si>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</si>
  <si>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</si>
  <si>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</si>
  <si>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</si>
  <si>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</si>
  <si>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</si>
  <si>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</si>
  <si>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</si>
  <si>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</si>
  <si>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</si>
  <si>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</si>
  <si>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</si>
  <si>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</si>
  <si>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</si>
  <si>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</si>
  <si>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</si>
  <si>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</si>
  <si>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</si>
  <si>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</si>
  <si>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</si>
  <si>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</si>
  <si>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</si>
  <si>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</si>
  <si>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</si>
  <si>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</si>
  <si>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</si>
  <si>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</si>
  <si>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</si>
  <si>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</si>
  <si>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</si>
  <si>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</si>
  <si>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</si>
  <si>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</si>
  <si>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</si>
  <si>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</si>
  <si>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</si>
  <si>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</si>
  <si>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</si>
  <si>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</si>
  <si>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</si>
  <si>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</si>
  <si>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</si>
  <si>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</si>
  <si>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</si>
  <si>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</si>
  <si>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</si>
  <si>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</si>
  <si>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</si>
  <si>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</si>
  <si>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</si>
  <si>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</si>
  <si>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</si>
  <si>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</si>
  <si>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</si>
  <si>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</si>
  <si>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</si>
  <si>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</si>
  <si>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</si>
  <si>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</si>
  <si>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</si>
  <si>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</si>
  <si>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</si>
  <si>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</si>
  <si>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</si>
  <si>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</si>
  <si>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</si>
  <si>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</si>
  <si>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</si>
  <si>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</si>
  <si>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</si>
  <si>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</si>
  <si>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</si>
  <si>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</si>
  <si>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</si>
  <si>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</si>
  <si>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</si>
  <si>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</si>
  <si>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</si>
  <si>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</si>
  <si>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</si>
  <si>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</si>
  <si>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</si>
  <si>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</si>
  <si>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</si>
  <si>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</si>
  <si>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</si>
  <si>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</si>
  <si>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</si>
  <si>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</si>
  <si>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</si>
  <si>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</si>
  <si>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</si>
  <si>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</si>
  <si>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</si>
  <si>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</si>
  <si>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</si>
  <si>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</si>
  <si>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</si>
  <si>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</si>
  <si>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</si>
  <si>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</si>
  <si>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</si>
  <si>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</si>
  <si>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</si>
  <si>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</si>
  <si>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</si>
  <si>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</si>
  <si>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</si>
  <si>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</si>
  <si>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</si>
  <si>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</si>
  <si>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</si>
  <si>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</si>
  <si>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</si>
  <si>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</si>
  <si>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</si>
  <si>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</si>
  <si>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</si>
  <si>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</si>
  <si>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</si>
  <si>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</si>
  <si>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</si>
  <si>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</si>
  <si>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</si>
  <si>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</si>
  <si>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</si>
  <si>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</si>
  <si>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</si>
  <si>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</si>
  <si>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</si>
  <si>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</si>
  <si>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</si>
  <si>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</si>
  <si>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</si>
  <si>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</si>
  <si>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</si>
  <si>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</si>
  <si>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</si>
  <si>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</si>
  <si>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</si>
  <si>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</si>
  <si>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</si>
  <si>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</si>
  <si>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</si>
  <si>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</si>
  <si>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</si>
  <si>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</si>
  <si>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</si>
  <si>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</si>
  <si>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</si>
  <si>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</si>
  <si>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</si>
  <si>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</si>
  <si>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</si>
  <si>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</si>
  <si>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</si>
  <si>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</si>
  <si>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</si>
  <si>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</si>
  <si>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</si>
  <si>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</si>
  <si>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</si>
  <si>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</si>
  <si>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</si>
  <si>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</si>
  <si>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</si>
  <si>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</si>
  <si>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</si>
  <si>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</si>
  <si>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</si>
  <si>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</si>
  <si>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</si>
  <si>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</si>
  <si>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</si>
  <si>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</si>
  <si>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</si>
  <si>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</si>
  <si>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</si>
  <si>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</si>
  <si>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</si>
  <si>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</si>
  <si>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</si>
  <si>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</si>
  <si>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</si>
  <si>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</si>
  <si>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</si>
  <si>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</si>
  <si>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</si>
  <si>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</si>
  <si>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</si>
  <si>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</si>
  <si>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</si>
  <si>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</si>
  <si>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</si>
  <si>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</si>
  <si>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</si>
  <si>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</si>
  <si>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</si>
  <si>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</si>
  <si>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</si>
  <si>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</si>
  <si>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</si>
  <si>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</si>
  <si>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</si>
  <si>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</si>
  <si>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</si>
  <si>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</si>
  <si>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</si>
  <si>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</si>
  <si>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</si>
  <si>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</si>
  <si>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</si>
  <si>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</si>
  <si>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</si>
  <si>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</si>
  <si>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</si>
  <si>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</si>
  <si>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</si>
  <si>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</si>
  <si>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</si>
  <si>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</si>
  <si>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</si>
  <si>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</si>
  <si>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</si>
  <si>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</si>
  <si>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</si>
  <si>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</si>
  <si>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</si>
  <si>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</si>
  <si>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</si>
  <si>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</si>
  <si>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</si>
  <si>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</si>
  <si>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</si>
  <si>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</si>
  <si>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</si>
  <si>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</si>
  <si>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</si>
  <si>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</si>
  <si>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</si>
  <si>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</si>
  <si>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</si>
  <si>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</si>
  <si>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</si>
  <si>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</si>
  <si>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</si>
  <si>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</si>
  <si>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</si>
  <si>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</si>
  <si>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</si>
  <si>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</si>
  <si>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</si>
  <si>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</si>
  <si>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</si>
  <si>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</si>
  <si>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</si>
  <si>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</si>
  <si>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</si>
  <si>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</si>
  <si>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</si>
  <si>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</si>
  <si>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</si>
  <si>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</si>
  <si>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</si>
  <si>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</si>
  <si>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</si>
  <si>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</si>
  <si>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</si>
  <si>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</si>
  <si>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</si>
  <si>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</si>
  <si>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</si>
  <si>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</si>
  <si>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</si>
  <si>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</si>
  <si>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</si>
  <si>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</si>
  <si>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</si>
  <si>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</si>
  <si>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</si>
  <si>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</si>
  <si>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</si>
  <si>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</si>
  <si>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</si>
  <si>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</si>
  <si>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</si>
  <si>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</si>
  <si>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</si>
  <si>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</si>
  <si>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</si>
  <si>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</si>
  <si>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</si>
  <si>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</si>
  <si>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</si>
  <si>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</si>
  <si>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</si>
  <si>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</si>
  <si>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</si>
  <si>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</si>
  <si>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</si>
  <si>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</si>
  <si>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</si>
  <si>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</si>
  <si>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</si>
  <si>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</si>
  <si>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</si>
  <si>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</si>
  <si>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</si>
  <si>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</si>
  <si>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</si>
  <si>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</si>
  <si>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</si>
  <si>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</si>
  <si>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</si>
  <si>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</si>
  <si>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</si>
  <si>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</si>
  <si>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</si>
  <si>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</si>
  <si>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</si>
  <si>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</si>
  <si>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</si>
  <si>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</si>
  <si>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</si>
  <si>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</si>
  <si>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</si>
  <si>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</si>
  <si>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</si>
  <si>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</si>
  <si>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</si>
  <si>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</si>
  <si>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</si>
  <si>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</si>
  <si>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</si>
  <si>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</si>
  <si>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</si>
  <si>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</si>
  <si>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</si>
  <si>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</si>
  <si>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</si>
  <si>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</si>
  <si>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</si>
  <si>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</si>
  <si>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</si>
  <si>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</si>
  <si>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</si>
  <si>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</si>
  <si>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</si>
  <si>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</si>
  <si>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</si>
  <si>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</si>
  <si>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</si>
  <si>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</si>
  <si>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</si>
  <si>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</si>
  <si>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</si>
  <si>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</si>
  <si>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</si>
  <si>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</si>
  <si>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</si>
  <si>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</si>
  <si>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</si>
  <si>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</si>
  <si>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</si>
  <si>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</si>
  <si>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</si>
  <si>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</si>
  <si>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</si>
  <si>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</si>
  <si>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</si>
  <si>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</si>
  <si>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</si>
  <si>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</si>
  <si>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</si>
  <si>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</si>
  <si>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</si>
  <si>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</si>
  <si>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</si>
  <si>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</si>
  <si>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</si>
  <si>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</si>
  <si>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</si>
  <si>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</si>
  <si>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</si>
  <si>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</si>
  <si>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</si>
  <si>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</si>
  <si>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</si>
  <si>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</si>
  <si>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</si>
  <si>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</si>
  <si>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</si>
  <si>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</si>
  <si>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</si>
  <si>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</si>
  <si>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</si>
  <si>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</si>
  <si>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</si>
  <si>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</si>
  <si>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</si>
  <si>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</si>
  <si>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</si>
  <si>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</si>
  <si>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</si>
  <si>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</si>
  <si>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</si>
  <si>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</si>
  <si>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</si>
  <si>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</si>
  <si>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</si>
  <si>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</si>
  <si>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</si>
  <si>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</si>
  <si>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</si>
  <si>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</si>
  <si>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</si>
  <si>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</si>
  <si>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</si>
  <si>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</si>
  <si>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</si>
  <si>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</si>
  <si>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</si>
  <si>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</si>
  <si>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</si>
  <si>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</si>
  <si>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</si>
  <si>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</si>
  <si>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</si>
  <si>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</si>
  <si>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</si>
  <si>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</si>
  <si>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</si>
  <si>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</si>
  <si>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</si>
  <si>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</si>
  <si>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</si>
  <si>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</si>
  <si>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</si>
  <si>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</si>
  <si>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</si>
  <si>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</si>
  <si>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</si>
  <si>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</si>
  <si>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</si>
  <si>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</si>
  <si>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</si>
  <si>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</si>
  <si>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</si>
  <si>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</si>
  <si>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</si>
  <si>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</si>
  <si>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</si>
  <si>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</si>
  <si>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</si>
  <si>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</si>
  <si>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</si>
  <si>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</si>
  <si>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</si>
  <si>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</si>
  <si>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</si>
  <si>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</si>
  <si>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</si>
  <si>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</si>
  <si>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</si>
  <si>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</si>
  <si>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</si>
  <si>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</si>
  <si>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</si>
  <si>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</si>
  <si>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</si>
  <si>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</si>
  <si>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</si>
  <si>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</si>
  <si>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</si>
  <si>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</si>
  <si>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</si>
  <si>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</si>
  <si>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</si>
  <si>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</si>
  <si>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</si>
  <si>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</si>
  <si>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</si>
  <si>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</si>
  <si>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</si>
  <si>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</si>
  <si>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</si>
  <si>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</si>
  <si>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</si>
  <si>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</si>
  <si>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</si>
  <si>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</si>
  <si>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</si>
  <si>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</si>
  <si>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</si>
  <si>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</si>
  <si>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</si>
  <si>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</si>
  <si>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</si>
  <si>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</si>
  <si>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</si>
  <si>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</si>
  <si>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</si>
  <si>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</si>
  <si>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</si>
  <si>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</si>
  <si>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</si>
  <si>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</si>
  <si>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</si>
  <si>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</si>
  <si>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</si>
  <si>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</si>
  <si>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</si>
  <si>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</si>
  <si>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</si>
  <si>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</si>
  <si>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</si>
  <si>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</si>
  <si>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</si>
  <si>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</si>
  <si>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</si>
  <si>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</si>
  <si>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</si>
  <si>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</si>
  <si>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</si>
  <si>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</si>
  <si>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</si>
  <si>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</si>
  <si>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</si>
  <si>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</si>
  <si>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</si>
  <si>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</si>
  <si>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</si>
  <si>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</si>
  <si>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</si>
  <si>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</si>
  <si>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</si>
  <si>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</si>
  <si>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</si>
  <si>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</si>
  <si>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</si>
  <si>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</si>
  <si>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</si>
  <si>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</si>
  <si>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</si>
  <si>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</si>
  <si>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</si>
  <si>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</si>
  <si>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</si>
  <si>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</si>
  <si>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</si>
  <si>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</si>
  <si>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</si>
  <si>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</si>
  <si>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</si>
  <si>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</si>
  <si>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</si>
  <si>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</si>
  <si>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</si>
  <si>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</si>
  <si>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</si>
  <si>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</si>
  <si>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</si>
  <si>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</si>
  <si>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</si>
  <si>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</si>
  <si>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</si>
  <si>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</si>
  <si>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</si>
  <si>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</si>
  <si>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</si>
  <si>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</si>
  <si>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</si>
  <si>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</si>
  <si>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</si>
  <si>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</si>
  <si>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</si>
  <si>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</si>
  <si>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</si>
  <si>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</si>
  <si>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</si>
  <si>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</si>
  <si>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</si>
  <si>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</si>
  <si>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</si>
  <si>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</si>
  <si>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</si>
  <si>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</si>
  <si>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</si>
  <si>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</si>
  <si>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</si>
  <si>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</si>
  <si>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</si>
  <si>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</si>
  <si>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</si>
  <si>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</si>
  <si>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</si>
  <si>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</si>
  <si>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</si>
  <si>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</si>
  <si>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</si>
  <si>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</si>
  <si>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</si>
  <si>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</si>
  <si>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</si>
  <si>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</si>
  <si>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</si>
  <si>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</si>
  <si>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</si>
  <si>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</si>
  <si>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</si>
  <si>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</si>
  <si>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</si>
  <si>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</si>
  <si>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</si>
  <si>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</si>
  <si>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</si>
  <si>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</si>
  <si>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</si>
  <si>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</si>
  <si>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</si>
  <si>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</si>
  <si>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</si>
  <si>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</si>
  <si>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</si>
  <si>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</si>
  <si>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</si>
  <si>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</si>
  <si>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</si>
  <si>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</si>
  <si>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</si>
  <si>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</si>
  <si>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</si>
  <si>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</si>
  <si>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</si>
  <si>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</si>
  <si>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</si>
  <si>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</si>
  <si>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</si>
  <si>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</si>
  <si>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</si>
  <si>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</si>
  <si>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</si>
  <si>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</si>
  <si>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</si>
  <si>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</si>
  <si>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</si>
  <si>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</si>
  <si>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</si>
  <si>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</si>
  <si>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</si>
  <si>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</si>
  <si>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</si>
  <si>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</si>
  <si>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</si>
  <si>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</si>
  <si>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</si>
  <si>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</si>
  <si>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</si>
  <si>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</si>
  <si>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</si>
  <si>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</si>
  <si>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</si>
  <si>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</si>
  <si>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</si>
  <si>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</si>
  <si>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</si>
  <si>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</si>
  <si>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</si>
  <si>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</si>
  <si>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</si>
  <si>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</si>
  <si>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</si>
  <si>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</si>
  <si>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</si>
  <si>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</si>
  <si>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</si>
  <si>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</si>
  <si>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</si>
  <si>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</si>
  <si>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</si>
  <si>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</si>
  <si>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</si>
  <si>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</si>
  <si>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</si>
  <si>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</si>
  <si>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</si>
  <si>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</si>
  <si>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</si>
  <si>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</si>
  <si>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</si>
  <si>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</si>
  <si>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</si>
  <si>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</si>
  <si>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</si>
  <si>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</si>
  <si>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</si>
  <si>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</si>
  <si>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</si>
  <si>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</si>
  <si>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</si>
  <si>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</si>
  <si>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</si>
  <si>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</si>
  <si>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</si>
  <si>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</si>
  <si>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</si>
  <si>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</si>
  <si>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</si>
  <si>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</si>
  <si>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</si>
  <si>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</si>
  <si>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</si>
  <si>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</si>
  <si>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</si>
  <si>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</si>
  <si>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</si>
  <si>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</si>
  <si>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</si>
  <si>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</si>
  <si>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</si>
  <si>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</si>
  <si>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</si>
  <si>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</si>
  <si>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</si>
  <si>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</si>
  <si>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</si>
  <si>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</si>
  <si>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</si>
  <si>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</si>
  <si>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</si>
  <si>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</si>
  <si>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</si>
  <si>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</si>
  <si>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</si>
  <si>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</si>
  <si>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</si>
  <si>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</si>
  <si>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</si>
  <si>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</si>
  <si>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</si>
  <si>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</si>
  <si>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</si>
  <si>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</si>
  <si>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</si>
  <si>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</si>
  <si>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</si>
  <si>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</si>
  <si>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</si>
  <si>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</si>
  <si>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</si>
  <si>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</si>
  <si>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</si>
  <si>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</si>
  <si>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</si>
  <si>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</si>
  <si>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</si>
  <si>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</si>
  <si>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</si>
  <si>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</si>
  <si>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</si>
  <si>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</si>
  <si>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</si>
  <si>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</si>
  <si>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</si>
  <si>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</si>
  <si>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</si>
  <si>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</si>
  <si>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</si>
  <si>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</si>
  <si>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</si>
  <si>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</si>
  <si>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</si>
  <si>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</si>
  <si>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</si>
  <si>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</si>
  <si>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</si>
  <si>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</si>
  <si>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</si>
  <si>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</si>
  <si>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</si>
  <si>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</si>
  <si>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</si>
  <si>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</si>
  <si>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</si>
  <si>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</si>
  <si>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</si>
  <si>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</si>
  <si>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</si>
  <si>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</si>
  <si>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</si>
  <si>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</si>
  <si>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</si>
  <si>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</si>
  <si>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</si>
  <si>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</si>
  <si>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</si>
  <si>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</si>
  <si>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</si>
  <si>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</si>
  <si>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</si>
  <si>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</si>
  <si>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</si>
  <si>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</si>
  <si>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</si>
  <si>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</si>
  <si>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</si>
  <si>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</si>
  <si>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</si>
  <si>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</si>
  <si>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</si>
  <si>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</si>
  <si>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</si>
  <si>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</si>
  <si>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</si>
  <si>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</si>
  <si>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</si>
  <si>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</si>
  <si>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</si>
  <si>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</si>
  <si>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</si>
  <si>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</si>
  <si>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</si>
  <si>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</si>
  <si>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</si>
  <si>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</si>
  <si>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</si>
  <si>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</si>
  <si>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</si>
  <si>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</si>
  <si>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</si>
  <si>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</si>
  <si>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</si>
  <si>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</si>
  <si>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</si>
  <si>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</si>
  <si>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</si>
  <si>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</si>
  <si>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</si>
  <si>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</si>
  <si>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</si>
  <si>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</si>
  <si>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</si>
  <si>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</si>
  <si>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</si>
  <si>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</si>
  <si>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</si>
  <si>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</si>
  <si>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</si>
  <si>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</si>
  <si>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</si>
  <si>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</si>
  <si>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</si>
  <si>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</si>
  <si>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</si>
  <si>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</si>
  <si>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</si>
  <si>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</si>
  <si>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</si>
  <si>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</si>
  <si>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</si>
  <si>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</si>
  <si>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</si>
  <si>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</si>
  <si>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</si>
  <si>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</si>
  <si>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</si>
  <si>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</si>
  <si>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</si>
  <si>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</si>
  <si>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</si>
  <si>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</si>
  <si>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</si>
  <si>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</si>
  <si>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</si>
  <si>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</si>
  <si>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</si>
  <si>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</si>
  <si>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</si>
  <si>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</si>
  <si>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</si>
  <si>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</si>
  <si>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</si>
  <si>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</si>
  <si>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</si>
  <si>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</si>
  <si>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</si>
  <si>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</si>
  <si>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</si>
  <si>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</si>
  <si>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</si>
  <si>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</si>
  <si>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</si>
  <si>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</si>
  <si>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</si>
  <si>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</si>
  <si>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</si>
  <si>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</si>
  <si>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</si>
  <si>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</si>
  <si>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</si>
  <si>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</si>
  <si>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</si>
  <si>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</si>
  <si>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</si>
  <si>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</si>
  <si>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</si>
  <si>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</si>
  <si>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</si>
  <si>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</si>
  <si>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</si>
  <si>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</si>
  <si>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</si>
  <si>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</si>
  <si>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</si>
  <si>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</si>
  <si>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</si>
  <si>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</si>
  <si>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</si>
  <si>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</si>
  <si>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</si>
  <si>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</si>
  <si>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</si>
  <si>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</si>
  <si>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</si>
  <si>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</si>
  <si>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</si>
  <si>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</si>
  <si>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</si>
  <si>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</si>
  <si>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</si>
  <si>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</si>
  <si>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</si>
  <si>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</si>
  <si>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</si>
  <si>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</si>
  <si>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</si>
  <si>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</si>
  <si>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</si>
  <si>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</si>
  <si>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</si>
  <si>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</si>
  <si>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</si>
  <si>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</si>
  <si>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</si>
  <si>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</si>
  <si>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</si>
  <si>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</si>
  <si>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</si>
  <si>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</si>
  <si>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</si>
  <si>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</si>
  <si>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</si>
  <si>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</si>
  <si>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</si>
  <si>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</si>
  <si>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</si>
  <si>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</si>
  <si>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</si>
  <si>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</si>
  <si>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</si>
  <si>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</si>
  <si>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</si>
  <si>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</si>
  <si>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</si>
  <si>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</si>
  <si>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</si>
  <si>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</si>
  <si>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</si>
  <si>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</si>
  <si>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</si>
  <si>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</si>
  <si>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</si>
  <si>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</si>
  <si>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</si>
  <si>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</si>
  <si>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</si>
  <si>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</si>
  <si>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</si>
  <si>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</si>
  <si>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</si>
  <si>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</si>
  <si>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</si>
  <si>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</si>
  <si>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</si>
  <si>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</si>
  <si>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</si>
  <si>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</si>
  <si>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</si>
  <si>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</si>
  <si>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</si>
  <si>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</si>
  <si>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</si>
  <si>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</si>
  <si>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</si>
  <si>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</si>
  <si>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</si>
  <si>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</si>
  <si>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</si>
  <si>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</si>
  <si>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</si>
  <si>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</si>
  <si>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</si>
  <si>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</si>
  <si>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</si>
  <si>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</si>
  <si>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</si>
  <si>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</si>
  <si>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</si>
  <si>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</si>
  <si>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</si>
  <si>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</si>
  <si>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</si>
  <si>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</si>
  <si>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</si>
  <si>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</si>
  <si>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</si>
  <si>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</si>
  <si>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</si>
  <si>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</si>
  <si>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</si>
  <si>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</si>
  <si>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</si>
  <si>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</si>
  <si>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</si>
  <si>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</si>
  <si>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</si>
  <si>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</si>
  <si>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</si>
  <si>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</si>
  <si>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</si>
  <si>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</si>
  <si>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</si>
  <si>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</si>
  <si>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</si>
  <si>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</si>
  <si>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</si>
  <si>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</si>
  <si>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</si>
  <si>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</si>
  <si>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</si>
  <si>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</si>
  <si>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</si>
  <si>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</si>
  <si>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</si>
  <si>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</si>
  <si>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</si>
  <si>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</si>
  <si>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</si>
  <si>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</si>
  <si>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</si>
  <si>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</si>
  <si>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</si>
  <si>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</si>
  <si>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</si>
  <si>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</si>
  <si>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</si>
  <si>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</si>
  <si>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</si>
  <si>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</si>
  <si>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</si>
  <si>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</si>
  <si>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</si>
  <si>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</si>
  <si>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</si>
  <si>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</si>
  <si>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</si>
  <si>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</si>
  <si>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</si>
  <si>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</si>
  <si>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</si>
  <si>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</si>
  <si>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</si>
  <si>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</si>
  <si>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</si>
  <si>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</si>
  <si>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</si>
  <si>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</si>
  <si>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</si>
  <si>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</si>
  <si>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</si>
  <si>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</si>
  <si>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</si>
  <si>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</si>
  <si>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</si>
  <si>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</si>
  <si>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</si>
  <si>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</si>
  <si>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</si>
  <si>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</si>
  <si>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</si>
  <si>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</si>
  <si>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</si>
  <si>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</si>
  <si>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</si>
  <si>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</si>
  <si>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</si>
  <si>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</si>
  <si>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</si>
  <si>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</si>
  <si>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</si>
  <si>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</si>
  <si>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</si>
  <si>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</si>
  <si>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</si>
  <si>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</si>
  <si>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</si>
  <si>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</si>
  <si>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</si>
  <si>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</si>
  <si>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</si>
  <si>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</si>
  <si>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</si>
  <si>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</si>
  <si>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</si>
  <si>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</si>
  <si>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</si>
  <si>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</si>
  <si>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</si>
  <si>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</si>
  <si>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</si>
  <si>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</si>
  <si>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</si>
  <si>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</si>
  <si>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</si>
  <si>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</si>
  <si>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</si>
  <si>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</si>
  <si>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</si>
  <si>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</si>
  <si>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</si>
  <si>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</si>
  <si>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</si>
  <si>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</si>
  <si>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</si>
  <si>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</si>
  <si>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</si>
  <si>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</si>
  <si>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</si>
  <si>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</si>
  <si>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</si>
  <si>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</si>
  <si>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</si>
  <si>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</si>
  <si>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</si>
  <si>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</si>
  <si>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</si>
  <si>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</si>
  <si>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</si>
  <si>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</si>
  <si>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</si>
  <si>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</si>
  <si>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</si>
  <si>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</si>
  <si>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</si>
  <si>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</si>
  <si>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</si>
  <si>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</si>
  <si>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</si>
  <si>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</si>
  <si>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</si>
  <si>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</si>
  <si>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</si>
  <si>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</si>
  <si>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</si>
  <si>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</si>
  <si>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</si>
  <si>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</si>
  <si>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</si>
  <si>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</si>
  <si>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</si>
  <si>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</si>
  <si>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</si>
  <si>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</si>
  <si>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</si>
  <si>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</si>
  <si>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</si>
  <si>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</si>
  <si>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</si>
  <si>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</si>
  <si>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</si>
  <si>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</si>
  <si>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</si>
  <si>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</si>
  <si>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</si>
  <si>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</si>
  <si>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</si>
  <si>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</si>
  <si>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</si>
  <si>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</si>
  <si>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</si>
  <si>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</si>
  <si>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</si>
  <si>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</si>
  <si>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</si>
  <si>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</si>
  <si>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</si>
  <si>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</si>
  <si>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</si>
  <si>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</si>
  <si>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</si>
  <si>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</si>
  <si>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</si>
  <si>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</si>
  <si>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</si>
  <si>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</si>
  <si>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</si>
  <si>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</si>
  <si>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</si>
  <si>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</si>
  <si>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</si>
  <si>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</si>
  <si>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</si>
  <si>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</si>
  <si>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</si>
  <si>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</si>
  <si>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</si>
  <si>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</si>
  <si>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</si>
  <si>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</si>
  <si>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</si>
  <si>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</si>
  <si>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</si>
  <si>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</si>
  <si>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</si>
  <si>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</si>
  <si>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</si>
  <si>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</si>
  <si>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</si>
  <si>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</si>
  <si>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</si>
  <si>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</si>
  <si>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</si>
  <si>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</si>
  <si>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</si>
  <si>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</si>
  <si>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</si>
  <si>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</si>
  <si>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</si>
  <si>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</si>
  <si>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</si>
  <si>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</si>
  <si>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</si>
  <si>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</si>
  <si>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</si>
  <si>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</si>
  <si>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</si>
  <si>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</si>
  <si>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</si>
  <si>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</si>
  <si>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</si>
  <si>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</si>
  <si>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</si>
  <si>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</si>
  <si>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</si>
  <si>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</si>
  <si>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</si>
  <si>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</si>
  <si>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</si>
  <si>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</si>
  <si>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</si>
  <si>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</si>
  <si>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</si>
  <si>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</si>
  <si>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</si>
  <si>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</si>
  <si>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</si>
  <si>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</si>
  <si>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</si>
  <si>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</si>
  <si>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</si>
  <si>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</si>
  <si>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</si>
  <si>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</si>
  <si>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</si>
  <si>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</si>
  <si>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</si>
  <si>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</si>
  <si>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</si>
  <si>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</si>
  <si>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</si>
  <si>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</si>
  <si>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</si>
  <si>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</si>
  <si>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</si>
  <si>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</si>
  <si>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</si>
  <si>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</si>
  <si>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</si>
  <si>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</si>
  <si>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</si>
  <si>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</si>
  <si>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</si>
  <si>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</si>
  <si>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</si>
  <si>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</si>
  <si>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</si>
  <si>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</si>
  <si>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</si>
  <si>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</si>
  <si>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</si>
  <si>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</si>
  <si>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</si>
  <si>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</si>
  <si>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</si>
  <si>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</si>
  <si>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</si>
  <si>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</si>
  <si>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</si>
  <si>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</si>
  <si>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</si>
  <si>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</si>
  <si>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</si>
  <si>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</si>
  <si>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</si>
  <si>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</si>
  <si>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</si>
  <si>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</si>
  <si>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</si>
  <si>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</si>
  <si>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</si>
  <si>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</si>
  <si>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</si>
  <si>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</si>
  <si>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</si>
  <si>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</si>
  <si>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</si>
  <si>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</si>
  <si>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</si>
  <si>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</si>
  <si>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</si>
  <si>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</si>
  <si>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</si>
  <si>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</si>
  <si>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</si>
  <si>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</si>
  <si>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</si>
  <si>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</si>
  <si>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</si>
  <si>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</si>
  <si>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</si>
  <si>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</si>
  <si>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</si>
  <si>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</si>
  <si>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</si>
  <si>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</si>
  <si>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</si>
  <si>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</si>
  <si>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</si>
  <si>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</si>
  <si>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</si>
  <si>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</si>
  <si>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</si>
  <si>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</si>
  <si>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</si>
  <si>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</si>
  <si>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</si>
  <si>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</si>
  <si>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</si>
  <si>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</si>
  <si>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</si>
  <si>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</si>
  <si>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</si>
  <si>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</si>
  <si>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</si>
  <si>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</si>
  <si>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</si>
  <si>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</si>
  <si>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</si>
  <si>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</si>
  <si>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</si>
  <si>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</si>
  <si>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</si>
  <si>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</si>
  <si>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</si>
  <si>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</si>
  <si>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</si>
  <si>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</si>
  <si>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</si>
  <si>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</si>
  <si>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</si>
  <si>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</si>
  <si>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</si>
  <si>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</si>
  <si>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</si>
  <si>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</si>
  <si>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</si>
  <si>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</si>
  <si>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</si>
  <si>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</si>
  <si>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</si>
  <si>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</si>
  <si>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</si>
  <si>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</si>
  <si>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</si>
  <si>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</si>
  <si>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</si>
  <si>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</si>
  <si>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</si>
  <si>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</si>
  <si>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</si>
  <si>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</si>
  <si>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</si>
  <si>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</si>
  <si>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</si>
  <si>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</si>
  <si>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</si>
  <si>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</si>
  <si>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</si>
  <si>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</si>
  <si>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</si>
  <si>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</si>
  <si>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</si>
  <si>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</si>
  <si>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</si>
  <si>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</si>
  <si>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</si>
  <si>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</si>
  <si>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</si>
  <si>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</si>
  <si>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</si>
  <si>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</si>
  <si>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</si>
  <si>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</si>
  <si>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</si>
  <si>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</si>
  <si>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</si>
  <si>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</si>
  <si>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</si>
  <si>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</si>
  <si>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</si>
  <si>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</si>
  <si>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</si>
  <si>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</si>
  <si>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</si>
  <si>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</si>
  <si>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</si>
  <si>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</si>
  <si>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</si>
  <si>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</si>
  <si>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</si>
  <si>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</si>
  <si>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</si>
  <si>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</si>
  <si>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</si>
  <si>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</si>
  <si>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</si>
  <si>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</si>
  <si>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</si>
  <si>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</si>
  <si>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</si>
  <si>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</si>
  <si>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</si>
  <si>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</si>
  <si>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</si>
  <si>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</si>
  <si>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</si>
  <si>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</si>
  <si>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</si>
  <si>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</si>
  <si>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</si>
  <si>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</si>
  <si>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</si>
  <si>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</si>
  <si>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</si>
  <si>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</si>
  <si>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</si>
  <si>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</si>
  <si>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</si>
  <si>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</si>
  <si>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</si>
  <si>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</si>
  <si>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</si>
  <si>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</si>
  <si>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</si>
  <si>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</si>
  <si>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</si>
  <si>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</si>
  <si>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</si>
  <si>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</si>
  <si>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</si>
  <si>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</si>
  <si>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</si>
  <si>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</si>
  <si>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</si>
  <si>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</si>
  <si>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</si>
  <si>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</si>
  <si>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</si>
  <si>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</si>
  <si>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</si>
  <si>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</si>
  <si>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</si>
  <si>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</si>
  <si>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</si>
  <si>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</si>
  <si>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</si>
  <si>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</si>
  <si>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</si>
  <si>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</si>
  <si>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</si>
  <si>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</si>
  <si>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</si>
  <si>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</si>
  <si>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</si>
  <si>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</si>
  <si>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</si>
  <si>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</si>
  <si>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</si>
  <si>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</si>
  <si>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</si>
  <si>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</si>
  <si>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</si>
  <si>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</si>
  <si>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</si>
  <si>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</si>
  <si>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</si>
  <si>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</si>
  <si>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</si>
  <si>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</si>
  <si>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</si>
  <si>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</si>
  <si>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</si>
  <si>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</si>
  <si>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</si>
  <si>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</si>
  <si>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</si>
  <si>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</si>
  <si>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</si>
  <si>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</si>
  <si>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</si>
  <si>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</si>
  <si>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</si>
  <si>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</si>
  <si>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</si>
  <si>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</si>
  <si>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</si>
  <si>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</si>
  <si>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</si>
  <si>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</si>
  <si>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</si>
  <si>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</si>
  <si>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</si>
  <si>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</si>
  <si>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</si>
  <si>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</si>
  <si>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</si>
  <si>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</si>
  <si>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</si>
  <si>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</si>
  <si>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</si>
  <si>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</si>
  <si>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</si>
  <si>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</si>
  <si>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</si>
  <si>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</si>
  <si>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</si>
  <si>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</si>
  <si>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</si>
  <si>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</si>
  <si>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</si>
  <si>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</si>
  <si>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</si>
  <si>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</si>
  <si>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</si>
  <si>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</si>
  <si>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</si>
  <si>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</si>
  <si>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</si>
  <si>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</si>
  <si>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</si>
  <si>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</si>
  <si>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</si>
  <si>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</si>
  <si>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</si>
  <si>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</si>
  <si>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</si>
  <si>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</si>
  <si>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</si>
  <si>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</si>
  <si>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</si>
  <si>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</si>
  <si>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</si>
  <si>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</si>
  <si>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</si>
  <si>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</si>
  <si>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</si>
  <si>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</si>
  <si>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</si>
  <si>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</si>
  <si>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</si>
  <si>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</si>
  <si>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</si>
  <si>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</si>
  <si>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</si>
  <si>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</si>
  <si>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</si>
  <si>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</si>
  <si>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</si>
  <si>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</si>
  <si>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</si>
  <si>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</si>
  <si>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</si>
  <si>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</si>
  <si>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</si>
  <si>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</si>
  <si>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</si>
  <si>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</si>
  <si>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</si>
  <si>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</si>
  <si>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</si>
  <si>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</si>
  <si>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</si>
  <si>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</si>
  <si>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</si>
  <si>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</si>
  <si>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</si>
  <si>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</si>
  <si>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</si>
  <si>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</si>
  <si>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</si>
  <si>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</si>
  <si>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</si>
  <si>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</si>
  <si>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</si>
  <si>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</si>
  <si>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</si>
  <si>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</si>
  <si>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</si>
  <si>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</si>
  <si>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</si>
  <si>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</si>
  <si>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</si>
  <si>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</si>
  <si>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</si>
  <si>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</si>
  <si>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</si>
  <si>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</si>
  <si>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</si>
  <si>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</si>
  <si>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</si>
  <si>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</si>
  <si>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</si>
  <si>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</si>
  <si>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</si>
  <si>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</si>
  <si>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</si>
  <si>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</si>
  <si>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</si>
  <si>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</si>
  <si>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</si>
  <si>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</si>
  <si>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</si>
  <si>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</si>
  <si>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</si>
  <si>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</si>
  <si>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</si>
  <si>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</si>
  <si>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</si>
  <si>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</si>
  <si>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</si>
  <si>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</si>
  <si>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</si>
  <si>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</si>
  <si>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</si>
  <si>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</si>
  <si>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</si>
  <si>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</si>
  <si>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</si>
  <si>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</si>
  <si>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</si>
  <si>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</si>
  <si>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</si>
  <si>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</si>
  <si>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</si>
  <si>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</si>
  <si>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</si>
  <si>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</si>
  <si>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</si>
  <si>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</si>
  <si>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</si>
  <si>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</si>
  <si>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</si>
  <si>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</si>
  <si>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</si>
  <si>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</si>
  <si>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</si>
  <si>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</si>
  <si>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</si>
  <si>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</si>
  <si>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</si>
  <si>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</si>
  <si>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</si>
  <si>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</si>
  <si>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</si>
  <si>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</si>
  <si>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</si>
  <si>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</si>
  <si>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</si>
  <si>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</si>
  <si>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</si>
  <si>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</si>
  <si>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</si>
  <si>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</si>
  <si>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</si>
  <si>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</si>
  <si>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</si>
  <si>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</si>
  <si>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</si>
  <si>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</si>
  <si>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</si>
  <si>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</si>
  <si>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</si>
  <si>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</si>
  <si>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</si>
  <si>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</si>
  <si>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</si>
  <si>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whmx2024</t>
    <phoneticPr fontId="2" type="noConversion"/>
  </si>
  <si>
    <t>whmx0419</t>
    <phoneticPr fontId="2" type="noConversion"/>
  </si>
  <si>
    <t>whmxguyu</t>
    <phoneticPr fontId="2" type="noConversion"/>
  </si>
  <si>
    <t>guyu0419</t>
    <phoneticPr fontId="2" type="noConversion"/>
  </si>
  <si>
    <t>冬谷幣*50000</t>
    <phoneticPr fontId="2" type="noConversion"/>
  </si>
  <si>
    <t>多稜灰珀*100</t>
    <phoneticPr fontId="2" type="noConversion"/>
  </si>
  <si>
    <t>高級社會指南*5</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</si>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</sst>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4" fillId="0" borderId="0" xfId="0" applyFont="1"/>
    <xf numFmtId="0" fontId="25" fillId="0" borderId="0" xfId="0" applyFont="1"/>
    <xf numFmtId="0" fontId="26" fillId="0" borderId="0" xfId="0" applyFont="1"/>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E226" activePane="bottomRight" state="frozen"/>
      <selection pane="topRight" activeCell="B1" sqref="B1"/>
      <selection pane="bottomLeft" activeCell="A2" sqref="A2"/>
      <selection pane="bottomRight" activeCell="K231" sqref="K231"/>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7409</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7"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7"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7"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29"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7"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7"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29"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29"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29"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7"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7"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29"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29"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29"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29"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29"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29"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29"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29"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29"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29"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29"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29"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29"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29"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29"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2.5" customHeight="1" thickBot="1">
      <c r="A224" s="129"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2.5" customHeight="1" thickBot="1">
      <c r="A227" s="127"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2.5" customHeight="1" thickBot="1">
      <c r="A228" s="127"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2.5" customHeight="1" thickBot="1">
      <c r="A229" s="129"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2.5" customHeight="1" thickBot="1">
      <c r="A232" s="129"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2.5" customHeight="1" thickBot="1">
      <c r="A233" s="129"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29"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3"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 t="s">
        <v>5950</v>
      </c>
      <c r="M326" s="27">
        <v>2813</v>
      </c>
      <c r="N326" s="1" t="s">
        <v>5951</v>
      </c>
      <c r="O326" s="27">
        <v>1459</v>
      </c>
      <c r="P326" s="1" t="s">
        <v>5952</v>
      </c>
      <c r="Q326" s="27">
        <v>854</v>
      </c>
      <c r="R326" s="1" t="s">
        <v>5953</v>
      </c>
      <c r="S326" s="27">
        <v>725</v>
      </c>
      <c r="T326" s="1" t="s">
        <v>5954</v>
      </c>
      <c r="U326" s="27">
        <v>578</v>
      </c>
      <c r="V326" s="1" t="s">
        <v>5955</v>
      </c>
      <c r="W326" s="27">
        <v>423</v>
      </c>
      <c r="X326" s="1" t="s">
        <v>5956</v>
      </c>
      <c r="Y326" s="27">
        <v>285</v>
      </c>
      <c r="Z326" s="1" t="s">
        <v>5957</v>
      </c>
      <c r="AA326" s="27">
        <v>149</v>
      </c>
      <c r="AB326" s="1" t="s">
        <v>5958</v>
      </c>
      <c r="AC326" s="27">
        <v>29</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2.5" customHeight="1" thickBot="1">
      <c r="A332" s="132"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2.5" customHeight="1" thickBot="1">
      <c r="A333" s="132"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2.5" customHeight="1" thickBot="1">
      <c r="A334" s="131"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2.5" customHeight="1" thickBot="1">
      <c r="A335" s="131"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2.5" customHeight="1" thickBot="1">
      <c r="A336" s="131"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2.5" customHeight="1" thickBot="1">
      <c r="A337" s="131"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2.5" customHeight="1" thickBot="1">
      <c r="A338" s="131"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2.5" customHeight="1" thickBot="1">
      <c r="A339" s="132"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4" t="s">
        <v>7448</v>
      </c>
      <c r="M339" s="125">
        <v>1997</v>
      </c>
      <c r="N339" s="124" t="s">
        <v>7449</v>
      </c>
      <c r="O339" s="125">
        <v>1108</v>
      </c>
      <c r="P339" s="124" t="s">
        <v>7450</v>
      </c>
      <c r="Q339" s="125">
        <v>663</v>
      </c>
      <c r="R339" s="124" t="s">
        <v>7451</v>
      </c>
      <c r="S339" s="125">
        <v>204</v>
      </c>
      <c r="T339" s="124" t="s">
        <v>7452</v>
      </c>
      <c r="U339" s="125">
        <v>65</v>
      </c>
      <c r="V339" s="124" t="s">
        <v>7453</v>
      </c>
      <c r="W339" s="125">
        <v>23</v>
      </c>
      <c r="X339" s="124" t="s">
        <v>7454</v>
      </c>
      <c r="Y339" s="125">
        <v>204</v>
      </c>
      <c r="Z339" s="124" t="s">
        <v>7455</v>
      </c>
      <c r="AA339" s="125">
        <v>162</v>
      </c>
      <c r="AB339" s="41"/>
      <c r="AC339" s="42"/>
    </row>
    <row r="340" spans="1:31" ht="22.5" customHeight="1" thickBot="1">
      <c r="A340" s="131"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2.5" customHeight="1" thickBot="1">
      <c r="A341" s="131"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2.5" customHeight="1" thickBot="1">
      <c r="A342" s="131"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2.5" customHeight="1" thickBot="1">
      <c r="A343" s="131" t="s">
        <v>7410</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2.5" customHeight="1" thickBot="1">
      <c r="A344" s="127"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2.5" customHeight="1" thickBot="1">
      <c r="A345" s="127"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2.5" customHeight="1" thickBot="1">
      <c r="A346" s="127"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2.5" customHeight="1" thickBot="1">
      <c r="A347" s="131" t="s">
        <v>7411</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2.5" customHeight="1" thickBot="1">
      <c r="A348" s="131"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2.5" customHeight="1" thickBot="1">
      <c r="A349" s="131"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7412</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2.5" customHeight="1" thickBot="1">
      <c r="A350" s="131"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2.5" customHeight="1" thickBot="1">
      <c r="A351" s="131" t="s">
        <v>7413</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2.5" customHeight="1" thickBot="1">
      <c r="A352" s="127"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2.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2.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2.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2.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7414</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2.5" customHeight="1" thickBot="1">
      <c r="A357" s="42" t="s">
        <v>7415</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2.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2.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2.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2.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2.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2.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2.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2.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2.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2.5" customHeight="1" thickBot="1">
      <c r="A367" s="42" t="s">
        <v>6772</v>
      </c>
      <c r="C367" s="9" t="s">
        <v>6791</v>
      </c>
      <c r="D367" s="10" t="s">
        <v>6790</v>
      </c>
      <c r="E367" s="10" t="s">
        <v>6789</v>
      </c>
      <c r="F367" s="9" t="str">
        <f t="shared" ref="F367:F428" si="16">IF(A367="", "", "gift-codes.html?game=" &amp; A367)</f>
        <v>gift-codes.html?game=魔女的傳說</v>
      </c>
      <c r="G367" s="10" t="s">
        <v>6788</v>
      </c>
      <c r="H367" s="10" t="str">
        <f t="shared" ref="H367:H428"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2.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2.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2.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2.5" customHeight="1" thickBot="1">
      <c r="A371" s="127"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2.5" customHeight="1" thickBot="1">
      <c r="A372" s="127"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2.5" customHeight="1" thickBot="1">
      <c r="A373" s="127"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2.5" customHeight="1" thickBot="1">
      <c r="A374" s="127"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2.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2.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2.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2.5" customHeight="1" thickBot="1">
      <c r="A378" s="137" t="s">
        <v>7416</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2.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2813</v>
      </c>
      <c r="N379" s="1" t="s">
        <v>5951</v>
      </c>
      <c r="O379" s="27">
        <v>1459</v>
      </c>
      <c r="P379" s="1" t="s">
        <v>5952</v>
      </c>
      <c r="Q379" s="27">
        <v>854</v>
      </c>
      <c r="R379" s="1" t="s">
        <v>5953</v>
      </c>
      <c r="S379" s="27">
        <v>725</v>
      </c>
      <c r="T379" s="1" t="s">
        <v>5954</v>
      </c>
      <c r="U379" s="27">
        <v>578</v>
      </c>
      <c r="V379" s="1" t="s">
        <v>5955</v>
      </c>
      <c r="W379" s="27">
        <v>423</v>
      </c>
      <c r="X379" s="1" t="s">
        <v>5956</v>
      </c>
      <c r="Y379" s="27">
        <v>285</v>
      </c>
      <c r="Z379" s="1" t="s">
        <v>5957</v>
      </c>
      <c r="AA379" s="27">
        <v>149</v>
      </c>
      <c r="AB379" s="1" t="s">
        <v>5958</v>
      </c>
      <c r="AC379" s="27">
        <v>29</v>
      </c>
    </row>
    <row r="380" spans="1:38" ht="22.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2.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2.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2.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2.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2.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2.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2.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2.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2813</v>
      </c>
      <c r="N388" s="1" t="s">
        <v>5951</v>
      </c>
      <c r="O388" s="27">
        <v>1459</v>
      </c>
      <c r="P388" s="1" t="s">
        <v>5952</v>
      </c>
      <c r="Q388" s="27">
        <v>854</v>
      </c>
      <c r="R388" s="1" t="s">
        <v>5953</v>
      </c>
      <c r="S388" s="27">
        <v>725</v>
      </c>
      <c r="T388" s="1" t="s">
        <v>5954</v>
      </c>
      <c r="U388" s="27">
        <v>578</v>
      </c>
      <c r="V388" s="1" t="s">
        <v>5955</v>
      </c>
      <c r="W388" s="27">
        <v>423</v>
      </c>
      <c r="X388" s="1" t="s">
        <v>5956</v>
      </c>
      <c r="Y388" s="27">
        <v>285</v>
      </c>
      <c r="Z388" s="1" t="s">
        <v>5957</v>
      </c>
      <c r="AA388" s="27">
        <v>149</v>
      </c>
      <c r="AB388" s="1" t="s">
        <v>5958</v>
      </c>
      <c r="AC388" s="27">
        <v>29</v>
      </c>
    </row>
    <row r="389" spans="1:37" ht="22.5" customHeight="1" thickBot="1">
      <c r="A389" s="42" t="s">
        <v>7417</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2.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2.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2.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2813</v>
      </c>
      <c r="N392" s="1" t="s">
        <v>5951</v>
      </c>
      <c r="O392" s="27">
        <v>1459</v>
      </c>
      <c r="P392" s="1" t="s">
        <v>5952</v>
      </c>
      <c r="Q392" s="27">
        <v>854</v>
      </c>
      <c r="R392" s="1" t="s">
        <v>5953</v>
      </c>
      <c r="S392" s="27">
        <v>725</v>
      </c>
      <c r="T392" s="1" t="s">
        <v>5954</v>
      </c>
      <c r="U392" s="27">
        <v>578</v>
      </c>
      <c r="V392" s="1" t="s">
        <v>5955</v>
      </c>
      <c r="W392" s="27">
        <v>423</v>
      </c>
      <c r="X392" s="1" t="s">
        <v>5956</v>
      </c>
      <c r="Y392" s="27">
        <v>285</v>
      </c>
      <c r="Z392" s="1" t="s">
        <v>5957</v>
      </c>
      <c r="AA392" s="27">
        <v>149</v>
      </c>
      <c r="AB392" s="1" t="s">
        <v>5958</v>
      </c>
      <c r="AC392" s="27">
        <v>29</v>
      </c>
    </row>
    <row r="393" spans="1:37" ht="22.5" customHeight="1" thickBot="1">
      <c r="A393" s="127"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7396</v>
      </c>
      <c r="M393" s="42">
        <v>2983</v>
      </c>
      <c r="N393" s="41" t="s">
        <v>7397</v>
      </c>
      <c r="O393" s="42">
        <v>1534</v>
      </c>
      <c r="P393" s="41" t="s">
        <v>7398</v>
      </c>
      <c r="Q393" s="42">
        <v>458</v>
      </c>
      <c r="R393" s="41" t="s">
        <v>7399</v>
      </c>
      <c r="S393" s="42">
        <v>411</v>
      </c>
      <c r="T393" s="41" t="s">
        <v>7400</v>
      </c>
      <c r="U393" s="42">
        <v>145</v>
      </c>
      <c r="V393" s="41" t="s">
        <v>7401</v>
      </c>
      <c r="W393" s="42">
        <v>87</v>
      </c>
      <c r="X393" s="41" t="s">
        <v>7402</v>
      </c>
      <c r="Y393" s="42">
        <v>48</v>
      </c>
      <c r="Z393" s="41"/>
      <c r="AA393" s="42"/>
      <c r="AB393" s="41"/>
      <c r="AC393" s="42"/>
    </row>
    <row r="394" spans="1:37" ht="22.5" customHeight="1" thickBot="1">
      <c r="A394" s="127"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2.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2.5" customHeight="1" thickBot="1">
      <c r="A396" s="42" t="s">
        <v>7418</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2.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2.5" customHeight="1" thickBot="1">
      <c r="A398" s="42" t="s">
        <v>7330</v>
      </c>
      <c r="E398" s="10" t="s">
        <v>7318</v>
      </c>
      <c r="F398" s="9" t="str">
        <f t="shared" si="16"/>
        <v>gift-codes.html?game=K-Demon Hunter</v>
      </c>
      <c r="G398" s="40" t="s">
        <v>7331</v>
      </c>
      <c r="H398" s="10" t="str">
        <f t="shared" si="17"/>
        <v>https://www.ssbuy.tw/game-detail.html?game=K-Demon Hunter</v>
      </c>
      <c r="I398" s="11" t="s">
        <v>7350</v>
      </c>
      <c r="J398" s="40" t="s">
        <v>5422</v>
      </c>
      <c r="K398" s="43" t="s">
        <v>5450</v>
      </c>
      <c r="L398" s="41" t="s">
        <v>7344</v>
      </c>
      <c r="M398" s="42">
        <v>2241</v>
      </c>
      <c r="N398" s="41" t="s">
        <v>7345</v>
      </c>
      <c r="O398" s="42">
        <v>1071</v>
      </c>
      <c r="P398" s="41" t="s">
        <v>7346</v>
      </c>
      <c r="Q398" s="42">
        <v>531</v>
      </c>
      <c r="R398" s="41" t="s">
        <v>7347</v>
      </c>
      <c r="S398" s="42">
        <v>205</v>
      </c>
      <c r="T398" s="41" t="s">
        <v>7348</v>
      </c>
      <c r="U398" s="42">
        <v>112</v>
      </c>
      <c r="V398" s="41" t="s">
        <v>7349</v>
      </c>
      <c r="W398" s="42">
        <v>28</v>
      </c>
    </row>
    <row r="399" spans="1:37" ht="22.5" customHeight="1" thickBot="1">
      <c r="A399" s="42" t="s">
        <v>7332</v>
      </c>
      <c r="C399" s="9" t="s">
        <v>7294</v>
      </c>
      <c r="E399" s="10" t="s">
        <v>7319</v>
      </c>
      <c r="F399" s="9" t="str">
        <f t="shared" si="16"/>
        <v>gift-codes.html?game=傾世仙姬</v>
      </c>
      <c r="G399" s="40" t="s">
        <v>7333</v>
      </c>
      <c r="H399" s="10" t="str">
        <f t="shared" si="17"/>
        <v>https://www.ssbuy.tw/game-detail.html?game=傾世仙姬</v>
      </c>
      <c r="I399" s="11" t="s">
        <v>7351</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2.5" customHeight="1" thickBot="1">
      <c r="A400" s="127" t="s">
        <v>7334</v>
      </c>
      <c r="C400" s="9" t="s">
        <v>7320</v>
      </c>
      <c r="D400" s="10" t="s">
        <v>7321</v>
      </c>
      <c r="E400" s="10" t="s">
        <v>7292</v>
      </c>
      <c r="F400" s="9" t="str">
        <f t="shared" si="16"/>
        <v>gift-codes.html?game=生化危機 生存兵種</v>
      </c>
      <c r="G400" s="40" t="s">
        <v>7335</v>
      </c>
      <c r="H400" s="10" t="str">
        <f t="shared" si="17"/>
        <v>https://www.ssbuy.tw/game-detail.html?game=生化危機 生存兵種</v>
      </c>
      <c r="I400" s="11" t="s">
        <v>7352</v>
      </c>
      <c r="J400" s="40" t="s">
        <v>5422</v>
      </c>
      <c r="K400" s="43" t="s">
        <v>5450</v>
      </c>
      <c r="L400" s="1" t="s">
        <v>5950</v>
      </c>
      <c r="M400" s="27">
        <v>2813</v>
      </c>
      <c r="N400" s="1" t="s">
        <v>5951</v>
      </c>
      <c r="O400" s="27">
        <v>1459</v>
      </c>
      <c r="P400" s="1" t="s">
        <v>5952</v>
      </c>
      <c r="Q400" s="27">
        <v>854</v>
      </c>
      <c r="R400" s="1" t="s">
        <v>5953</v>
      </c>
      <c r="S400" s="27">
        <v>725</v>
      </c>
      <c r="T400" s="1" t="s">
        <v>5954</v>
      </c>
      <c r="U400" s="27">
        <v>578</v>
      </c>
      <c r="V400" s="1" t="s">
        <v>5955</v>
      </c>
      <c r="W400" s="27">
        <v>423</v>
      </c>
      <c r="X400" s="1" t="s">
        <v>5956</v>
      </c>
      <c r="Y400" s="27">
        <v>285</v>
      </c>
      <c r="Z400" s="1" t="s">
        <v>5957</v>
      </c>
      <c r="AA400" s="27">
        <v>149</v>
      </c>
      <c r="AB400" s="1" t="s">
        <v>5958</v>
      </c>
      <c r="AC400" s="27">
        <v>29</v>
      </c>
    </row>
    <row r="401" spans="1:31" ht="22.5" customHeight="1" thickBot="1">
      <c r="A401" s="127" t="s">
        <v>7336</v>
      </c>
      <c r="C401" s="9" t="s">
        <v>7323</v>
      </c>
      <c r="D401" s="10" t="s">
        <v>7322</v>
      </c>
      <c r="E401" s="10" t="s">
        <v>7293</v>
      </c>
      <c r="F401" s="9" t="str">
        <f t="shared" si="16"/>
        <v>gift-codes.html?game=魔法門：命運</v>
      </c>
      <c r="G401" s="40" t="s">
        <v>7337</v>
      </c>
      <c r="H401" s="10" t="str">
        <f t="shared" si="17"/>
        <v>https://www.ssbuy.tw/game-detail.html?game=魔法門：命運</v>
      </c>
      <c r="I401" s="11" t="s">
        <v>7353</v>
      </c>
      <c r="J401" s="40" t="s">
        <v>5422</v>
      </c>
      <c r="K401" s="43" t="s">
        <v>5450</v>
      </c>
      <c r="L401" s="124" t="s">
        <v>7461</v>
      </c>
      <c r="M401" s="125">
        <v>2689</v>
      </c>
      <c r="N401" s="124" t="s">
        <v>7462</v>
      </c>
      <c r="O401" s="125">
        <v>1353</v>
      </c>
      <c r="P401" s="124" t="s">
        <v>7463</v>
      </c>
      <c r="Q401" s="125">
        <v>717</v>
      </c>
      <c r="R401" s="124" t="s">
        <v>7464</v>
      </c>
      <c r="S401" s="125">
        <v>445</v>
      </c>
      <c r="T401" s="124" t="s">
        <v>7465</v>
      </c>
      <c r="U401" s="125">
        <v>291</v>
      </c>
      <c r="V401" s="124" t="s">
        <v>6</v>
      </c>
      <c r="W401" s="125">
        <v>139</v>
      </c>
      <c r="Y401" s="42"/>
      <c r="Z401" s="41"/>
      <c r="AA401" s="42"/>
      <c r="AB401" s="41"/>
      <c r="AC401" s="42"/>
    </row>
    <row r="402" spans="1:31" ht="22.5" customHeight="1" thickBot="1">
      <c r="A402" s="127" t="s">
        <v>7338</v>
      </c>
      <c r="C402" s="9" t="s">
        <v>7325</v>
      </c>
      <c r="D402" s="10" t="s">
        <v>7324</v>
      </c>
      <c r="E402" s="10" t="s">
        <v>7291</v>
      </c>
      <c r="F402" s="9" t="str">
        <f t="shared" si="16"/>
        <v>gift-codes.html?game=HUNTER×HUNTER NEN×SURVIVOR</v>
      </c>
      <c r="G402" s="40" t="s">
        <v>7339</v>
      </c>
      <c r="H402" s="10" t="str">
        <f t="shared" si="17"/>
        <v>https://www.ssbuy.tw/game-detail.html?game=HUNTER×HUNTER NEN×SURVIVOR</v>
      </c>
      <c r="I402" s="11" t="s">
        <v>7354</v>
      </c>
      <c r="J402" s="40" t="s">
        <v>5422</v>
      </c>
      <c r="K402" s="43" t="s">
        <v>5450</v>
      </c>
      <c r="L402" s="1" t="s">
        <v>5950</v>
      </c>
      <c r="M402" s="27">
        <v>2813</v>
      </c>
      <c r="N402" s="1" t="s">
        <v>5951</v>
      </c>
      <c r="O402" s="27">
        <v>1459</v>
      </c>
      <c r="P402" s="1" t="s">
        <v>5952</v>
      </c>
      <c r="Q402" s="27">
        <v>854</v>
      </c>
      <c r="R402" s="1" t="s">
        <v>5953</v>
      </c>
      <c r="S402" s="27">
        <v>725</v>
      </c>
      <c r="T402" s="1" t="s">
        <v>5954</v>
      </c>
      <c r="U402" s="27">
        <v>578</v>
      </c>
      <c r="V402" s="1" t="s">
        <v>5955</v>
      </c>
      <c r="W402" s="27">
        <v>423</v>
      </c>
      <c r="X402" s="1" t="s">
        <v>5956</v>
      </c>
      <c r="Y402" s="27">
        <v>285</v>
      </c>
      <c r="Z402" s="1" t="s">
        <v>5957</v>
      </c>
      <c r="AA402" s="27">
        <v>149</v>
      </c>
      <c r="AB402" s="1" t="s">
        <v>5958</v>
      </c>
      <c r="AC402" s="27">
        <v>29</v>
      </c>
    </row>
    <row r="403" spans="1:31" ht="22.5" customHeight="1" thickBot="1">
      <c r="A403" s="127" t="s">
        <v>7340</v>
      </c>
      <c r="C403" s="9" t="s">
        <v>7295</v>
      </c>
      <c r="D403" s="10" t="s">
        <v>7300</v>
      </c>
      <c r="E403" s="10" t="s">
        <v>7299</v>
      </c>
      <c r="F403" s="9" t="str">
        <f t="shared" si="16"/>
        <v>gift-codes.html?game=喵喵特工隊</v>
      </c>
      <c r="G403" s="40" t="s">
        <v>7341</v>
      </c>
      <c r="H403" s="10" t="str">
        <f t="shared" si="17"/>
        <v>https://www.ssbuy.tw/game-detail.html?game=喵喵特工隊</v>
      </c>
      <c r="I403" s="11" t="s">
        <v>7355</v>
      </c>
      <c r="J403" s="40" t="s">
        <v>5422</v>
      </c>
      <c r="K403" s="43" t="s">
        <v>5450</v>
      </c>
      <c r="L403" s="124" t="s">
        <v>4</v>
      </c>
      <c r="M403" s="125">
        <v>3019</v>
      </c>
      <c r="N403" s="124" t="s">
        <v>5</v>
      </c>
      <c r="O403" s="125">
        <v>1580</v>
      </c>
      <c r="P403" s="124" t="s">
        <v>17</v>
      </c>
      <c r="Q403" s="125">
        <v>645</v>
      </c>
      <c r="R403" s="124" t="s">
        <v>163</v>
      </c>
      <c r="S403" s="125">
        <v>309</v>
      </c>
      <c r="T403" s="124" t="s">
        <v>6</v>
      </c>
      <c r="U403" s="125">
        <v>165</v>
      </c>
      <c r="V403" s="124" t="s">
        <v>164</v>
      </c>
      <c r="W403" s="125">
        <v>32</v>
      </c>
      <c r="X403" s="124" t="s">
        <v>7419</v>
      </c>
      <c r="Y403" s="125">
        <v>926</v>
      </c>
      <c r="Z403" s="124" t="s">
        <v>1311</v>
      </c>
      <c r="AA403" s="125">
        <v>165</v>
      </c>
      <c r="AB403" s="124" t="s">
        <v>5329</v>
      </c>
      <c r="AC403" s="125">
        <v>97</v>
      </c>
      <c r="AD403" s="124" t="s">
        <v>6367</v>
      </c>
      <c r="AE403" s="125">
        <v>165</v>
      </c>
    </row>
    <row r="404" spans="1:31" ht="22.5" customHeight="1" thickBot="1">
      <c r="A404" s="127" t="s">
        <v>7342</v>
      </c>
      <c r="C404" s="9" t="s">
        <v>7328</v>
      </c>
      <c r="D404" s="10" t="s">
        <v>7329</v>
      </c>
      <c r="E404" s="10" t="s">
        <v>7326</v>
      </c>
      <c r="F404" s="9" t="str">
        <f t="shared" si="16"/>
        <v>gift-codes.html?game=千年3D：經典重生</v>
      </c>
      <c r="G404" s="40" t="s">
        <v>7343</v>
      </c>
      <c r="H404" s="10" t="str">
        <f t="shared" si="17"/>
        <v>https://www.ssbuy.tw/game-detail.html?game=千年3D：經典重生</v>
      </c>
      <c r="I404" s="11" t="s">
        <v>7356</v>
      </c>
      <c r="J404" s="40" t="s">
        <v>5422</v>
      </c>
      <c r="K404" s="43" t="s">
        <v>5450</v>
      </c>
      <c r="L404" s="124" t="s">
        <v>235</v>
      </c>
      <c r="M404" s="125">
        <v>2689</v>
      </c>
      <c r="N404" s="124" t="s">
        <v>236</v>
      </c>
      <c r="O404" s="125">
        <v>1353</v>
      </c>
      <c r="P404" s="124" t="s">
        <v>1292</v>
      </c>
      <c r="Q404" s="125">
        <v>899</v>
      </c>
      <c r="R404" s="124" t="s">
        <v>237</v>
      </c>
      <c r="S404" s="125">
        <v>608</v>
      </c>
      <c r="T404" s="124" t="s">
        <v>1638</v>
      </c>
      <c r="U404" s="125">
        <v>445</v>
      </c>
      <c r="V404" s="124" t="s">
        <v>238</v>
      </c>
      <c r="W404" s="125">
        <v>300</v>
      </c>
      <c r="X404" s="124" t="s">
        <v>239</v>
      </c>
      <c r="Y404" s="125">
        <v>157</v>
      </c>
      <c r="Z404" s="124" t="s">
        <v>107</v>
      </c>
      <c r="AA404" s="125">
        <v>31</v>
      </c>
      <c r="AB404" s="124" t="s">
        <v>7447</v>
      </c>
      <c r="AC404" s="125">
        <v>899</v>
      </c>
    </row>
    <row r="405" spans="1:31" ht="22.5" customHeight="1" thickBot="1">
      <c r="A405" s="42" t="s">
        <v>7403</v>
      </c>
      <c r="C405" s="9" t="s">
        <v>7404</v>
      </c>
      <c r="D405" s="10" t="s">
        <v>7405</v>
      </c>
      <c r="E405" s="10" t="s">
        <v>7407</v>
      </c>
      <c r="F405" s="9" t="str">
        <f t="shared" si="16"/>
        <v>gift-codes.html?game=虹彩六號M</v>
      </c>
      <c r="G405" s="10" t="s">
        <v>7406</v>
      </c>
      <c r="H405" s="10" t="str">
        <f t="shared" si="17"/>
        <v>https://www.ssbuy.tw/game-detail.html?game=虹彩六號M</v>
      </c>
      <c r="I405" s="11" t="s">
        <v>7408</v>
      </c>
      <c r="J405" s="40" t="s">
        <v>5422</v>
      </c>
      <c r="K405" s="43" t="s">
        <v>5450</v>
      </c>
      <c r="L405" s="41" t="s">
        <v>5950</v>
      </c>
      <c r="M405" s="42">
        <v>2744</v>
      </c>
      <c r="N405" s="41" t="s">
        <v>5951</v>
      </c>
      <c r="O405" s="42">
        <v>1393</v>
      </c>
      <c r="P405" s="41" t="s">
        <v>5952</v>
      </c>
      <c r="Q405" s="42">
        <v>855</v>
      </c>
      <c r="R405" s="41" t="s">
        <v>5953</v>
      </c>
      <c r="S405" s="42">
        <v>726</v>
      </c>
      <c r="T405" s="41" t="s">
        <v>5954</v>
      </c>
      <c r="U405" s="42">
        <v>579</v>
      </c>
      <c r="V405" s="41" t="s">
        <v>5955</v>
      </c>
      <c r="W405" s="42">
        <v>423</v>
      </c>
      <c r="X405" s="41" t="s">
        <v>5956</v>
      </c>
      <c r="Y405" s="42">
        <v>285</v>
      </c>
      <c r="Z405" s="41" t="s">
        <v>5957</v>
      </c>
      <c r="AA405" s="42">
        <v>152</v>
      </c>
      <c r="AB405" s="41" t="s">
        <v>5958</v>
      </c>
      <c r="AC405" s="42">
        <v>30</v>
      </c>
    </row>
    <row r="406" spans="1:31" ht="22.5" customHeight="1" thickBot="1">
      <c r="A406" s="42" t="s">
        <v>7426</v>
      </c>
      <c r="C406" s="9" t="s">
        <v>7432</v>
      </c>
      <c r="D406" s="10" t="s">
        <v>7433</v>
      </c>
      <c r="E406" s="10" t="s">
        <v>7431</v>
      </c>
      <c r="F406" s="9" t="str">
        <f t="shared" si="16"/>
        <v>gift-codes.html?game=勇者來開團</v>
      </c>
      <c r="G406" s="10" t="s">
        <v>7437</v>
      </c>
      <c r="H406" s="10" t="str">
        <f t="shared" si="17"/>
        <v>https://www.ssbuy.tw/game-detail.html?game=勇者來開團</v>
      </c>
      <c r="I406" s="11" t="s">
        <v>7439</v>
      </c>
      <c r="J406" s="40" t="s">
        <v>5422</v>
      </c>
      <c r="K406" s="43" t="s">
        <v>5450</v>
      </c>
      <c r="L406" s="124" t="s">
        <v>7441</v>
      </c>
      <c r="M406" s="125">
        <v>2959</v>
      </c>
      <c r="N406" s="124" t="s">
        <v>7442</v>
      </c>
      <c r="O406" s="125">
        <v>1534</v>
      </c>
      <c r="P406" s="124" t="s">
        <v>7443</v>
      </c>
      <c r="Q406" s="125">
        <v>608</v>
      </c>
      <c r="R406" s="124" t="s">
        <v>7444</v>
      </c>
      <c r="S406" s="125">
        <v>300</v>
      </c>
      <c r="T406" s="124" t="s">
        <v>7445</v>
      </c>
      <c r="U406" s="125">
        <v>157</v>
      </c>
      <c r="V406" s="124" t="s">
        <v>7446</v>
      </c>
      <c r="W406" s="125">
        <v>31</v>
      </c>
    </row>
    <row r="407" spans="1:31" ht="22.5" customHeight="1" thickBot="1">
      <c r="A407" s="127" t="s">
        <v>7438</v>
      </c>
      <c r="C407" s="44" t="s">
        <v>7427</v>
      </c>
      <c r="D407" s="10" t="s">
        <v>7430</v>
      </c>
      <c r="E407" s="2" t="s">
        <v>7429</v>
      </c>
      <c r="F407" s="9" t="str">
        <f t="shared" si="16"/>
        <v>gift-codes.html?game=Medabots Survivors</v>
      </c>
      <c r="G407" s="2" t="s">
        <v>7428</v>
      </c>
      <c r="H407" s="10" t="str">
        <f t="shared" si="17"/>
        <v>https://www.ssbuy.tw/game-detail.html?game=Medabots Survivors</v>
      </c>
      <c r="I407" s="11" t="s">
        <v>7440</v>
      </c>
      <c r="J407" s="40" t="s">
        <v>5422</v>
      </c>
      <c r="K407" s="43" t="s">
        <v>5450</v>
      </c>
      <c r="L407" s="124" t="s">
        <v>3837</v>
      </c>
      <c r="M407" s="125">
        <v>2261</v>
      </c>
      <c r="N407" s="124" t="s">
        <v>7456</v>
      </c>
      <c r="O407" s="125">
        <v>1807</v>
      </c>
      <c r="P407" s="124" t="s">
        <v>7457</v>
      </c>
      <c r="Q407" s="125">
        <v>717</v>
      </c>
      <c r="R407" s="124" t="s">
        <v>7458</v>
      </c>
      <c r="S407" s="125">
        <v>536</v>
      </c>
      <c r="T407" s="124" t="s">
        <v>284</v>
      </c>
      <c r="U407" s="125">
        <v>176</v>
      </c>
      <c r="V407" s="124" t="s">
        <v>5252</v>
      </c>
      <c r="W407" s="125">
        <v>28</v>
      </c>
      <c r="X407" s="124" t="s">
        <v>7459</v>
      </c>
      <c r="Y407" s="125">
        <v>139</v>
      </c>
      <c r="Z407" s="124" t="s">
        <v>7460</v>
      </c>
      <c r="AA407" s="125">
        <v>291</v>
      </c>
    </row>
    <row r="408" spans="1:31" ht="22.5" customHeight="1" thickBot="1">
      <c r="A408" s="125" t="s">
        <v>7466</v>
      </c>
      <c r="C408" s="9" t="s">
        <v>7471</v>
      </c>
      <c r="D408" s="10" t="s">
        <v>7470</v>
      </c>
      <c r="E408" s="10" t="s">
        <v>7468</v>
      </c>
      <c r="F408" s="9" t="str">
        <f t="shared" si="16"/>
        <v>gift-codes.html?game=新三國志曹操傳</v>
      </c>
      <c r="G408" s="10" t="s">
        <v>7469</v>
      </c>
      <c r="H408" s="10" t="str">
        <f t="shared" si="17"/>
        <v>https://www.ssbuy.tw/game-detail.html?game=新三國志曹操傳</v>
      </c>
      <c r="I408" s="11" t="s">
        <v>7476</v>
      </c>
      <c r="J408" s="40" t="s">
        <v>5422</v>
      </c>
      <c r="K408" s="43" t="s">
        <v>5450</v>
      </c>
      <c r="L408" s="124" t="s">
        <v>7480</v>
      </c>
      <c r="M408" s="125">
        <v>9792</v>
      </c>
      <c r="N408" s="124" t="s">
        <v>7481</v>
      </c>
      <c r="O408" s="125">
        <v>6365</v>
      </c>
      <c r="P408" s="124" t="s">
        <v>7482</v>
      </c>
      <c r="Q408" s="125">
        <v>4896</v>
      </c>
      <c r="R408" s="124" t="s">
        <v>5497</v>
      </c>
      <c r="S408" s="125">
        <v>2868</v>
      </c>
      <c r="T408" s="124" t="s">
        <v>7483</v>
      </c>
      <c r="U408" s="125">
        <v>2207</v>
      </c>
      <c r="V408" s="124" t="s">
        <v>5498</v>
      </c>
      <c r="W408" s="125">
        <v>1492</v>
      </c>
      <c r="X408" s="124" t="s">
        <v>7484</v>
      </c>
      <c r="Y408" s="125">
        <v>1130</v>
      </c>
      <c r="Z408" s="124" t="s">
        <v>5499</v>
      </c>
      <c r="AA408" s="125">
        <v>874</v>
      </c>
      <c r="AB408" s="124" t="s">
        <v>7485</v>
      </c>
      <c r="AC408" s="125">
        <v>830</v>
      </c>
      <c r="AD408" s="124" t="s">
        <v>7486</v>
      </c>
      <c r="AE408" s="125">
        <v>538</v>
      </c>
    </row>
    <row r="409" spans="1:31" ht="22.5" customHeight="1" thickBot="1">
      <c r="A409" s="125" t="s">
        <v>7467</v>
      </c>
      <c r="C409" s="9" t="s">
        <v>7472</v>
      </c>
      <c r="D409" s="10" t="s">
        <v>7473</v>
      </c>
      <c r="E409" s="10" t="s">
        <v>7475</v>
      </c>
      <c r="F409" s="9" t="str">
        <f t="shared" si="16"/>
        <v>gift-codes.html?game=物華彌新</v>
      </c>
      <c r="G409" s="10" t="s">
        <v>7474</v>
      </c>
      <c r="H409" s="10" t="str">
        <f t="shared" si="17"/>
        <v>https://www.ssbuy.tw/game-detail.html?game=物華彌新</v>
      </c>
      <c r="I409" s="11" t="s">
        <v>7477</v>
      </c>
      <c r="J409" s="40" t="s">
        <v>5422</v>
      </c>
      <c r="K409" s="43" t="s">
        <v>5450</v>
      </c>
      <c r="L409" s="1" t="s">
        <v>5950</v>
      </c>
      <c r="M409" s="27">
        <v>2813</v>
      </c>
      <c r="N409" s="1" t="s">
        <v>5951</v>
      </c>
      <c r="O409" s="27">
        <v>1459</v>
      </c>
      <c r="P409" s="1" t="s">
        <v>5952</v>
      </c>
      <c r="Q409" s="27">
        <v>854</v>
      </c>
      <c r="R409" s="1" t="s">
        <v>5953</v>
      </c>
      <c r="S409" s="27">
        <v>725</v>
      </c>
      <c r="T409" s="1" t="s">
        <v>5954</v>
      </c>
      <c r="U409" s="27">
        <v>578</v>
      </c>
      <c r="V409" s="1" t="s">
        <v>5955</v>
      </c>
      <c r="W409" s="27">
        <v>423</v>
      </c>
      <c r="X409" s="1" t="s">
        <v>5956</v>
      </c>
      <c r="Y409" s="27">
        <v>285</v>
      </c>
      <c r="Z409" s="1" t="s">
        <v>5957</v>
      </c>
      <c r="AA409" s="27">
        <v>149</v>
      </c>
      <c r="AB409" s="1" t="s">
        <v>5958</v>
      </c>
      <c r="AC409" s="27">
        <v>29</v>
      </c>
    </row>
    <row r="410" spans="1:31" ht="22.5" customHeight="1" thickBot="1">
      <c r="A410" s="125" t="s">
        <v>7495</v>
      </c>
      <c r="C410" s="9" t="s">
        <v>7498</v>
      </c>
      <c r="D410" s="10" t="s">
        <v>7500</v>
      </c>
      <c r="E410" s="10" t="s">
        <v>7499</v>
      </c>
      <c r="F410" s="9" t="str">
        <f t="shared" si="16"/>
        <v>gift-codes.html?game=進擊的喵喵</v>
      </c>
      <c r="G410" s="10" t="s">
        <v>7497</v>
      </c>
      <c r="H410" s="10" t="str">
        <f t="shared" si="17"/>
        <v>https://www.ssbuy.tw/game-detail.html?game=進擊的喵喵</v>
      </c>
      <c r="I410" s="11" t="s">
        <v>7515</v>
      </c>
      <c r="J410" s="40" t="s">
        <v>5422</v>
      </c>
      <c r="K410" s="43" t="s">
        <v>5450</v>
      </c>
      <c r="L410" s="1" t="s">
        <v>5950</v>
      </c>
      <c r="M410" s="27">
        <v>2813</v>
      </c>
      <c r="N410" s="1" t="s">
        <v>5951</v>
      </c>
      <c r="O410" s="27">
        <v>1459</v>
      </c>
      <c r="P410" s="1" t="s">
        <v>5952</v>
      </c>
      <c r="Q410" s="27">
        <v>854</v>
      </c>
      <c r="R410" s="1" t="s">
        <v>5953</v>
      </c>
      <c r="S410" s="27">
        <v>725</v>
      </c>
      <c r="T410" s="1" t="s">
        <v>5954</v>
      </c>
      <c r="U410" s="27">
        <v>578</v>
      </c>
      <c r="V410" s="1" t="s">
        <v>5955</v>
      </c>
      <c r="W410" s="27">
        <v>423</v>
      </c>
      <c r="X410" s="1" t="s">
        <v>5956</v>
      </c>
      <c r="Y410" s="27">
        <v>285</v>
      </c>
      <c r="Z410" s="1" t="s">
        <v>5957</v>
      </c>
      <c r="AA410" s="27">
        <v>149</v>
      </c>
      <c r="AB410" s="1" t="s">
        <v>5958</v>
      </c>
      <c r="AC410" s="27">
        <v>29</v>
      </c>
    </row>
    <row r="411" spans="1:31" ht="22.5" customHeight="1" thickBot="1">
      <c r="A411" s="125" t="s">
        <v>7496</v>
      </c>
      <c r="C411" s="9" t="s">
        <v>7501</v>
      </c>
      <c r="E411" s="10" t="s">
        <v>7503</v>
      </c>
      <c r="F411" s="9" t="str">
        <f t="shared" si="16"/>
        <v>gift-codes.html?game=迷你英雄：重返部落</v>
      </c>
      <c r="G411" s="10" t="s">
        <v>7502</v>
      </c>
      <c r="H411" s="10" t="str">
        <f t="shared" si="17"/>
        <v>https://www.ssbuy.tw/game-detail.html?game=迷你英雄：重返部落</v>
      </c>
      <c r="I411" s="11" t="s">
        <v>7514</v>
      </c>
      <c r="J411" s="40" t="s">
        <v>5422</v>
      </c>
      <c r="K411" s="43" t="s">
        <v>5450</v>
      </c>
      <c r="L411" s="1" t="s">
        <v>5950</v>
      </c>
      <c r="M411" s="27">
        <v>2813</v>
      </c>
      <c r="N411" s="1" t="s">
        <v>5951</v>
      </c>
      <c r="O411" s="27">
        <v>1459</v>
      </c>
      <c r="P411" s="1" t="s">
        <v>5952</v>
      </c>
      <c r="Q411" s="27">
        <v>854</v>
      </c>
      <c r="R411" s="1" t="s">
        <v>5953</v>
      </c>
      <c r="S411" s="27">
        <v>725</v>
      </c>
      <c r="T411" s="1" t="s">
        <v>5954</v>
      </c>
      <c r="U411" s="27">
        <v>578</v>
      </c>
      <c r="V411" s="1" t="s">
        <v>5955</v>
      </c>
      <c r="W411" s="27">
        <v>423</v>
      </c>
      <c r="X411" s="1" t="s">
        <v>5956</v>
      </c>
      <c r="Y411" s="27">
        <v>285</v>
      </c>
      <c r="Z411" s="1" t="s">
        <v>5957</v>
      </c>
      <c r="AA411" s="27">
        <v>149</v>
      </c>
      <c r="AB411" s="1" t="s">
        <v>5958</v>
      </c>
      <c r="AC411" s="27">
        <v>29</v>
      </c>
    </row>
    <row r="412" spans="1:31" ht="22.5" customHeight="1">
      <c r="F412" s="9" t="str">
        <f t="shared" si="16"/>
        <v/>
      </c>
      <c r="H412" s="10" t="str">
        <f t="shared" si="17"/>
        <v/>
      </c>
    </row>
    <row r="413" spans="1:31" ht="22.5" customHeight="1">
      <c r="F413" s="9" t="str">
        <f t="shared" si="16"/>
        <v/>
      </c>
      <c r="H413" s="10" t="str">
        <f t="shared" si="17"/>
        <v/>
      </c>
    </row>
    <row r="414" spans="1:31" ht="22.5" customHeight="1">
      <c r="F414" s="9" t="str">
        <f t="shared" si="16"/>
        <v/>
      </c>
      <c r="H414" s="10" t="str">
        <f t="shared" si="17"/>
        <v/>
      </c>
    </row>
    <row r="415" spans="1:31" ht="22.5" customHeight="1">
      <c r="F415" s="9" t="str">
        <f t="shared" si="16"/>
        <v/>
      </c>
      <c r="H415" s="10" t="str">
        <f t="shared" si="17"/>
        <v/>
      </c>
    </row>
    <row r="416" spans="1:31"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s>
  <pageMargins left="0.7" right="0.7" top="0.75" bottom="0.75" header="0.3" footer="0.3"/>
  <pageSetup paperSize="9" orientation="portrait" r:id="rId33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B393" activePane="bottomRight" state="frozen"/>
      <selection pane="topRight" activeCell="B1" sqref="B1"/>
      <selection pane="bottomLeft" activeCell="A2" sqref="A2"/>
      <selection pane="bottomRight" activeCell="G410" sqref="G410"/>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2" t="s">
        <v>327</v>
      </c>
      <c r="B1" s="53" t="s">
        <v>1686</v>
      </c>
      <c r="C1" s="53" t="s">
        <v>2643</v>
      </c>
      <c r="D1" s="54" t="s">
        <v>2644</v>
      </c>
      <c r="E1" s="98" t="s">
        <v>1687</v>
      </c>
      <c r="F1" s="113" t="s">
        <v>1688</v>
      </c>
      <c r="G1" s="53" t="s">
        <v>1689</v>
      </c>
      <c r="H1" s="53" t="s">
        <v>1690</v>
      </c>
      <c r="I1" s="53" t="s">
        <v>1691</v>
      </c>
      <c r="J1" s="98" t="s">
        <v>1692</v>
      </c>
      <c r="K1" s="99"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5.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100" t="s">
        <v>2668</v>
      </c>
      <c r="F2" s="114" t="s">
        <v>2669</v>
      </c>
      <c r="G2" s="60" t="s">
        <v>1711</v>
      </c>
      <c r="H2" s="60" t="s">
        <v>2670</v>
      </c>
      <c r="I2" s="59"/>
      <c r="J2" s="100"/>
      <c r="K2" s="101"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5.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100" t="s">
        <v>2671</v>
      </c>
      <c r="F3" s="114" t="s">
        <v>2669</v>
      </c>
      <c r="G3" s="60" t="s">
        <v>1711</v>
      </c>
      <c r="H3" s="60" t="s">
        <v>2672</v>
      </c>
      <c r="I3" s="59"/>
      <c r="J3" s="100"/>
      <c r="K3" s="101"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5.5" customHeight="1">
      <c r="A4" s="58" t="s">
        <v>2673</v>
      </c>
      <c r="B4" s="59" t="str">
        <f t="shared" si="0"/>
        <v>giftcodesbanner/極速快感-bar.jpg</v>
      </c>
      <c r="C4" s="59"/>
      <c r="D4" s="59" t="str">
        <f t="shared" si="1"/>
        <v>https://www.ssbuy.tw/detail_giftcode/dist/giftcodes/極速快感.html</v>
      </c>
      <c r="E4" s="100"/>
      <c r="F4" s="114" t="s">
        <v>2674</v>
      </c>
      <c r="G4" s="60" t="s">
        <v>1711</v>
      </c>
      <c r="H4" s="60" t="s">
        <v>2675</v>
      </c>
      <c r="I4" s="59"/>
      <c r="J4" s="100"/>
      <c r="K4" s="101"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5.5" customHeight="1">
      <c r="A5" s="64" t="s">
        <v>401</v>
      </c>
      <c r="B5" s="59" t="str">
        <f t="shared" si="0"/>
        <v>giftcodesbanner/俠客傳說：小小英雄-bar.jpg</v>
      </c>
      <c r="C5" s="59"/>
      <c r="D5" s="59" t="str">
        <f t="shared" si="1"/>
        <v>https://www.ssbuy.tw/detail_giftcode/dist/giftcodes/俠客傳說：小小英雄.html</v>
      </c>
      <c r="E5" s="100" t="s">
        <v>402</v>
      </c>
      <c r="F5" s="114" t="s">
        <v>1740</v>
      </c>
      <c r="G5" s="60" t="s">
        <v>1711</v>
      </c>
      <c r="H5" s="60" t="s">
        <v>1840</v>
      </c>
      <c r="I5" s="59"/>
      <c r="J5" s="100"/>
      <c r="K5" s="101"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5.5" customHeight="1">
      <c r="A6" s="64" t="s">
        <v>2676</v>
      </c>
      <c r="B6" s="59" t="str">
        <f t="shared" si="0"/>
        <v>giftcodesbanner/逆水寒-bar.jpg</v>
      </c>
      <c r="C6" s="59"/>
      <c r="D6" s="59" t="str">
        <f t="shared" si="1"/>
        <v>https://www.ssbuy.tw/detail_giftcode/dist/giftcodes/逆水寒.html</v>
      </c>
      <c r="E6" s="100" t="s">
        <v>411</v>
      </c>
      <c r="F6" s="114" t="s">
        <v>2674</v>
      </c>
      <c r="G6" s="60" t="s">
        <v>1711</v>
      </c>
      <c r="H6" s="60" t="s">
        <v>2675</v>
      </c>
      <c r="I6" s="59"/>
      <c r="J6" s="100"/>
      <c r="K6" s="101"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5.5" customHeight="1">
      <c r="A7" s="64" t="s">
        <v>418</v>
      </c>
      <c r="B7" s="59" t="str">
        <f t="shared" si="0"/>
        <v>giftcodesbanner/RO仙境傳說：一定要可愛-bar.jpg</v>
      </c>
      <c r="C7" s="59"/>
      <c r="D7" s="59" t="str">
        <f t="shared" si="1"/>
        <v>https://www.ssbuy.tw/detail_giftcode/dist/giftcodes/RO仙境傳說：一定要可愛.html</v>
      </c>
      <c r="E7" s="100" t="s">
        <v>2677</v>
      </c>
      <c r="F7" s="114" t="s">
        <v>1710</v>
      </c>
      <c r="G7" s="60" t="s">
        <v>1711</v>
      </c>
      <c r="H7" s="60" t="s">
        <v>2675</v>
      </c>
      <c r="I7" s="59"/>
      <c r="J7" s="100"/>
      <c r="K7" s="101"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5.5" customHeight="1">
      <c r="A8" s="64" t="s">
        <v>427</v>
      </c>
      <c r="B8" s="59" t="str">
        <f t="shared" si="0"/>
        <v>giftcodesbanner/RO新世代-bar.jpg</v>
      </c>
      <c r="C8" s="59"/>
      <c r="D8" s="59" t="str">
        <f t="shared" si="1"/>
        <v>https://www.ssbuy.tw/detail_giftcode/dist/giftcodes/RO新世代.html</v>
      </c>
      <c r="E8" s="100" t="s">
        <v>428</v>
      </c>
      <c r="F8" s="114" t="s">
        <v>2669</v>
      </c>
      <c r="G8" s="60" t="s">
        <v>1711</v>
      </c>
      <c r="H8" s="60" t="s">
        <v>2675</v>
      </c>
      <c r="I8" s="59"/>
      <c r="J8" s="100"/>
      <c r="K8" s="101"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5.5" customHeight="1">
      <c r="A9" s="64" t="s">
        <v>436</v>
      </c>
      <c r="B9" s="59" t="str">
        <f t="shared" si="0"/>
        <v>giftcodesbanner/上古：龍神覺醒-bar.jpg</v>
      </c>
      <c r="C9" s="59"/>
      <c r="D9" s="59" t="str">
        <f t="shared" si="1"/>
        <v>https://www.ssbuy.tw/detail_giftcode/dist/giftcodes/上古：龍神覺醒.html</v>
      </c>
      <c r="E9" s="100" t="s">
        <v>437</v>
      </c>
      <c r="F9" s="114" t="s">
        <v>1740</v>
      </c>
      <c r="G9" s="60" t="s">
        <v>1711</v>
      </c>
      <c r="H9" s="60" t="s">
        <v>2675</v>
      </c>
      <c r="I9" s="59"/>
      <c r="J9" s="100"/>
      <c r="K9" s="101"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5.5" customHeight="1">
      <c r="A10" s="64" t="s">
        <v>446</v>
      </c>
      <c r="B10" s="59" t="str">
        <f t="shared" si="0"/>
        <v>giftcodesbanner/小艦艦超勇-bar.jpg</v>
      </c>
      <c r="C10" s="59"/>
      <c r="D10" s="59" t="str">
        <f t="shared" si="1"/>
        <v>https://www.ssbuy.tw/detail_giftcode/dist/giftcodes/小艦艦超勇.html</v>
      </c>
      <c r="E10" s="100" t="s">
        <v>447</v>
      </c>
      <c r="F10" s="114" t="s">
        <v>2674</v>
      </c>
      <c r="G10" s="60" t="s">
        <v>1711</v>
      </c>
      <c r="H10" s="60" t="s">
        <v>2675</v>
      </c>
      <c r="I10" s="59"/>
      <c r="J10" s="100"/>
      <c r="K10" s="101"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5.5" customHeight="1">
      <c r="A11" s="64" t="s">
        <v>454</v>
      </c>
      <c r="B11" s="59" t="str">
        <f t="shared" si="0"/>
        <v>giftcodesbanner/天使軍團-bar.jpg</v>
      </c>
      <c r="C11" s="59"/>
      <c r="D11" s="59" t="str">
        <f t="shared" si="1"/>
        <v>https://www.ssbuy.tw/detail_giftcode/dist/giftcodes/天使軍團.html</v>
      </c>
      <c r="E11" s="100" t="s">
        <v>455</v>
      </c>
      <c r="F11" s="114" t="s">
        <v>2674</v>
      </c>
      <c r="G11" s="60" t="s">
        <v>1711</v>
      </c>
      <c r="H11" s="60" t="s">
        <v>2675</v>
      </c>
      <c r="I11" s="59"/>
      <c r="J11" s="100"/>
      <c r="K11" s="101"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5.5" customHeight="1">
      <c r="A12" s="64" t="s">
        <v>462</v>
      </c>
      <c r="B12" s="59" t="str">
        <f t="shared" si="0"/>
        <v>giftcodesbanner/天堂W-bar.jpg</v>
      </c>
      <c r="C12" s="59"/>
      <c r="D12" s="59" t="str">
        <f t="shared" si="1"/>
        <v>https://www.ssbuy.tw/detail_giftcode/dist/giftcodes/天堂W.html</v>
      </c>
      <c r="E12" s="100" t="s">
        <v>463</v>
      </c>
      <c r="F12" s="114" t="s">
        <v>1740</v>
      </c>
      <c r="G12" s="60" t="s">
        <v>1711</v>
      </c>
      <c r="H12" s="60" t="s">
        <v>1840</v>
      </c>
      <c r="I12" s="59"/>
      <c r="J12" s="100"/>
      <c r="K12" s="101"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5.5" customHeight="1">
      <c r="A13" s="64" t="s">
        <v>469</v>
      </c>
      <c r="B13" s="59" t="str">
        <f t="shared" si="0"/>
        <v>giftcodesbanner/少女前線2：追放-bar.jpg</v>
      </c>
      <c r="C13" s="59"/>
      <c r="D13" s="59" t="str">
        <f t="shared" si="1"/>
        <v>https://www.ssbuy.tw/detail_giftcode/dist/giftcodes/少女前線2：追放.html</v>
      </c>
      <c r="E13" s="100" t="s">
        <v>470</v>
      </c>
      <c r="F13" s="114" t="s">
        <v>2674</v>
      </c>
      <c r="G13" s="60" t="s">
        <v>1711</v>
      </c>
      <c r="H13" s="60" t="s">
        <v>2675</v>
      </c>
      <c r="I13" s="59"/>
      <c r="J13" s="100"/>
      <c r="K13" s="101"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5.5" customHeight="1">
      <c r="A14" s="64" t="s">
        <v>2679</v>
      </c>
      <c r="B14" s="59" t="str">
        <f t="shared" si="0"/>
        <v>giftcodesbanner/幻獸傳說Ｍ-bar.jpg</v>
      </c>
      <c r="C14" s="59"/>
      <c r="D14" s="59" t="str">
        <f t="shared" si="1"/>
        <v>https://www.ssbuy.tw/detail_giftcode/dist/giftcodes/幻獸傳說Ｍ.html</v>
      </c>
      <c r="E14" s="100" t="s">
        <v>2680</v>
      </c>
      <c r="F14" s="114" t="s">
        <v>2674</v>
      </c>
      <c r="G14" s="60" t="s">
        <v>1711</v>
      </c>
      <c r="H14" s="60" t="s">
        <v>2675</v>
      </c>
      <c r="I14" s="59"/>
      <c r="J14" s="100"/>
      <c r="K14" s="101"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5.5" customHeight="1">
      <c r="A15" s="64" t="s">
        <v>2681</v>
      </c>
      <c r="B15" s="59" t="str">
        <f t="shared" si="0"/>
        <v>giftcodesbanner/未定事件簿-bar.jpg</v>
      </c>
      <c r="C15" s="59"/>
      <c r="D15" s="59" t="str">
        <f t="shared" si="1"/>
        <v>https://www.ssbuy.tw/detail_giftcode/dist/giftcodes/未定事件簿.html</v>
      </c>
      <c r="E15" s="100" t="s">
        <v>2682</v>
      </c>
      <c r="F15" s="114" t="s">
        <v>2674</v>
      </c>
      <c r="G15" s="60" t="s">
        <v>1711</v>
      </c>
      <c r="H15" s="60" t="s">
        <v>2675</v>
      </c>
      <c r="I15" s="59"/>
      <c r="J15" s="100"/>
      <c r="K15" s="101"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5.5" customHeight="1">
      <c r="A16" s="64" t="s">
        <v>496</v>
      </c>
      <c r="B16" s="59" t="str">
        <f t="shared" si="0"/>
        <v>giftcodesbanner/永恆靈魂-bar.jpg</v>
      </c>
      <c r="C16" s="59"/>
      <c r="D16" s="59" t="str">
        <f t="shared" si="1"/>
        <v>https://www.ssbuy.tw/detail_giftcode/dist/giftcodes/永恆靈魂.html</v>
      </c>
      <c r="E16" s="115" t="s">
        <v>2683</v>
      </c>
      <c r="F16" s="114" t="s">
        <v>2674</v>
      </c>
      <c r="G16" s="60" t="s">
        <v>1711</v>
      </c>
      <c r="H16" s="60" t="s">
        <v>2675</v>
      </c>
      <c r="I16" s="59"/>
      <c r="J16" s="100"/>
      <c r="K16" s="101"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5.5" customHeight="1">
      <c r="A17" s="64" t="s">
        <v>503</v>
      </c>
      <c r="B17" s="59" t="str">
        <f t="shared" si="0"/>
        <v>giftcodesbanner/守住呀主公-bar.jpg</v>
      </c>
      <c r="C17" s="59"/>
      <c r="D17" s="59" t="str">
        <f t="shared" si="1"/>
        <v>https://www.ssbuy.tw/detail_giftcode/dist/giftcodes/守住呀主公.html</v>
      </c>
      <c r="E17" s="100" t="s">
        <v>2684</v>
      </c>
      <c r="F17" s="114" t="s">
        <v>2685</v>
      </c>
      <c r="G17" s="60" t="s">
        <v>1711</v>
      </c>
      <c r="H17" s="60" t="s">
        <v>2675</v>
      </c>
      <c r="I17" s="59"/>
      <c r="J17" s="100"/>
      <c r="K17" s="101"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5.5" customHeight="1">
      <c r="A18" s="64" t="s">
        <v>1839</v>
      </c>
      <c r="B18" s="59" t="str">
        <f t="shared" si="0"/>
        <v>giftcodesbanner/吟遊戰記-bar.jpg</v>
      </c>
      <c r="C18" s="59"/>
      <c r="D18" s="59" t="str">
        <f t="shared" si="1"/>
        <v>https://www.ssbuy.tw/detail_giftcode/dist/giftcodes/吟遊戰記.html</v>
      </c>
      <c r="E18" s="116" t="s">
        <v>514</v>
      </c>
      <c r="F18" s="114" t="s">
        <v>2674</v>
      </c>
      <c r="G18" s="60" t="s">
        <v>1711</v>
      </c>
      <c r="H18" s="60" t="s">
        <v>2670</v>
      </c>
      <c r="I18" s="59"/>
      <c r="J18" s="100"/>
      <c r="K18" s="101"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5.5" customHeight="1">
      <c r="A19" s="64" t="s">
        <v>2686</v>
      </c>
      <c r="B19" s="59" t="str">
        <f t="shared" si="0"/>
        <v>giftcodesbanner/我獨自升級：ARISE-bar.jpg</v>
      </c>
      <c r="C19" s="59"/>
      <c r="D19" s="59" t="str">
        <f t="shared" si="1"/>
        <v>https://www.ssbuy.tw/detail_giftcode/dist/giftcodes/我獨自升級：ARISE.html</v>
      </c>
      <c r="E19" s="100" t="s">
        <v>524</v>
      </c>
      <c r="F19" s="114" t="s">
        <v>1740</v>
      </c>
      <c r="G19" s="60" t="s">
        <v>1711</v>
      </c>
      <c r="H19" s="60" t="s">
        <v>2675</v>
      </c>
      <c r="I19" s="59"/>
      <c r="J19" s="100"/>
      <c r="K19" s="102"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5.5" customHeight="1">
      <c r="A20" s="64" t="s">
        <v>2694</v>
      </c>
      <c r="B20" s="59" t="str">
        <f t="shared" si="0"/>
        <v>giftcodesbanner/命運聖契：少女的羈絆-bar.jpg</v>
      </c>
      <c r="C20" s="59"/>
      <c r="D20" s="59" t="str">
        <f t="shared" si="1"/>
        <v>https://www.ssbuy.tw/detail_giftcode/dist/giftcodes/命運聖契：少女的羈絆.html</v>
      </c>
      <c r="E20" s="100" t="s">
        <v>2695</v>
      </c>
      <c r="F20" s="114" t="s">
        <v>1710</v>
      </c>
      <c r="G20" s="60" t="s">
        <v>1711</v>
      </c>
      <c r="H20" s="60" t="s">
        <v>2675</v>
      </c>
      <c r="I20" s="59"/>
      <c r="J20" s="100"/>
      <c r="K20" s="101"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5.5" customHeight="1">
      <c r="A21" s="64" t="s">
        <v>539</v>
      </c>
      <c r="B21" s="59" t="str">
        <f t="shared" si="0"/>
        <v>giftcodesbanner/放置軍團-bar.jpg</v>
      </c>
      <c r="C21" s="59"/>
      <c r="D21" s="59" t="str">
        <f t="shared" si="1"/>
        <v>https://www.ssbuy.tw/detail_giftcode/dist/giftcodes/放置軍團.html</v>
      </c>
      <c r="E21" s="100" t="s">
        <v>2706</v>
      </c>
      <c r="F21" s="114" t="s">
        <v>1710</v>
      </c>
      <c r="G21" s="60" t="s">
        <v>1711</v>
      </c>
      <c r="H21" s="60" t="s">
        <v>2675</v>
      </c>
      <c r="I21" s="59"/>
      <c r="J21" s="100"/>
      <c r="K21" s="101"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5.5" customHeight="1">
      <c r="A22" s="64" t="s">
        <v>2717</v>
      </c>
      <c r="B22" s="59" t="str">
        <f t="shared" si="0"/>
        <v>giftcodesbanner/明日方舟-bar.jpg</v>
      </c>
      <c r="C22" s="59"/>
      <c r="D22" s="59" t="str">
        <f t="shared" si="1"/>
        <v>https://www.ssbuy.tw/detail_giftcode/dist/giftcodes/明日方舟.html</v>
      </c>
      <c r="E22" s="100" t="s">
        <v>2718</v>
      </c>
      <c r="F22" s="114" t="s">
        <v>2674</v>
      </c>
      <c r="G22" s="60" t="s">
        <v>1711</v>
      </c>
      <c r="H22" s="60" t="s">
        <v>2670</v>
      </c>
      <c r="I22" s="59"/>
      <c r="J22" s="100"/>
      <c r="K22" s="101"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5.5" customHeight="1">
      <c r="A23" s="64" t="s">
        <v>2721</v>
      </c>
      <c r="B23" s="59" t="str">
        <f t="shared" si="0"/>
        <v>giftcodesbanner/屍鬼三國-bar.jpg</v>
      </c>
      <c r="C23" s="59"/>
      <c r="D23" s="59" t="str">
        <f t="shared" si="1"/>
        <v>https://www.ssbuy.tw/detail_giftcode/dist/giftcodes/屍鬼三國.html</v>
      </c>
      <c r="E23" s="100" t="s">
        <v>2722</v>
      </c>
      <c r="F23" s="114" t="s">
        <v>2674</v>
      </c>
      <c r="G23" s="60" t="s">
        <v>1711</v>
      </c>
      <c r="H23" s="60" t="s">
        <v>2675</v>
      </c>
      <c r="I23" s="59"/>
      <c r="J23" s="100"/>
      <c r="K23" s="101"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5.5" customHeight="1">
      <c r="A24" s="64" t="s">
        <v>2731</v>
      </c>
      <c r="B24" s="59" t="str">
        <f t="shared" si="0"/>
        <v>giftcodesbanner/星鏈計畫：未來少女-bar.jpg</v>
      </c>
      <c r="C24" s="59"/>
      <c r="D24" s="59" t="str">
        <f t="shared" si="1"/>
        <v>https://www.ssbuy.tw/detail_giftcode/dist/giftcodes/星鏈計畫：未來少女.html</v>
      </c>
      <c r="E24" s="100" t="s">
        <v>2732</v>
      </c>
      <c r="F24" s="114" t="s">
        <v>1710</v>
      </c>
      <c r="G24" s="60" t="s">
        <v>1711</v>
      </c>
      <c r="H24" s="60" t="s">
        <v>2675</v>
      </c>
      <c r="I24" s="59"/>
      <c r="J24" s="100"/>
      <c r="K24" s="101"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5.5" customHeight="1">
      <c r="A25" s="64" t="s">
        <v>569</v>
      </c>
      <c r="B25" s="59" t="str">
        <f t="shared" si="0"/>
        <v>giftcodesbanner/英雄之王-bar.jpg</v>
      </c>
      <c r="C25" s="59"/>
      <c r="D25" s="59" t="str">
        <f t="shared" si="1"/>
        <v>https://www.ssbuy.tw/detail_giftcode/dist/giftcodes/英雄之王.html</v>
      </c>
      <c r="E25" s="116" t="s">
        <v>2743</v>
      </c>
      <c r="F25" s="114" t="s">
        <v>1710</v>
      </c>
      <c r="G25" s="60" t="s">
        <v>1711</v>
      </c>
      <c r="H25" s="60" t="s">
        <v>2675</v>
      </c>
      <c r="I25" s="59"/>
      <c r="J25" s="100"/>
      <c r="K25" s="101"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5.5" customHeight="1">
      <c r="A26" s="64" t="s">
        <v>576</v>
      </c>
      <c r="B26" s="59" t="str">
        <f t="shared" si="0"/>
        <v>giftcodesbanner/英雄聯盟-bar.jpg</v>
      </c>
      <c r="C26" s="59"/>
      <c r="D26" s="59" t="str">
        <f t="shared" si="1"/>
        <v>https://www.ssbuy.tw/detail_giftcode/dist/giftcodes/英雄聯盟.html</v>
      </c>
      <c r="E26" s="100"/>
      <c r="F26" s="114" t="s">
        <v>2674</v>
      </c>
      <c r="G26" s="60" t="s">
        <v>1711</v>
      </c>
      <c r="H26" s="60" t="s">
        <v>1840</v>
      </c>
      <c r="I26" s="59"/>
      <c r="J26" s="100"/>
      <c r="K26" s="101"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5.5" customHeight="1">
      <c r="A27" s="64" t="s">
        <v>582</v>
      </c>
      <c r="B27" s="59" t="str">
        <f t="shared" si="0"/>
        <v>giftcodesbanner/恐龍突變-bar.jpg</v>
      </c>
      <c r="C27" s="59"/>
      <c r="D27" s="59" t="str">
        <f t="shared" si="1"/>
        <v>https://www.ssbuy.tw/detail_giftcode/dist/giftcodes/恐龍突變.html</v>
      </c>
      <c r="E27" s="116" t="s">
        <v>2757</v>
      </c>
      <c r="F27" s="114" t="s">
        <v>2674</v>
      </c>
      <c r="G27" s="60" t="s">
        <v>1711</v>
      </c>
      <c r="H27" s="60" t="s">
        <v>2675</v>
      </c>
      <c r="I27" s="59"/>
      <c r="J27" s="100"/>
      <c r="K27" s="101"/>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5.5" customHeight="1">
      <c r="A28" s="64" t="s">
        <v>592</v>
      </c>
      <c r="B28" s="59" t="str">
        <f t="shared" si="0"/>
        <v>giftcodesbanner/神域-bar.jpg</v>
      </c>
      <c r="C28" s="59"/>
      <c r="D28" s="59" t="str">
        <f t="shared" si="1"/>
        <v>https://www.ssbuy.tw/detail_giftcode/dist/giftcodes/神域.html</v>
      </c>
      <c r="E28" s="100" t="s">
        <v>2758</v>
      </c>
      <c r="F28" s="114" t="s">
        <v>2674</v>
      </c>
      <c r="G28" s="60" t="s">
        <v>1711</v>
      </c>
      <c r="H28" s="60" t="s">
        <v>2675</v>
      </c>
      <c r="I28" s="59"/>
      <c r="J28" s="100"/>
      <c r="K28" s="101"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5.5" customHeight="1">
      <c r="A29" s="64" t="s">
        <v>2762</v>
      </c>
      <c r="B29" s="59" t="str">
        <f t="shared" si="0"/>
        <v>giftcodesbanner/崩壞：星穹鐵道-bar.jpg</v>
      </c>
      <c r="C29" s="59"/>
      <c r="D29" s="59" t="str">
        <f t="shared" si="1"/>
        <v>https://www.ssbuy.tw/detail_giftcode/dist/giftcodes/崩壞：星穹鐵道.html</v>
      </c>
      <c r="E29" s="116" t="s">
        <v>2763</v>
      </c>
      <c r="F29" s="114" t="s">
        <v>2674</v>
      </c>
      <c r="G29" s="60" t="s">
        <v>1711</v>
      </c>
      <c r="H29" s="60" t="s">
        <v>1840</v>
      </c>
      <c r="I29" s="59"/>
      <c r="J29" s="100"/>
      <c r="K29" s="101"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5.5" customHeight="1">
      <c r="A30" s="64" t="s">
        <v>610</v>
      </c>
      <c r="B30" s="59" t="str">
        <f t="shared" si="0"/>
        <v>giftcodesbanner/救世者之樹：新世界-bar.jpg</v>
      </c>
      <c r="C30" s="59"/>
      <c r="D30" s="59" t="str">
        <f t="shared" si="1"/>
        <v>https://www.ssbuy.tw/detail_giftcode/dist/giftcodes/救世者之樹：新世界.html</v>
      </c>
      <c r="E30" s="116" t="s">
        <v>2766</v>
      </c>
      <c r="F30" s="114" t="s">
        <v>2674</v>
      </c>
      <c r="G30" s="60" t="s">
        <v>1711</v>
      </c>
      <c r="H30" s="60" t="s">
        <v>2675</v>
      </c>
      <c r="I30" s="59"/>
      <c r="J30" s="100"/>
      <c r="K30" s="101"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5.5" customHeight="1">
      <c r="A31" s="64" t="s">
        <v>618</v>
      </c>
      <c r="B31" s="59" t="str">
        <f t="shared" si="0"/>
        <v>giftcodesbanner/球球英雄-bar.jpg</v>
      </c>
      <c r="C31" s="59"/>
      <c r="D31" s="59" t="str">
        <f t="shared" si="1"/>
        <v>https://www.ssbuy.tw/detail_giftcode/dist/giftcodes/球球英雄.html</v>
      </c>
      <c r="E31" s="116" t="s">
        <v>2776</v>
      </c>
      <c r="F31" s="114" t="s">
        <v>2674</v>
      </c>
      <c r="G31" s="60" t="s">
        <v>1711</v>
      </c>
      <c r="H31" s="60" t="s">
        <v>2675</v>
      </c>
      <c r="I31" s="59"/>
      <c r="J31" s="100"/>
      <c r="K31" s="101"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5.5" customHeight="1">
      <c r="A32" s="64" t="s">
        <v>626</v>
      </c>
      <c r="B32" s="59" t="str">
        <f t="shared" si="0"/>
        <v>giftcodesbanner/第七史詩-bar.jpg</v>
      </c>
      <c r="C32" s="59"/>
      <c r="D32" s="59" t="str">
        <f t="shared" si="1"/>
        <v>https://www.ssbuy.tw/detail_giftcode/dist/giftcodes/第七史詩.html</v>
      </c>
      <c r="E32" s="100" t="s">
        <v>2780</v>
      </c>
      <c r="F32" s="114" t="s">
        <v>2685</v>
      </c>
      <c r="G32" s="60" t="s">
        <v>1711</v>
      </c>
      <c r="H32" s="60" t="s">
        <v>2670</v>
      </c>
      <c r="I32" s="59"/>
      <c r="J32" s="100"/>
      <c r="K32" s="101"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5.5" customHeight="1">
      <c r="A33" s="64" t="s">
        <v>2783</v>
      </c>
      <c r="B33" s="59" t="str">
        <f t="shared" si="0"/>
        <v>giftcodesbanner/創世紀戰M：阿修羅計畫-bar.jpg</v>
      </c>
      <c r="C33" s="59"/>
      <c r="D33" s="59" t="str">
        <f t="shared" si="1"/>
        <v>https://www.ssbuy.tw/detail_giftcode/dist/giftcodes/創世紀戰M：阿修羅計畫.html</v>
      </c>
      <c r="E33" s="116" t="s">
        <v>2784</v>
      </c>
      <c r="F33" s="114" t="s">
        <v>2674</v>
      </c>
      <c r="G33" s="60" t="s">
        <v>1711</v>
      </c>
      <c r="H33" s="60" t="s">
        <v>2670</v>
      </c>
      <c r="I33" s="59"/>
      <c r="J33" s="100"/>
      <c r="K33" s="101"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5.5" customHeight="1">
      <c r="A34" s="64" t="s">
        <v>2796</v>
      </c>
      <c r="B34" s="59" t="str">
        <f t="shared" si="0"/>
        <v>giftcodesbanner/最強宗師-bar.jpg</v>
      </c>
      <c r="C34" s="59"/>
      <c r="D34" s="59" t="str">
        <f t="shared" si="1"/>
        <v>https://www.ssbuy.tw/detail_giftcode/dist/giftcodes/最強宗師.html</v>
      </c>
      <c r="E34" s="100" t="s">
        <v>2797</v>
      </c>
      <c r="F34" s="114" t="s">
        <v>2674</v>
      </c>
      <c r="G34" s="60" t="s">
        <v>1711</v>
      </c>
      <c r="H34" s="60" t="s">
        <v>2675</v>
      </c>
      <c r="I34" s="59"/>
      <c r="J34" s="100"/>
      <c r="K34" s="101"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5.5" customHeight="1">
      <c r="A35" s="64" t="s">
        <v>655</v>
      </c>
      <c r="B35" s="59" t="str">
        <f t="shared" si="0"/>
        <v>giftcodesbanner/無期迷途-bar.jpg</v>
      </c>
      <c r="C35" s="59"/>
      <c r="D35" s="59" t="str">
        <f t="shared" si="1"/>
        <v>https://www.ssbuy.tw/detail_giftcode/dist/giftcodes/無期迷途.html</v>
      </c>
      <c r="E35" s="116" t="s">
        <v>2810</v>
      </c>
      <c r="F35" s="114" t="s">
        <v>2674</v>
      </c>
      <c r="G35" s="60" t="s">
        <v>1711</v>
      </c>
      <c r="H35" s="60" t="s">
        <v>2675</v>
      </c>
      <c r="I35" s="59"/>
      <c r="J35" s="100"/>
      <c r="K35" s="101"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5.5" customHeight="1">
      <c r="A36" s="64" t="s">
        <v>663</v>
      </c>
      <c r="B36" s="59" t="str">
        <f t="shared" si="0"/>
        <v>giftcodesbanner/絕區零-bar.jpg</v>
      </c>
      <c r="C36" s="59"/>
      <c r="D36" s="59" t="str">
        <f t="shared" si="1"/>
        <v>https://www.ssbuy.tw/detail_giftcode/dist/giftcodes/絕區零.html</v>
      </c>
      <c r="E36" s="100" t="s">
        <v>2815</v>
      </c>
      <c r="F36" s="114" t="s">
        <v>2674</v>
      </c>
      <c r="G36" s="60" t="s">
        <v>1711</v>
      </c>
      <c r="H36" s="60" t="s">
        <v>2675</v>
      </c>
      <c r="I36" s="59"/>
      <c r="J36" s="100"/>
      <c r="K36" s="101"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5.5" customHeight="1">
      <c r="A37" s="64" t="s">
        <v>674</v>
      </c>
      <c r="B37" s="59" t="str">
        <f t="shared" si="0"/>
        <v>giftcodesbanner/傳說對決-bar.jpg</v>
      </c>
      <c r="C37" s="59"/>
      <c r="D37" s="59" t="str">
        <f t="shared" si="1"/>
        <v>https://www.ssbuy.tw/detail_giftcode/dist/giftcodes/傳說對決.html</v>
      </c>
      <c r="E37" s="100" t="s">
        <v>2829</v>
      </c>
      <c r="F37" s="114" t="s">
        <v>2674</v>
      </c>
      <c r="G37" s="60" t="s">
        <v>1711</v>
      </c>
      <c r="H37" s="60" t="s">
        <v>1840</v>
      </c>
      <c r="I37" s="59"/>
      <c r="J37" s="100"/>
      <c r="K37" s="101"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5.5" customHeight="1">
      <c r="A38" s="64" t="s">
        <v>2832</v>
      </c>
      <c r="B38" s="59" t="str">
        <f t="shared" si="0"/>
        <v>giftcodesbanner/楓之谷M-bar.jpg</v>
      </c>
      <c r="C38" s="59"/>
      <c r="D38" s="59" t="str">
        <f t="shared" si="1"/>
        <v>https://www.ssbuy.tw/detail_giftcode/dist/giftcodes/楓之谷M.html</v>
      </c>
      <c r="E38" s="100" t="s">
        <v>2833</v>
      </c>
      <c r="F38" s="114" t="s">
        <v>2674</v>
      </c>
      <c r="G38" s="60" t="s">
        <v>1711</v>
      </c>
      <c r="H38" s="60" t="s">
        <v>2675</v>
      </c>
      <c r="I38" s="59"/>
      <c r="J38" s="100"/>
      <c r="K38" s="101"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5.5" customHeight="1">
      <c r="A39" s="64" t="s">
        <v>692</v>
      </c>
      <c r="B39" s="59" t="str">
        <f t="shared" si="0"/>
        <v>giftcodesbanner/鳴潮-bar.jpg</v>
      </c>
      <c r="C39" s="59"/>
      <c r="D39" s="59" t="str">
        <f t="shared" si="1"/>
        <v>https://www.ssbuy.tw/detail_giftcode/dist/giftcodes/鳴潮.html</v>
      </c>
      <c r="E39" s="100" t="s">
        <v>2839</v>
      </c>
      <c r="F39" s="114" t="s">
        <v>2674</v>
      </c>
      <c r="G39" s="60" t="s">
        <v>1711</v>
      </c>
      <c r="H39" s="60" t="s">
        <v>1840</v>
      </c>
      <c r="I39" s="59"/>
      <c r="J39" s="100"/>
      <c r="K39" s="101"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5.5" customHeight="1">
      <c r="A40" s="64" t="s">
        <v>2847</v>
      </c>
      <c r="B40" s="59" t="str">
        <f t="shared" si="0"/>
        <v>giftcodesbanner/劍與遠征：啟程-bar.jpg</v>
      </c>
      <c r="C40" s="59"/>
      <c r="D40" s="59" t="str">
        <f t="shared" si="1"/>
        <v>https://www.ssbuy.tw/detail_giftcode/dist/giftcodes/劍與遠征：啟程.html</v>
      </c>
      <c r="E40" s="100" t="s">
        <v>1850</v>
      </c>
      <c r="F40" s="114" t="s">
        <v>1740</v>
      </c>
      <c r="G40" s="60" t="s">
        <v>1711</v>
      </c>
      <c r="H40" s="60" t="s">
        <v>2675</v>
      </c>
      <c r="I40" s="59"/>
      <c r="J40" s="100"/>
      <c r="K40" s="101"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5.5" customHeight="1">
      <c r="A41" s="64" t="s">
        <v>710</v>
      </c>
      <c r="B41" s="59" t="str">
        <f t="shared" si="0"/>
        <v>giftcodesbanner/熱血大作戰-bar.jpg</v>
      </c>
      <c r="C41" s="59"/>
      <c r="D41" s="59" t="str">
        <f t="shared" si="1"/>
        <v>https://www.ssbuy.tw/detail_giftcode/dist/giftcodes/熱血大作戰.html</v>
      </c>
      <c r="E41" s="100" t="s">
        <v>1851</v>
      </c>
      <c r="F41" s="114" t="s">
        <v>2674</v>
      </c>
      <c r="G41" s="60" t="s">
        <v>1711</v>
      </c>
      <c r="H41" s="60" t="s">
        <v>1840</v>
      </c>
      <c r="I41" s="59"/>
      <c r="J41" s="100"/>
      <c r="K41" s="101"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5.5" customHeight="1">
      <c r="A42" s="64" t="s">
        <v>2860</v>
      </c>
      <c r="B42" s="59" t="str">
        <f t="shared" si="0"/>
        <v>giftcodesbanner/骷髏傳說：戰神崛起-bar.jpg</v>
      </c>
      <c r="C42" s="59"/>
      <c r="D42" s="59" t="str">
        <f t="shared" si="1"/>
        <v>https://www.ssbuy.tw/detail_giftcode/dist/giftcodes/骷髏傳說：戰神崛起.html</v>
      </c>
      <c r="E42" s="100" t="s">
        <v>2861</v>
      </c>
      <c r="F42" s="114" t="s">
        <v>1710</v>
      </c>
      <c r="G42" s="60" t="s">
        <v>1711</v>
      </c>
      <c r="H42" s="60" t="s">
        <v>1840</v>
      </c>
      <c r="I42" s="59"/>
      <c r="J42" s="100"/>
      <c r="K42" s="101"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5.5" customHeight="1">
      <c r="A43" s="64" t="s">
        <v>2862</v>
      </c>
      <c r="B43" s="59" t="str">
        <f t="shared" si="0"/>
        <v>giftcodesbanner/黎明：血色魔女-bar.jpg</v>
      </c>
      <c r="C43" s="59"/>
      <c r="D43" s="59" t="str">
        <f t="shared" si="1"/>
        <v>https://www.ssbuy.tw/detail_giftcode/dist/giftcodes/黎明：血色魔女.html</v>
      </c>
      <c r="E43" s="100" t="s">
        <v>2863</v>
      </c>
      <c r="F43" s="114" t="s">
        <v>1710</v>
      </c>
      <c r="G43" s="60" t="s">
        <v>1711</v>
      </c>
      <c r="H43" s="60" t="s">
        <v>1840</v>
      </c>
      <c r="I43" s="59"/>
      <c r="J43" s="100"/>
      <c r="K43" s="101"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5.5" customHeight="1">
      <c r="A44" s="64" t="s">
        <v>735</v>
      </c>
      <c r="B44" s="59" t="str">
        <f t="shared" si="0"/>
        <v>giftcodesbanner/黎明啟示錄-bar.jpg</v>
      </c>
      <c r="C44" s="59"/>
      <c r="D44" s="59" t="str">
        <f t="shared" si="1"/>
        <v>https://www.ssbuy.tw/detail_giftcode/dist/giftcodes/黎明啟示錄.html</v>
      </c>
      <c r="E44" s="100" t="s">
        <v>2864</v>
      </c>
      <c r="F44" s="114" t="s">
        <v>1710</v>
      </c>
      <c r="G44" s="60" t="s">
        <v>1711</v>
      </c>
      <c r="H44" s="60" t="s">
        <v>1840</v>
      </c>
      <c r="I44" s="59"/>
      <c r="J44" s="100"/>
      <c r="K44" s="101">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5.5" customHeight="1">
      <c r="A45" s="64" t="s">
        <v>741</v>
      </c>
      <c r="B45" s="59" t="str">
        <f t="shared" si="0"/>
        <v>giftcodesbanner/龍魂旅人-bar.jpg</v>
      </c>
      <c r="C45" s="59"/>
      <c r="D45" s="59" t="str">
        <f t="shared" si="1"/>
        <v>https://www.ssbuy.tw/detail_giftcode/dist/giftcodes/龍魂旅人.html</v>
      </c>
      <c r="E45" s="100" t="s">
        <v>2865</v>
      </c>
      <c r="F45" s="114" t="s">
        <v>1710</v>
      </c>
      <c r="G45" s="60" t="s">
        <v>1711</v>
      </c>
      <c r="H45" s="60" t="s">
        <v>1840</v>
      </c>
      <c r="I45" s="59"/>
      <c r="J45" s="100"/>
      <c r="K45" s="101"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5.5" customHeight="1">
      <c r="A46" s="64" t="s">
        <v>749</v>
      </c>
      <c r="B46" s="59" t="str">
        <f t="shared" si="0"/>
        <v>giftcodesbanner/戀與深空-bar.jpg</v>
      </c>
      <c r="C46" s="59"/>
      <c r="D46" s="59" t="str">
        <f t="shared" si="1"/>
        <v>https://www.ssbuy.tw/detail_giftcode/dist/giftcodes/戀與深空.html</v>
      </c>
      <c r="E46" s="100" t="s">
        <v>1907</v>
      </c>
      <c r="F46" s="114" t="s">
        <v>1710</v>
      </c>
      <c r="G46" s="60" t="s">
        <v>1711</v>
      </c>
      <c r="H46" s="60" t="s">
        <v>1840</v>
      </c>
      <c r="I46" s="59"/>
      <c r="J46" s="100"/>
      <c r="K46" s="101"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5.5" customHeight="1">
      <c r="A47" s="64" t="s">
        <v>757</v>
      </c>
      <c r="B47" s="59" t="str">
        <f t="shared" si="0"/>
        <v>giftcodesbanner/靈魂衝擊：無限放置-bar.jpg</v>
      </c>
      <c r="C47" s="59"/>
      <c r="D47" s="59" t="str">
        <f t="shared" si="1"/>
        <v>https://www.ssbuy.tw/detail_giftcode/dist/giftcodes/靈魂衝擊：無限放置.html</v>
      </c>
      <c r="E47" s="100" t="s">
        <v>1921</v>
      </c>
      <c r="F47" s="114" t="s">
        <v>1710</v>
      </c>
      <c r="G47" s="60" t="s">
        <v>1711</v>
      </c>
      <c r="H47" s="60" t="s">
        <v>1840</v>
      </c>
      <c r="I47" s="59"/>
      <c r="J47" s="100"/>
      <c r="K47" s="101"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5.5" customHeight="1">
      <c r="A48" s="64" t="s">
        <v>2873</v>
      </c>
      <c r="B48" s="59" t="str">
        <f t="shared" si="0"/>
        <v>giftcodesbanner/楓葉島-bar.jpg</v>
      </c>
      <c r="C48" s="59"/>
      <c r="D48" s="59" t="str">
        <f t="shared" si="1"/>
        <v>https://www.ssbuy.tw/detail_giftcode/dist/giftcodes/楓葉島.html</v>
      </c>
      <c r="E48" s="100" t="s">
        <v>2874</v>
      </c>
      <c r="F48" s="114" t="s">
        <v>1710</v>
      </c>
      <c r="G48" s="60" t="s">
        <v>1711</v>
      </c>
      <c r="H48" s="60" t="s">
        <v>1840</v>
      </c>
      <c r="I48" s="59"/>
      <c r="J48" s="100"/>
      <c r="K48" s="101"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5.5" customHeight="1">
      <c r="A49" s="64" t="s">
        <v>774</v>
      </c>
      <c r="B49" s="59" t="str">
        <f t="shared" si="0"/>
        <v>giftcodesbanner/無名江湖-bar.jpg</v>
      </c>
      <c r="C49" s="59"/>
      <c r="D49" s="59" t="str">
        <f t="shared" si="1"/>
        <v>https://www.ssbuy.tw/detail_giftcode/dist/giftcodes/無名江湖.html</v>
      </c>
      <c r="E49" s="100" t="s">
        <v>1929</v>
      </c>
      <c r="F49" s="114" t="s">
        <v>1710</v>
      </c>
      <c r="G49" s="60" t="s">
        <v>1711</v>
      </c>
      <c r="H49" s="60" t="s">
        <v>1840</v>
      </c>
      <c r="I49" s="59"/>
      <c r="J49" s="100"/>
      <c r="K49" s="101"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5.5" customHeight="1">
      <c r="A50" s="64" t="s">
        <v>782</v>
      </c>
      <c r="B50" s="59" t="str">
        <f t="shared" si="0"/>
        <v>giftcodesbanner/萬妖領域-bar.jpg</v>
      </c>
      <c r="C50" s="59"/>
      <c r="D50" s="59" t="str">
        <f t="shared" si="1"/>
        <v>https://www.ssbuy.tw/detail_giftcode/dist/giftcodes/萬妖領域.html</v>
      </c>
      <c r="E50" s="100" t="s">
        <v>2886</v>
      </c>
      <c r="F50" s="114" t="s">
        <v>1710</v>
      </c>
      <c r="G50" s="60" t="s">
        <v>1711</v>
      </c>
      <c r="H50" s="60" t="s">
        <v>1840</v>
      </c>
      <c r="I50" s="59"/>
      <c r="J50" s="100"/>
      <c r="K50" s="101"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5.5" customHeight="1">
      <c r="A51" s="64" t="s">
        <v>790</v>
      </c>
      <c r="B51" s="59" t="str">
        <f t="shared" si="0"/>
        <v>giftcodesbanner/一姬當千TD-bar.jpg</v>
      </c>
      <c r="C51" s="59"/>
      <c r="D51" s="59" t="str">
        <f t="shared" si="1"/>
        <v>https://www.ssbuy.tw/detail_giftcode/dist/giftcodes/一姬當千TD.html</v>
      </c>
      <c r="E51" s="100" t="s">
        <v>1935</v>
      </c>
      <c r="F51" s="114" t="s">
        <v>1710</v>
      </c>
      <c r="G51" s="60" t="s">
        <v>1711</v>
      </c>
      <c r="H51" s="60" t="s">
        <v>1840</v>
      </c>
      <c r="I51" s="59"/>
      <c r="J51" s="100"/>
      <c r="K51" s="101"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5.5" customHeight="1">
      <c r="A52" s="64" t="s">
        <v>797</v>
      </c>
      <c r="B52" s="59" t="str">
        <f t="shared" si="0"/>
        <v>giftcodesbanner/劍客行-bar.jpg</v>
      </c>
      <c r="C52" s="59"/>
      <c r="D52" s="59" t="str">
        <f t="shared" si="1"/>
        <v>https://www.ssbuy.tw/detail_giftcode/dist/giftcodes/劍客行.html</v>
      </c>
      <c r="E52" s="100" t="s">
        <v>1938</v>
      </c>
      <c r="F52" s="114" t="s">
        <v>1710</v>
      </c>
      <c r="G52" s="60" t="s">
        <v>1711</v>
      </c>
      <c r="H52" s="60" t="s">
        <v>1840</v>
      </c>
      <c r="I52" s="59"/>
      <c r="J52" s="100"/>
      <c r="K52" s="101"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5.5" customHeight="1">
      <c r="A53" s="64" t="s">
        <v>806</v>
      </c>
      <c r="B53" s="59" t="str">
        <f t="shared" si="0"/>
        <v>giftcodesbanner/時之樹少女-bar.jpg</v>
      </c>
      <c r="C53" s="59"/>
      <c r="D53" s="59" t="str">
        <f t="shared" si="1"/>
        <v>https://www.ssbuy.tw/detail_giftcode/dist/giftcodes/時之樹少女.html</v>
      </c>
      <c r="E53" s="100" t="s">
        <v>2891</v>
      </c>
      <c r="F53" s="114" t="s">
        <v>1710</v>
      </c>
      <c r="G53" s="60" t="s">
        <v>1711</v>
      </c>
      <c r="H53" s="60" t="s">
        <v>1840</v>
      </c>
      <c r="I53" s="59"/>
      <c r="J53" s="100"/>
      <c r="K53" s="101"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5.5" customHeight="1">
      <c r="A54" s="64" t="s">
        <v>2895</v>
      </c>
      <c r="B54" s="59" t="str">
        <f t="shared" si="0"/>
        <v>giftcodesbanner/錨點降臨Re：Code-bar.jpg</v>
      </c>
      <c r="C54" s="59"/>
      <c r="D54" s="59" t="str">
        <f t="shared" si="1"/>
        <v>https://www.ssbuy.tw/detail_giftcode/dist/giftcodes/錨點降臨Re：Code.html</v>
      </c>
      <c r="E54" s="100" t="s">
        <v>1946</v>
      </c>
      <c r="F54" s="114" t="s">
        <v>1710</v>
      </c>
      <c r="G54" s="60" t="s">
        <v>1711</v>
      </c>
      <c r="H54" s="60" t="s">
        <v>1840</v>
      </c>
      <c r="I54" s="59"/>
      <c r="J54" s="100"/>
      <c r="K54" s="102"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5.5" customHeight="1">
      <c r="A55" s="64" t="s">
        <v>2896</v>
      </c>
      <c r="B55" s="59" t="str">
        <f t="shared" si="0"/>
        <v>giftcodesbanner/神契氣靈師-bar.jpg</v>
      </c>
      <c r="C55" s="59"/>
      <c r="D55" s="59" t="str">
        <f t="shared" si="1"/>
        <v>https://www.ssbuy.tw/detail_giftcode/dist/giftcodes/神契氣靈師.html</v>
      </c>
      <c r="E55" s="100" t="s">
        <v>1970</v>
      </c>
      <c r="F55" s="114" t="s">
        <v>1710</v>
      </c>
      <c r="G55" s="60" t="s">
        <v>1711</v>
      </c>
      <c r="H55" s="60" t="s">
        <v>1840</v>
      </c>
      <c r="I55" s="59"/>
      <c r="J55" s="100"/>
      <c r="K55" s="102"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5.5" customHeight="1">
      <c r="A56" s="64" t="s">
        <v>2897</v>
      </c>
      <c r="B56" s="59" t="str">
        <f t="shared" si="0"/>
        <v>giftcodesbanner/不休旅途：繪卷世界-bar.jpg</v>
      </c>
      <c r="C56" s="59"/>
      <c r="D56" s="59" t="str">
        <f t="shared" si="1"/>
        <v>https://www.ssbuy.tw/detail_giftcode/dist/giftcodes/不休旅途：繪卷世界.html</v>
      </c>
      <c r="E56" s="100" t="s">
        <v>1996</v>
      </c>
      <c r="F56" s="114" t="s">
        <v>1710</v>
      </c>
      <c r="G56" s="60" t="s">
        <v>1711</v>
      </c>
      <c r="H56" s="60" t="s">
        <v>1840</v>
      </c>
      <c r="I56" s="59"/>
      <c r="J56" s="100"/>
      <c r="K56" s="102"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5.5" customHeight="1">
      <c r="A57" s="64" t="s">
        <v>2010</v>
      </c>
      <c r="B57" s="59" t="str">
        <f t="shared" si="0"/>
        <v>giftcodesbanner/別破防鴨-bar.jpg</v>
      </c>
      <c r="C57" s="59"/>
      <c r="D57" s="59" t="str">
        <f t="shared" si="1"/>
        <v>https://www.ssbuy.tw/detail_giftcode/dist/giftcodes/別破防鴨.html</v>
      </c>
      <c r="E57" s="116" t="s">
        <v>2011</v>
      </c>
      <c r="F57" s="114" t="s">
        <v>1710</v>
      </c>
      <c r="G57" s="60" t="s">
        <v>1711</v>
      </c>
      <c r="H57" s="60" t="s">
        <v>1840</v>
      </c>
      <c r="I57" s="59"/>
      <c r="J57" s="100"/>
      <c r="K57" s="102"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5.5" customHeight="1">
      <c r="A58" s="64" t="s">
        <v>846</v>
      </c>
      <c r="B58" s="59" t="str">
        <f t="shared" si="0"/>
        <v>giftcodesbanner/超派救星幫幫忙-bar.jpg</v>
      </c>
      <c r="C58" s="59"/>
      <c r="D58" s="59" t="str">
        <f t="shared" si="1"/>
        <v>https://www.ssbuy.tw/detail_giftcode/dist/giftcodes/超派救星幫幫忙.html</v>
      </c>
      <c r="E58" s="100" t="s">
        <v>2030</v>
      </c>
      <c r="F58" s="114" t="s">
        <v>1710</v>
      </c>
      <c r="G58" s="60" t="s">
        <v>1711</v>
      </c>
      <c r="H58" s="60" t="s">
        <v>1840</v>
      </c>
      <c r="I58" s="59"/>
      <c r="J58" s="100"/>
      <c r="K58" s="103"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5.5" customHeight="1">
      <c r="A59" s="64" t="s">
        <v>857</v>
      </c>
      <c r="B59" s="59" t="str">
        <f t="shared" si="0"/>
        <v>giftcodesbanner/時光大爆炸-bar.jpg</v>
      </c>
      <c r="C59" s="59"/>
      <c r="D59" s="59" t="str">
        <f t="shared" si="1"/>
        <v>https://www.ssbuy.tw/detail_giftcode/dist/giftcodes/時光大爆炸.html</v>
      </c>
      <c r="E59" s="100" t="s">
        <v>2899</v>
      </c>
      <c r="F59" s="114" t="s">
        <v>1710</v>
      </c>
      <c r="G59" s="60" t="s">
        <v>1711</v>
      </c>
      <c r="H59" s="60" t="s">
        <v>1840</v>
      </c>
      <c r="I59" s="59"/>
      <c r="J59" s="100"/>
      <c r="K59" s="101"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5.5" customHeight="1">
      <c r="A60" s="64" t="s">
        <v>866</v>
      </c>
      <c r="B60" s="59" t="str">
        <f t="shared" si="0"/>
        <v>giftcodesbanner/深淵：不滅者-bar.jpg</v>
      </c>
      <c r="C60" s="59"/>
      <c r="D60" s="59" t="str">
        <f t="shared" si="1"/>
        <v>https://www.ssbuy.tw/detail_giftcode/dist/giftcodes/深淵：不滅者.html</v>
      </c>
      <c r="E60" s="100" t="s">
        <v>2900</v>
      </c>
      <c r="F60" s="114" t="s">
        <v>1710</v>
      </c>
      <c r="G60" s="60" t="s">
        <v>1711</v>
      </c>
      <c r="H60" s="60" t="s">
        <v>1840</v>
      </c>
      <c r="I60" s="59"/>
      <c r="J60" s="100"/>
      <c r="K60" s="102"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5.5" customHeight="1">
      <c r="A61" s="64" t="s">
        <v>2</v>
      </c>
      <c r="B61" s="59" t="str">
        <f t="shared" si="0"/>
        <v>giftcodesbanner/Last War-bar.jpg</v>
      </c>
      <c r="C61" s="59"/>
      <c r="D61" s="59" t="str">
        <f t="shared" si="1"/>
        <v>https://www.ssbuy.tw/detail_giftcode/dist/giftcodes/Last War.html</v>
      </c>
      <c r="E61" s="100" t="s">
        <v>2901</v>
      </c>
      <c r="F61" s="114" t="s">
        <v>1710</v>
      </c>
      <c r="G61" s="60" t="s">
        <v>1711</v>
      </c>
      <c r="H61" s="60" t="s">
        <v>1840</v>
      </c>
      <c r="I61" s="59"/>
      <c r="J61" s="100"/>
      <c r="K61" s="101"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5.5" customHeight="1">
      <c r="A62" s="64" t="s">
        <v>883</v>
      </c>
      <c r="B62" s="59" t="str">
        <f t="shared" si="0"/>
        <v>giftcodesbanner/勇士不要停-bar.jpg</v>
      </c>
      <c r="C62" s="59"/>
      <c r="D62" s="59" t="str">
        <f t="shared" si="1"/>
        <v>https://www.ssbuy.tw/detail_giftcode/dist/giftcodes/勇士不要停.html</v>
      </c>
      <c r="E62" s="100" t="s">
        <v>2053</v>
      </c>
      <c r="F62" s="114" t="s">
        <v>1710</v>
      </c>
      <c r="G62" s="60" t="s">
        <v>1711</v>
      </c>
      <c r="H62" s="60" t="s">
        <v>1840</v>
      </c>
      <c r="I62" s="59"/>
      <c r="J62" s="100"/>
      <c r="K62" s="101"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5.5" customHeight="1">
      <c r="A63" s="64" t="s">
        <v>890</v>
      </c>
      <c r="B63" s="59" t="str">
        <f t="shared" si="0"/>
        <v>giftcodesbanner/元氣火柴人-bar.jpg</v>
      </c>
      <c r="C63" s="59"/>
      <c r="D63" s="59" t="str">
        <f t="shared" si="1"/>
        <v>https://www.ssbuy.tw/detail_giftcode/dist/giftcodes/元氣火柴人.html</v>
      </c>
      <c r="E63" s="116" t="s">
        <v>2910</v>
      </c>
      <c r="F63" s="114" t="s">
        <v>1710</v>
      </c>
      <c r="G63" s="60" t="s">
        <v>1711</v>
      </c>
      <c r="H63" s="60" t="s">
        <v>1840</v>
      </c>
      <c r="I63" s="59"/>
      <c r="J63" s="100"/>
      <c r="K63" s="101"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5.5" customHeight="1">
      <c r="A64" s="64" t="s">
        <v>899</v>
      </c>
      <c r="B64" s="59" t="str">
        <f t="shared" si="0"/>
        <v>giftcodesbanner/深淵之影-bar.jpg</v>
      </c>
      <c r="C64" s="59"/>
      <c r="D64" s="59" t="str">
        <f t="shared" si="1"/>
        <v>https://www.ssbuy.tw/detail_giftcode/dist/giftcodes/深淵之影.html</v>
      </c>
      <c r="E64" s="100" t="s">
        <v>2916</v>
      </c>
      <c r="F64" s="114" t="s">
        <v>1710</v>
      </c>
      <c r="G64" s="60" t="s">
        <v>1711</v>
      </c>
      <c r="H64" s="60" t="s">
        <v>1840</v>
      </c>
      <c r="I64" s="59"/>
      <c r="J64" s="100"/>
      <c r="K64" s="101"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5.5" customHeight="1">
      <c r="A65" s="64" t="s">
        <v>904</v>
      </c>
      <c r="B65" s="59" t="str">
        <f t="shared" si="0"/>
        <v>giftcodesbanner/玩星派對-bar.jpg</v>
      </c>
      <c r="C65" s="59"/>
      <c r="D65" s="59" t="str">
        <f t="shared" si="1"/>
        <v>https://www.ssbuy.tw/detail_giftcode/dist/giftcodes/玩星派對.html</v>
      </c>
      <c r="E65" s="100" t="s">
        <v>2067</v>
      </c>
      <c r="F65" s="114" t="s">
        <v>1710</v>
      </c>
      <c r="G65" s="60" t="s">
        <v>1711</v>
      </c>
      <c r="H65" s="60" t="s">
        <v>1840</v>
      </c>
      <c r="I65" s="59"/>
      <c r="J65" s="100"/>
      <c r="K65" s="101"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5.5" customHeight="1">
      <c r="A66" s="64" t="s">
        <v>2072</v>
      </c>
      <c r="B66" s="59" t="str">
        <f t="shared" si="0"/>
        <v>giftcodesbanner/進化吧!我的人生-bar.jpg</v>
      </c>
      <c r="C66" s="59"/>
      <c r="D66" s="59" t="str">
        <f t="shared" si="1"/>
        <v>https://www.ssbuy.tw/detail_giftcode/dist/giftcodes/進化吧!我的人生.html</v>
      </c>
      <c r="E66" s="100" t="s">
        <v>2073</v>
      </c>
      <c r="F66" s="114" t="s">
        <v>1710</v>
      </c>
      <c r="G66" s="60" t="s">
        <v>1711</v>
      </c>
      <c r="H66" s="60" t="s">
        <v>1840</v>
      </c>
      <c r="I66" s="59"/>
      <c r="J66" s="100"/>
      <c r="K66" s="101"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5.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100" t="s">
        <v>2080</v>
      </c>
      <c r="F67" s="114" t="s">
        <v>1710</v>
      </c>
      <c r="G67" s="60" t="s">
        <v>1711</v>
      </c>
      <c r="H67" s="60" t="s">
        <v>1840</v>
      </c>
      <c r="I67" s="59"/>
      <c r="J67" s="100"/>
      <c r="K67" s="101"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5.5" customHeight="1">
      <c r="A68" s="64" t="s">
        <v>2088</v>
      </c>
      <c r="B68" s="59" t="str">
        <f t="shared" si="2"/>
        <v>giftcodesbanner/小冰冰傳奇：回到最初-bar.jpg</v>
      </c>
      <c r="C68" s="59"/>
      <c r="D68" s="59" t="str">
        <f t="shared" si="3"/>
        <v>https://www.ssbuy.tw/detail_giftcode/dist/giftcodes/小冰冰傳奇：回到最初.html</v>
      </c>
      <c r="E68" s="100" t="s">
        <v>2089</v>
      </c>
      <c r="F68" s="114" t="s">
        <v>1710</v>
      </c>
      <c r="G68" s="60" t="s">
        <v>1711</v>
      </c>
      <c r="H68" s="60" t="s">
        <v>1840</v>
      </c>
      <c r="I68" s="59"/>
      <c r="J68" s="100"/>
      <c r="K68" s="101"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5.5" customHeight="1">
      <c r="A69" s="64" t="s">
        <v>936</v>
      </c>
      <c r="B69" s="59" t="str">
        <f t="shared" si="2"/>
        <v>giftcodesbanner/江湖風雲傳-bar.jpg</v>
      </c>
      <c r="C69" s="59"/>
      <c r="D69" s="59" t="str">
        <f t="shared" si="3"/>
        <v>https://www.ssbuy.tw/detail_giftcode/dist/giftcodes/江湖風雲傳.html</v>
      </c>
      <c r="E69" s="100" t="s">
        <v>2929</v>
      </c>
      <c r="F69" s="114" t="s">
        <v>1710</v>
      </c>
      <c r="G69" s="60" t="s">
        <v>1711</v>
      </c>
      <c r="H69" s="60" t="s">
        <v>1840</v>
      </c>
      <c r="I69" s="59"/>
      <c r="J69" s="100"/>
      <c r="K69" s="101"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5.5" customHeight="1">
      <c r="A70" s="64" t="s">
        <v>2099</v>
      </c>
      <c r="B70" s="59" t="str">
        <f t="shared" si="2"/>
        <v>giftcodesbanner/星願之冠：狼少女物語-bar.jpg</v>
      </c>
      <c r="C70" s="59"/>
      <c r="D70" s="59" t="str">
        <f t="shared" si="3"/>
        <v>https://www.ssbuy.tw/detail_giftcode/dist/giftcodes/星願之冠：狼少女物語.html</v>
      </c>
      <c r="E70" s="100" t="s">
        <v>2100</v>
      </c>
      <c r="F70" s="114" t="s">
        <v>1710</v>
      </c>
      <c r="G70" s="60" t="s">
        <v>1711</v>
      </c>
      <c r="H70" s="60" t="s">
        <v>1840</v>
      </c>
      <c r="I70" s="59"/>
      <c r="J70" s="100"/>
      <c r="K70" s="101"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5.5" customHeight="1">
      <c r="A71" s="64" t="s">
        <v>955</v>
      </c>
      <c r="B71" s="59" t="str">
        <f t="shared" si="2"/>
        <v>giftcodesbanner/香蕉缺個芭樂-bar.jpg</v>
      </c>
      <c r="C71" s="59"/>
      <c r="D71" s="59" t="str">
        <f t="shared" si="3"/>
        <v>https://www.ssbuy.tw/detail_giftcode/dist/giftcodes/香蕉缺個芭樂.html</v>
      </c>
      <c r="E71" s="100" t="s">
        <v>2933</v>
      </c>
      <c r="F71" s="114" t="s">
        <v>1710</v>
      </c>
      <c r="G71" s="60" t="s">
        <v>1711</v>
      </c>
      <c r="H71" s="60" t="s">
        <v>1840</v>
      </c>
      <c r="I71" s="59"/>
      <c r="J71" s="100"/>
      <c r="K71" s="101"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5.5" customHeight="1">
      <c r="A72" s="64" t="s">
        <v>962</v>
      </c>
      <c r="B72" s="59" t="str">
        <f t="shared" si="2"/>
        <v>giftcodesbanner/精靈塔塔開-bar.jpg</v>
      </c>
      <c r="C72" s="59"/>
      <c r="D72" s="59" t="str">
        <f t="shared" si="3"/>
        <v>https://www.ssbuy.tw/detail_giftcode/dist/giftcodes/精靈塔塔開.html</v>
      </c>
      <c r="E72" s="100" t="s">
        <v>2110</v>
      </c>
      <c r="F72" s="114" t="s">
        <v>1710</v>
      </c>
      <c r="G72" s="60" t="s">
        <v>1711</v>
      </c>
      <c r="H72" s="60" t="s">
        <v>1840</v>
      </c>
      <c r="I72" s="59"/>
      <c r="J72" s="100"/>
      <c r="K72" s="101"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5.5" customHeight="1">
      <c r="A73" s="64" t="s">
        <v>970</v>
      </c>
      <c r="B73" s="59" t="str">
        <f t="shared" si="2"/>
        <v>giftcodesbanner/終末之歌-bar.jpg</v>
      </c>
      <c r="C73" s="59"/>
      <c r="D73" s="59" t="str">
        <f t="shared" si="3"/>
        <v>https://www.ssbuy.tw/detail_giftcode/dist/giftcodes/終末之歌.html</v>
      </c>
      <c r="E73" s="100" t="s">
        <v>2949</v>
      </c>
      <c r="F73" s="114" t="s">
        <v>1710</v>
      </c>
      <c r="G73" s="60" t="s">
        <v>1711</v>
      </c>
      <c r="H73" s="60" t="s">
        <v>1840</v>
      </c>
      <c r="I73" s="59"/>
      <c r="J73" s="100"/>
      <c r="K73" s="101"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5.5" customHeight="1">
      <c r="A74" s="64" t="s">
        <v>978</v>
      </c>
      <c r="B74" s="59" t="str">
        <f t="shared" si="2"/>
        <v>giftcodesbanner/森靈奇境-bar.jpg</v>
      </c>
      <c r="C74" s="59"/>
      <c r="D74" s="59" t="str">
        <f t="shared" si="3"/>
        <v>https://www.ssbuy.tw/detail_giftcode/dist/giftcodes/森靈奇境.html</v>
      </c>
      <c r="E74" s="100" t="s">
        <v>2113</v>
      </c>
      <c r="F74" s="114" t="s">
        <v>1710</v>
      </c>
      <c r="G74" s="60" t="s">
        <v>1711</v>
      </c>
      <c r="H74" s="60" t="s">
        <v>1840</v>
      </c>
      <c r="I74" s="59"/>
      <c r="J74" s="100"/>
      <c r="K74" s="101"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5.5" customHeight="1">
      <c r="A75" s="64" t="s">
        <v>2961</v>
      </c>
      <c r="B75" s="59" t="str">
        <f t="shared" si="2"/>
        <v>giftcodesbanner/鬥破蒼穹：蕭門篇-bar.jpg</v>
      </c>
      <c r="C75" s="59"/>
      <c r="D75" s="59" t="str">
        <f t="shared" si="3"/>
        <v>https://www.ssbuy.tw/detail_giftcode/dist/giftcodes/鬥破蒼穹：蕭門篇.html</v>
      </c>
      <c r="E75" s="100" t="s">
        <v>2122</v>
      </c>
      <c r="F75" s="114" t="s">
        <v>1710</v>
      </c>
      <c r="G75" s="60" t="s">
        <v>1711</v>
      </c>
      <c r="H75" s="60" t="s">
        <v>1840</v>
      </c>
      <c r="I75" s="59"/>
      <c r="J75" s="100"/>
      <c r="K75" s="101"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5.5" customHeight="1">
      <c r="A76" s="64" t="s">
        <v>995</v>
      </c>
      <c r="B76" s="59" t="str">
        <f t="shared" si="2"/>
        <v>giftcodesbanner/無畏的狼煙-bar.jpg</v>
      </c>
      <c r="C76" s="59"/>
      <c r="D76" s="59" t="str">
        <f t="shared" si="3"/>
        <v>https://www.ssbuy.tw/detail_giftcode/dist/giftcodes/無畏的狼煙.html</v>
      </c>
      <c r="E76" s="100" t="s">
        <v>2130</v>
      </c>
      <c r="F76" s="114" t="s">
        <v>1710</v>
      </c>
      <c r="G76" s="60" t="s">
        <v>1711</v>
      </c>
      <c r="H76" s="60" t="s">
        <v>1840</v>
      </c>
      <c r="I76" s="59"/>
      <c r="J76" s="100"/>
      <c r="K76" s="101"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5.5" customHeight="1">
      <c r="A77" s="75" t="s">
        <v>2970</v>
      </c>
      <c r="B77" s="59" t="str">
        <f t="shared" si="2"/>
        <v>giftcodesbanner/代號：無頭-bar.jpg</v>
      </c>
      <c r="C77" s="59"/>
      <c r="D77" s="59" t="str">
        <f t="shared" si="3"/>
        <v>https://www.ssbuy.tw/detail_giftcode/dist/giftcodes/代號：無頭.html</v>
      </c>
      <c r="E77" s="100" t="s">
        <v>2136</v>
      </c>
      <c r="F77" s="114" t="s">
        <v>1710</v>
      </c>
      <c r="G77" s="60" t="s">
        <v>1711</v>
      </c>
      <c r="H77" s="60" t="s">
        <v>1840</v>
      </c>
      <c r="I77" s="59"/>
      <c r="J77" s="100"/>
      <c r="K77" s="101"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5.5" customHeight="1">
      <c r="A78" s="64" t="s">
        <v>1012</v>
      </c>
      <c r="B78" s="59" t="str">
        <f t="shared" si="2"/>
        <v>giftcodesbanner/牛頭人GO-bar.jpg</v>
      </c>
      <c r="C78" s="59"/>
      <c r="D78" s="59" t="str">
        <f t="shared" si="3"/>
        <v>https://www.ssbuy.tw/detail_giftcode/dist/giftcodes/牛頭人GO.html</v>
      </c>
      <c r="E78" s="100" t="s">
        <v>2977</v>
      </c>
      <c r="F78" s="114" t="s">
        <v>1710</v>
      </c>
      <c r="G78" s="60" t="s">
        <v>1711</v>
      </c>
      <c r="H78" s="60" t="s">
        <v>1840</v>
      </c>
      <c r="I78" s="59"/>
      <c r="J78" s="100"/>
      <c r="K78" s="101"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5.5" customHeight="1">
      <c r="A79" s="64" t="s">
        <v>1021</v>
      </c>
      <c r="B79" s="59" t="str">
        <f t="shared" si="2"/>
        <v>giftcodesbanner/派對吧三國-bar.jpg</v>
      </c>
      <c r="C79" s="59"/>
      <c r="D79" s="59" t="str">
        <f t="shared" si="3"/>
        <v>https://www.ssbuy.tw/detail_giftcode/dist/giftcodes/派對吧三國.html</v>
      </c>
      <c r="E79" s="100" t="s">
        <v>2982</v>
      </c>
      <c r="F79" s="114" t="s">
        <v>1710</v>
      </c>
      <c r="G79" s="60" t="s">
        <v>1711</v>
      </c>
      <c r="H79" s="60" t="s">
        <v>1840</v>
      </c>
      <c r="I79" s="59"/>
      <c r="J79" s="100"/>
      <c r="K79" s="101"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5.5" customHeight="1">
      <c r="A80" s="64" t="s">
        <v>1035</v>
      </c>
      <c r="B80" s="59" t="str">
        <f t="shared" si="2"/>
        <v>giftcodesbanner/酒酒大俠-bar.jpg</v>
      </c>
      <c r="C80" s="59"/>
      <c r="D80" s="59" t="str">
        <f t="shared" si="3"/>
        <v>https://www.ssbuy.tw/detail_giftcode/dist/giftcodes/酒酒大俠.html</v>
      </c>
      <c r="E80" s="100" t="s">
        <v>2987</v>
      </c>
      <c r="F80" s="114" t="s">
        <v>1710</v>
      </c>
      <c r="G80" s="60" t="s">
        <v>1711</v>
      </c>
      <c r="H80" s="60" t="s">
        <v>1840</v>
      </c>
      <c r="I80" s="59"/>
      <c r="J80" s="100"/>
      <c r="K80" s="101"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5.5" customHeight="1">
      <c r="A81" s="64" t="s">
        <v>1044</v>
      </c>
      <c r="B81" s="59" t="str">
        <f t="shared" si="2"/>
        <v>giftcodesbanner/鼠衛家園-bar.jpg</v>
      </c>
      <c r="C81" s="59"/>
      <c r="D81" s="59" t="str">
        <f t="shared" si="3"/>
        <v>https://www.ssbuy.tw/detail_giftcode/dist/giftcodes/鼠衛家園.html</v>
      </c>
      <c r="E81" s="100" t="s">
        <v>2992</v>
      </c>
      <c r="F81" s="114" t="s">
        <v>1710</v>
      </c>
      <c r="G81" s="60" t="s">
        <v>1711</v>
      </c>
      <c r="H81" s="60" t="s">
        <v>1840</v>
      </c>
      <c r="I81" s="59"/>
      <c r="J81" s="100"/>
      <c r="K81" s="101"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5.5" customHeight="1">
      <c r="A82" s="64" t="s">
        <v>2997</v>
      </c>
      <c r="B82" s="59" t="str">
        <f t="shared" si="2"/>
        <v>giftcodesbanner/未頌者之歌：異世界冒險奇譚-bar.jpg</v>
      </c>
      <c r="C82" s="59"/>
      <c r="D82" s="59" t="str">
        <f t="shared" si="3"/>
        <v>https://www.ssbuy.tw/detail_giftcode/dist/giftcodes/未頌者之歌：異世界冒險奇譚.html</v>
      </c>
      <c r="E82" s="100" t="s">
        <v>2998</v>
      </c>
      <c r="F82" s="114" t="s">
        <v>1710</v>
      </c>
      <c r="G82" s="60" t="s">
        <v>1711</v>
      </c>
      <c r="H82" s="60" t="s">
        <v>1840</v>
      </c>
      <c r="I82" s="59"/>
      <c r="J82" s="100"/>
      <c r="K82" s="101"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5.5" customHeight="1">
      <c r="A83" s="64" t="s">
        <v>1059</v>
      </c>
      <c r="B83" s="59" t="str">
        <f t="shared" si="2"/>
        <v>giftcodesbanner/熱練戰士-bar.jpg</v>
      </c>
      <c r="C83" s="59"/>
      <c r="D83" s="59" t="str">
        <f t="shared" si="3"/>
        <v>https://www.ssbuy.tw/detail_giftcode/dist/giftcodes/熱練戰士.html</v>
      </c>
      <c r="E83" s="100" t="s">
        <v>3003</v>
      </c>
      <c r="F83" s="114" t="s">
        <v>1710</v>
      </c>
      <c r="G83" s="60" t="s">
        <v>1711</v>
      </c>
      <c r="H83" s="60" t="s">
        <v>1840</v>
      </c>
      <c r="I83" s="59"/>
      <c r="J83" s="100"/>
      <c r="K83" s="101"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5.5" customHeight="1">
      <c r="A84" s="64" t="s">
        <v>1064</v>
      </c>
      <c r="B84" s="59" t="str">
        <f t="shared" si="2"/>
        <v>giftcodesbanner/聯盟戰棋-bar.jpg</v>
      </c>
      <c r="C84" s="59"/>
      <c r="D84" s="59" t="str">
        <f t="shared" si="3"/>
        <v>https://www.ssbuy.tw/detail_giftcode/dist/giftcodes/聯盟戰棋.html</v>
      </c>
      <c r="E84" s="100" t="s">
        <v>2161</v>
      </c>
      <c r="F84" s="114" t="s">
        <v>1710</v>
      </c>
      <c r="G84" s="60" t="s">
        <v>1711</v>
      </c>
      <c r="H84" s="60" t="s">
        <v>1840</v>
      </c>
      <c r="I84" s="59"/>
      <c r="J84" s="100"/>
      <c r="K84" s="101"/>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5.5" customHeight="1">
      <c r="A85" s="64" t="s">
        <v>2162</v>
      </c>
      <c r="B85" s="59" t="str">
        <f t="shared" si="2"/>
        <v>giftcodesbanner/劍客物語-bar.jpg</v>
      </c>
      <c r="C85" s="59"/>
      <c r="D85" s="59" t="str">
        <f t="shared" si="3"/>
        <v>https://www.ssbuy.tw/detail_giftcode/dist/giftcodes/劍客物語.html</v>
      </c>
      <c r="E85" s="100" t="s">
        <v>3012</v>
      </c>
      <c r="F85" s="114" t="s">
        <v>1710</v>
      </c>
      <c r="G85" s="60" t="s">
        <v>1711</v>
      </c>
      <c r="H85" s="60" t="s">
        <v>1840</v>
      </c>
      <c r="I85" s="59"/>
      <c r="J85" s="100"/>
      <c r="K85" s="101"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5.5" customHeight="1">
      <c r="A86" s="64" t="s">
        <v>2168</v>
      </c>
      <c r="B86" s="59" t="str">
        <f t="shared" si="2"/>
        <v>giftcodesbanner/人在塔在-bar.jpg</v>
      </c>
      <c r="C86" s="59"/>
      <c r="D86" s="59" t="str">
        <f t="shared" si="3"/>
        <v>https://www.ssbuy.tw/detail_giftcode/dist/giftcodes/人在塔在.html</v>
      </c>
      <c r="E86" s="100" t="s">
        <v>3024</v>
      </c>
      <c r="F86" s="114" t="s">
        <v>1710</v>
      </c>
      <c r="G86" s="60" t="s">
        <v>1711</v>
      </c>
      <c r="H86" s="60" t="s">
        <v>1840</v>
      </c>
      <c r="I86" s="59"/>
      <c r="J86" s="100"/>
      <c r="K86" s="101"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5.5" customHeight="1">
      <c r="A87" s="64" t="s">
        <v>2170</v>
      </c>
      <c r="B87" s="59" t="str">
        <f t="shared" si="2"/>
        <v>giftcodesbanner/龍語霜城-bar.jpg</v>
      </c>
      <c r="C87" s="59"/>
      <c r="D87" s="59" t="str">
        <f t="shared" si="3"/>
        <v>https://www.ssbuy.tw/detail_giftcode/dist/giftcodes/龍語霜城.html</v>
      </c>
      <c r="E87" s="100" t="s">
        <v>3026</v>
      </c>
      <c r="F87" s="114" t="s">
        <v>1710</v>
      </c>
      <c r="G87" s="60" t="s">
        <v>1711</v>
      </c>
      <c r="H87" s="60" t="s">
        <v>1840</v>
      </c>
      <c r="I87" s="59"/>
      <c r="J87" s="100"/>
      <c r="K87" s="101"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5.5" customHeight="1">
      <c r="A88" s="64" t="s">
        <v>2176</v>
      </c>
      <c r="B88" s="59" t="str">
        <f t="shared" si="2"/>
        <v>giftcodesbanner/洛伊的移動要塞-bar.jpg</v>
      </c>
      <c r="C88" s="59"/>
      <c r="D88" s="59" t="str">
        <f t="shared" si="3"/>
        <v>https://www.ssbuy.tw/detail_giftcode/dist/giftcodes/洛伊的移動要塞.html</v>
      </c>
      <c r="E88" s="100" t="s">
        <v>2177</v>
      </c>
      <c r="F88" s="114" t="s">
        <v>1710</v>
      </c>
      <c r="G88" s="60" t="s">
        <v>1711</v>
      </c>
      <c r="H88" s="60" t="s">
        <v>1840</v>
      </c>
      <c r="I88" s="59"/>
      <c r="J88" s="100"/>
      <c r="K88" s="101"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5.5" customHeight="1">
      <c r="A89" s="64" t="s">
        <v>3043</v>
      </c>
      <c r="B89" s="59" t="str">
        <f t="shared" si="2"/>
        <v>giftcodesbanner/喵喵王國-bar.jpg</v>
      </c>
      <c r="C89" s="59"/>
      <c r="D89" s="59" t="str">
        <f t="shared" si="3"/>
        <v>https://www.ssbuy.tw/detail_giftcode/dist/giftcodes/喵喵王國.html</v>
      </c>
      <c r="E89" s="100" t="s">
        <v>3044</v>
      </c>
      <c r="F89" s="114" t="s">
        <v>1710</v>
      </c>
      <c r="G89" s="60" t="s">
        <v>1711</v>
      </c>
      <c r="H89" s="60" t="s">
        <v>1840</v>
      </c>
      <c r="I89" s="59"/>
      <c r="J89" s="100"/>
      <c r="K89" s="101"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5.5" customHeight="1">
      <c r="A90" s="64" t="s">
        <v>1121</v>
      </c>
      <c r="B90" s="59" t="str">
        <f t="shared" si="2"/>
        <v>giftcodesbanner/東京謎影者-bar.jpg</v>
      </c>
      <c r="C90" s="59"/>
      <c r="D90" s="59" t="str">
        <f t="shared" si="3"/>
        <v>https://www.ssbuy.tw/detail_giftcode/dist/giftcodes/東京謎影者.html</v>
      </c>
      <c r="E90" s="100" t="s">
        <v>2185</v>
      </c>
      <c r="F90" s="114" t="s">
        <v>1710</v>
      </c>
      <c r="G90" s="60" t="s">
        <v>1711</v>
      </c>
      <c r="H90" s="60" t="s">
        <v>1840</v>
      </c>
      <c r="I90" s="59"/>
      <c r="J90" s="100"/>
      <c r="K90" s="101"/>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5.5" customHeight="1">
      <c r="A91" s="64" t="s">
        <v>1129</v>
      </c>
      <c r="B91" s="59" t="str">
        <f t="shared" si="2"/>
        <v>giftcodesbanner/戰極死遊-bar.jpg</v>
      </c>
      <c r="C91" s="59"/>
      <c r="D91" s="59" t="str">
        <f t="shared" si="3"/>
        <v>https://www.ssbuy.tw/detail_giftcode/dist/giftcodes/戰極死遊.html</v>
      </c>
      <c r="E91" s="100" t="s">
        <v>2186</v>
      </c>
      <c r="F91" s="114" t="s">
        <v>1710</v>
      </c>
      <c r="G91" s="60" t="s">
        <v>1711</v>
      </c>
      <c r="H91" s="60" t="s">
        <v>1840</v>
      </c>
      <c r="I91" s="59"/>
      <c r="J91" s="100"/>
      <c r="K91" s="101"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5.5" customHeight="1">
      <c r="A92" s="64" t="s">
        <v>1137</v>
      </c>
      <c r="B92" s="59" t="str">
        <f t="shared" si="2"/>
        <v>giftcodesbanner/進擊的蝸牛-bar.jpg</v>
      </c>
      <c r="C92" s="59"/>
      <c r="D92" s="59" t="str">
        <f t="shared" si="3"/>
        <v>https://www.ssbuy.tw/detail_giftcode/dist/giftcodes/進擊的蝸牛.html</v>
      </c>
      <c r="E92" s="100" t="s">
        <v>2189</v>
      </c>
      <c r="F92" s="114" t="s">
        <v>1710</v>
      </c>
      <c r="G92" s="60" t="s">
        <v>1711</v>
      </c>
      <c r="H92" s="60" t="s">
        <v>1840</v>
      </c>
      <c r="I92" s="59"/>
      <c r="J92" s="100"/>
      <c r="K92" s="101"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5.5" customHeight="1">
      <c r="A93" s="64" t="s">
        <v>1145</v>
      </c>
      <c r="B93" s="59" t="str">
        <f t="shared" si="2"/>
        <v>giftcodesbanner/純白大作戰-bar.jpg</v>
      </c>
      <c r="C93" s="59"/>
      <c r="D93" s="59" t="str">
        <f t="shared" si="3"/>
        <v>https://www.ssbuy.tw/detail_giftcode/dist/giftcodes/純白大作戰.html</v>
      </c>
      <c r="E93" s="100" t="s">
        <v>2201</v>
      </c>
      <c r="F93" s="114" t="s">
        <v>1710</v>
      </c>
      <c r="G93" s="60" t="s">
        <v>1711</v>
      </c>
      <c r="H93" s="60" t="s">
        <v>1840</v>
      </c>
      <c r="I93" s="59"/>
      <c r="J93" s="100"/>
      <c r="K93" s="101"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5.5" customHeight="1">
      <c r="A94" s="64" t="s">
        <v>1153</v>
      </c>
      <c r="B94" s="59" t="str">
        <f t="shared" si="2"/>
        <v>giftcodesbanner/黑星勇者-bar.jpg</v>
      </c>
      <c r="C94" s="59"/>
      <c r="D94" s="59" t="str">
        <f t="shared" si="3"/>
        <v>https://www.ssbuy.tw/detail_giftcode/dist/giftcodes/黑星勇者.html</v>
      </c>
      <c r="E94" s="100" t="s">
        <v>2206</v>
      </c>
      <c r="F94" s="114" t="s">
        <v>1710</v>
      </c>
      <c r="G94" s="60" t="s">
        <v>1711</v>
      </c>
      <c r="H94" s="60" t="s">
        <v>1840</v>
      </c>
      <c r="I94" s="59"/>
      <c r="J94" s="100"/>
      <c r="K94" s="101"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5.5" customHeight="1">
      <c r="A95" s="64" t="s">
        <v>2209</v>
      </c>
      <c r="B95" s="59" t="str">
        <f t="shared" si="2"/>
        <v>giftcodesbanner/龍之谷：經典再現-bar.jpg</v>
      </c>
      <c r="C95" s="59"/>
      <c r="D95" s="59" t="str">
        <f t="shared" si="3"/>
        <v>https://www.ssbuy.tw/detail_giftcode/dist/giftcodes/龍之谷：經典再現.html</v>
      </c>
      <c r="E95" s="100" t="s">
        <v>2210</v>
      </c>
      <c r="F95" s="114" t="s">
        <v>1710</v>
      </c>
      <c r="G95" s="60" t="s">
        <v>1711</v>
      </c>
      <c r="H95" s="60" t="s">
        <v>1840</v>
      </c>
      <c r="I95" s="59"/>
      <c r="J95" s="100"/>
      <c r="K95" s="101"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5.5" customHeight="1">
      <c r="A96" s="64" t="s">
        <v>1170</v>
      </c>
      <c r="B96" s="59" t="str">
        <f t="shared" si="2"/>
        <v>giftcodesbanner/楓之谷Artale-bar.jpg</v>
      </c>
      <c r="C96" s="59"/>
      <c r="D96" s="59" t="str">
        <f t="shared" si="3"/>
        <v>https://www.ssbuy.tw/detail_giftcode/dist/giftcodes/楓之谷Artale.html</v>
      </c>
      <c r="E96" s="100" t="s">
        <v>3060</v>
      </c>
      <c r="F96" s="114" t="s">
        <v>1710</v>
      </c>
      <c r="G96" s="60" t="s">
        <v>1711</v>
      </c>
      <c r="H96" s="60" t="s">
        <v>1840</v>
      </c>
      <c r="I96" s="59"/>
      <c r="J96" s="100"/>
      <c r="K96" s="101"/>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5.5" customHeight="1">
      <c r="A97" s="64" t="s">
        <v>2212</v>
      </c>
      <c r="B97" s="59" t="str">
        <f t="shared" si="2"/>
        <v>giftcodesbanner/出發吧麥芬-bar.jpg</v>
      </c>
      <c r="C97" s="59"/>
      <c r="D97" s="59" t="str">
        <f t="shared" si="3"/>
        <v>https://www.ssbuy.tw/detail_giftcode/dist/giftcodes/出發吧麥芬.html</v>
      </c>
      <c r="E97" s="100" t="s">
        <v>3061</v>
      </c>
      <c r="F97" s="114" t="s">
        <v>1710</v>
      </c>
      <c r="G97" s="60" t="s">
        <v>1711</v>
      </c>
      <c r="H97" s="60" t="s">
        <v>1840</v>
      </c>
      <c r="I97" s="59"/>
      <c r="J97" s="100"/>
      <c r="K97" s="101"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5.5" customHeight="1">
      <c r="A98" s="64" t="s">
        <v>1181</v>
      </c>
      <c r="B98" s="59" t="str">
        <f t="shared" si="2"/>
        <v>giftcodesbanner/RO仙境傳說：守護永恆的愛 Classic-bar.jpg</v>
      </c>
      <c r="C98" s="59"/>
      <c r="D98" s="59" t="str">
        <f t="shared" si="3"/>
        <v>https://www.ssbuy.tw/detail_giftcode/dist/giftcodes/RO仙境傳說：守護永恆的愛 Classic.html</v>
      </c>
      <c r="E98" s="100" t="s">
        <v>2215</v>
      </c>
      <c r="F98" s="114" t="s">
        <v>1710</v>
      </c>
      <c r="G98" s="60" t="s">
        <v>1711</v>
      </c>
      <c r="H98" s="60" t="s">
        <v>1840</v>
      </c>
      <c r="I98" s="59"/>
      <c r="J98" s="100"/>
      <c r="K98" s="101"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5.5" customHeight="1">
      <c r="A99" s="64" t="s">
        <v>2219</v>
      </c>
      <c r="B99" s="59" t="str">
        <f t="shared" si="2"/>
        <v>giftcodesbanner/魔力寶貝：復興-bar.jpg</v>
      </c>
      <c r="C99" s="59"/>
      <c r="D99" s="59" t="str">
        <f t="shared" si="3"/>
        <v>https://www.ssbuy.tw/detail_giftcode/dist/giftcodes/魔力寶貝：復興.html</v>
      </c>
      <c r="E99" s="100" t="s">
        <v>3078</v>
      </c>
      <c r="F99" s="114" t="s">
        <v>1710</v>
      </c>
      <c r="G99" s="60" t="s">
        <v>1711</v>
      </c>
      <c r="H99" s="60" t="s">
        <v>1840</v>
      </c>
      <c r="I99" s="59"/>
      <c r="J99" s="100"/>
      <c r="K99" s="101"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5.5" customHeight="1">
      <c r="A100" s="64" t="s">
        <v>2225</v>
      </c>
      <c r="B100" s="59" t="str">
        <f t="shared" si="2"/>
        <v>giftcodesbanner/東京喰種Awakening-bar.jpg</v>
      </c>
      <c r="C100" s="59"/>
      <c r="D100" s="59" t="str">
        <f t="shared" si="3"/>
        <v>https://www.ssbuy.tw/detail_giftcode/dist/giftcodes/東京喰種Awakening.html</v>
      </c>
      <c r="E100" s="100" t="s">
        <v>2226</v>
      </c>
      <c r="F100" s="114" t="s">
        <v>1710</v>
      </c>
      <c r="G100" s="60" t="s">
        <v>1711</v>
      </c>
      <c r="H100" s="60" t="s">
        <v>1840</v>
      </c>
      <c r="I100" s="59"/>
      <c r="J100" s="100"/>
      <c r="K100" s="101"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5.5" customHeight="1">
      <c r="A101" s="64" t="s">
        <v>1207</v>
      </c>
      <c r="B101" s="59" t="str">
        <f t="shared" si="2"/>
        <v>giftcodesbanner/晶核-bar.jpg</v>
      </c>
      <c r="C101" s="59"/>
      <c r="D101" s="59" t="str">
        <f t="shared" si="3"/>
        <v>https://www.ssbuy.tw/detail_giftcode/dist/giftcodes/晶核.html</v>
      </c>
      <c r="E101" s="100" t="s">
        <v>2241</v>
      </c>
      <c r="F101" s="114" t="s">
        <v>1710</v>
      </c>
      <c r="G101" s="60" t="s">
        <v>1711</v>
      </c>
      <c r="H101" s="60" t="s">
        <v>1840</v>
      </c>
      <c r="I101" s="59"/>
      <c r="J101" s="100"/>
      <c r="K101" s="101"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5.5" customHeight="1">
      <c r="A102" s="64" t="s">
        <v>1216</v>
      </c>
      <c r="B102" s="59" t="str">
        <f t="shared" si="2"/>
        <v>giftcodesbanner/無盡夢迴-bar.jpg</v>
      </c>
      <c r="C102" s="59"/>
      <c r="D102" s="59" t="str">
        <f t="shared" si="3"/>
        <v>https://www.ssbuy.tw/detail_giftcode/dist/giftcodes/無盡夢迴.html</v>
      </c>
      <c r="E102" s="100" t="s">
        <v>3104</v>
      </c>
      <c r="F102" s="114" t="s">
        <v>1710</v>
      </c>
      <c r="G102" s="60" t="s">
        <v>1711</v>
      </c>
      <c r="H102" s="60" t="s">
        <v>1840</v>
      </c>
      <c r="I102" s="59"/>
      <c r="J102" s="100"/>
      <c r="K102" s="101"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5.5" customHeight="1">
      <c r="A103" s="75" t="s">
        <v>2251</v>
      </c>
      <c r="B103" s="59" t="str">
        <f t="shared" si="2"/>
        <v>giftcodesbanner/RO仙境傳說：放推冒險團-bar.jpg</v>
      </c>
      <c r="C103" s="59"/>
      <c r="D103" s="59" t="str">
        <f t="shared" si="3"/>
        <v>https://www.ssbuy.tw/detail_giftcode/dist/giftcodes/RO仙境傳說：放推冒險團.html</v>
      </c>
      <c r="E103" s="100" t="s">
        <v>2252</v>
      </c>
      <c r="F103" s="114" t="s">
        <v>1710</v>
      </c>
      <c r="G103" s="60" t="s">
        <v>1711</v>
      </c>
      <c r="H103" s="60" t="s">
        <v>1840</v>
      </c>
      <c r="I103" s="59"/>
      <c r="J103" s="100"/>
      <c r="K103" s="101"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5.5" customHeight="1">
      <c r="A104" s="75" t="s">
        <v>1233</v>
      </c>
      <c r="B104" s="59" t="str">
        <f t="shared" si="2"/>
        <v>giftcodesbanner/英雄刷刷刷-bar.jpg</v>
      </c>
      <c r="C104" s="59"/>
      <c r="D104" s="59" t="str">
        <f t="shared" si="3"/>
        <v>https://www.ssbuy.tw/detail_giftcode/dist/giftcodes/英雄刷刷刷.html</v>
      </c>
      <c r="E104" s="100" t="s">
        <v>2263</v>
      </c>
      <c r="F104" s="114" t="s">
        <v>1710</v>
      </c>
      <c r="G104" s="60" t="s">
        <v>1711</v>
      </c>
      <c r="H104" s="60" t="s">
        <v>1840</v>
      </c>
      <c r="I104" s="59"/>
      <c r="J104" s="100"/>
      <c r="K104" s="101"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5.5" customHeight="1">
      <c r="A105" s="77" t="s">
        <v>1245</v>
      </c>
      <c r="B105" s="59" t="str">
        <f t="shared" si="2"/>
        <v>giftcodesbanner/萬靈物語-bar.jpg</v>
      </c>
      <c r="C105" s="59"/>
      <c r="D105" s="59" t="str">
        <f t="shared" si="3"/>
        <v>https://www.ssbuy.tw/detail_giftcode/dist/giftcodes/萬靈物語.html</v>
      </c>
      <c r="E105" s="100" t="s">
        <v>3118</v>
      </c>
      <c r="F105" s="114" t="s">
        <v>1710</v>
      </c>
      <c r="G105" s="60" t="s">
        <v>1711</v>
      </c>
      <c r="H105" s="60" t="s">
        <v>1840</v>
      </c>
      <c r="I105" s="59"/>
      <c r="J105" s="100"/>
      <c r="K105" s="101"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5.5" customHeight="1">
      <c r="A106" s="77" t="s">
        <v>2300</v>
      </c>
      <c r="B106" s="59" t="str">
        <f t="shared" si="2"/>
        <v>giftcodesbanner/斗羅大陸：逆轉時空-bar.jpg</v>
      </c>
      <c r="C106" s="59"/>
      <c r="D106" s="59" t="str">
        <f t="shared" si="3"/>
        <v>https://www.ssbuy.tw/detail_giftcode/dist/giftcodes/斗羅大陸：逆轉時空.html</v>
      </c>
      <c r="E106" s="100" t="s">
        <v>3119</v>
      </c>
      <c r="F106" s="114" t="s">
        <v>1710</v>
      </c>
      <c r="G106" s="60" t="s">
        <v>1711</v>
      </c>
      <c r="H106" s="60" t="s">
        <v>1840</v>
      </c>
      <c r="I106" s="59"/>
      <c r="J106" s="100"/>
      <c r="K106" s="101"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5.5" customHeight="1">
      <c r="A107" s="77" t="s">
        <v>2307</v>
      </c>
      <c r="B107" s="59" t="str">
        <f t="shared" si="2"/>
        <v>giftcodesbanner/魔靈召喚：保衛戰-bar.jpg</v>
      </c>
      <c r="C107" s="59"/>
      <c r="D107" s="59" t="str">
        <f t="shared" si="3"/>
        <v>https://www.ssbuy.tw/detail_giftcode/dist/giftcodes/魔靈召喚：保衛戰.html</v>
      </c>
      <c r="E107" s="100" t="s">
        <v>3125</v>
      </c>
      <c r="F107" s="114" t="s">
        <v>1710</v>
      </c>
      <c r="G107" s="60" t="s">
        <v>1711</v>
      </c>
      <c r="H107" s="60" t="s">
        <v>1840</v>
      </c>
      <c r="I107" s="59"/>
      <c r="J107" s="100"/>
      <c r="K107" s="101"/>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5.5" customHeight="1">
      <c r="A108" s="77" t="s">
        <v>1265</v>
      </c>
      <c r="B108" s="59" t="str">
        <f t="shared" si="2"/>
        <v>giftcodesbanner/潘多蘭島-bar.jpg</v>
      </c>
      <c r="C108" s="59"/>
      <c r="D108" s="59" t="str">
        <f t="shared" si="3"/>
        <v>https://www.ssbuy.tw/detail_giftcode/dist/giftcodes/潘多蘭島.html</v>
      </c>
      <c r="E108" s="100" t="s">
        <v>3126</v>
      </c>
      <c r="F108" s="114" t="s">
        <v>1710</v>
      </c>
      <c r="G108" s="60" t="s">
        <v>1711</v>
      </c>
      <c r="H108" s="60" t="s">
        <v>1840</v>
      </c>
      <c r="I108" s="59"/>
      <c r="J108" s="100"/>
      <c r="K108" s="101"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5.5" customHeight="1">
      <c r="A109" s="77" t="s">
        <v>1274</v>
      </c>
      <c r="B109" s="59" t="str">
        <f t="shared" si="2"/>
        <v>giftcodesbanner/電鋸果汁大亂鬥-bar.jpg</v>
      </c>
      <c r="C109" s="59"/>
      <c r="D109" s="59" t="str">
        <f t="shared" si="3"/>
        <v>https://www.ssbuy.tw/detail_giftcode/dist/giftcodes/電鋸果汁大亂鬥.html</v>
      </c>
      <c r="E109" s="100" t="s">
        <v>4591</v>
      </c>
      <c r="F109" s="114" t="s">
        <v>1710</v>
      </c>
      <c r="G109" s="60" t="s">
        <v>1711</v>
      </c>
      <c r="H109" s="60" t="s">
        <v>1840</v>
      </c>
      <c r="I109" s="59"/>
      <c r="J109" s="100"/>
      <c r="K109" s="101"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5.5" customHeight="1">
      <c r="A110" s="77" t="s">
        <v>1280</v>
      </c>
      <c r="B110" s="59" t="str">
        <f t="shared" si="2"/>
        <v>giftcodesbanner/風色幻想NeXus-bar.jpg</v>
      </c>
      <c r="C110" s="59"/>
      <c r="D110" s="59" t="str">
        <f t="shared" si="3"/>
        <v>https://www.ssbuy.tw/detail_giftcode/dist/giftcodes/風色幻想NeXus.html</v>
      </c>
      <c r="E110" s="100" t="s">
        <v>3127</v>
      </c>
      <c r="F110" s="114" t="s">
        <v>1710</v>
      </c>
      <c r="G110" s="60" t="s">
        <v>1711</v>
      </c>
      <c r="H110" s="60" t="s">
        <v>1840</v>
      </c>
      <c r="I110" s="59"/>
      <c r="J110" s="100"/>
      <c r="K110" s="101"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5.5" customHeight="1">
      <c r="A111" s="77" t="s">
        <v>1290</v>
      </c>
      <c r="B111" s="59" t="str">
        <f t="shared" si="2"/>
        <v>giftcodesbanner/星河訣愛-bar.jpg</v>
      </c>
      <c r="C111" s="59"/>
      <c r="D111" s="59" t="str">
        <f t="shared" si="3"/>
        <v>https://www.ssbuy.tw/detail_giftcode/dist/giftcodes/星河訣愛.html</v>
      </c>
      <c r="E111" s="100" t="s">
        <v>2314</v>
      </c>
      <c r="F111" s="114" t="s">
        <v>1710</v>
      </c>
      <c r="G111" s="60" t="s">
        <v>1711</v>
      </c>
      <c r="H111" s="60" t="s">
        <v>1840</v>
      </c>
      <c r="I111" s="59"/>
      <c r="J111" s="100"/>
      <c r="K111" s="101"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5.5" customHeight="1">
      <c r="A112" s="77" t="s">
        <v>3</v>
      </c>
      <c r="B112" s="59" t="str">
        <f t="shared" si="2"/>
        <v>giftcodesbanner/kingshot-bar.jpg</v>
      </c>
      <c r="C112" s="59"/>
      <c r="D112" s="59" t="str">
        <f t="shared" si="3"/>
        <v>https://www.ssbuy.tw/detail_giftcode/dist/giftcodes/kingshot.html</v>
      </c>
      <c r="E112" s="100" t="s">
        <v>2320</v>
      </c>
      <c r="F112" s="114" t="s">
        <v>1710</v>
      </c>
      <c r="G112" s="60" t="s">
        <v>1711</v>
      </c>
      <c r="H112" s="60" t="s">
        <v>1840</v>
      </c>
      <c r="I112" s="59"/>
      <c r="J112" s="100"/>
      <c r="K112" s="101"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5.5" customHeight="1">
      <c r="A113" s="77" t="s">
        <v>1297</v>
      </c>
      <c r="B113" s="59" t="str">
        <f t="shared" si="2"/>
        <v>giftcodesbanner/胡鬧地牢-bar.jpg</v>
      </c>
      <c r="C113" s="59"/>
      <c r="D113" s="59" t="str">
        <f t="shared" si="3"/>
        <v>https://www.ssbuy.tw/detail_giftcode/dist/giftcodes/胡鬧地牢.html</v>
      </c>
      <c r="E113" s="100" t="s">
        <v>3140</v>
      </c>
      <c r="F113" s="114" t="s">
        <v>1710</v>
      </c>
      <c r="G113" s="60" t="s">
        <v>1711</v>
      </c>
      <c r="H113" s="60" t="s">
        <v>1840</v>
      </c>
      <c r="I113" s="59"/>
      <c r="J113" s="100"/>
      <c r="K113" s="101"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5.5" customHeight="1">
      <c r="A114" s="77" t="s">
        <v>1303</v>
      </c>
      <c r="B114" s="59" t="str">
        <f t="shared" si="2"/>
        <v>giftcodesbanner/小小軍團-重生-bar.jpg</v>
      </c>
      <c r="C114" s="59"/>
      <c r="D114" s="59" t="str">
        <f t="shared" si="3"/>
        <v>https://www.ssbuy.tw/detail_giftcode/dist/giftcodes/小小軍團-重生.html</v>
      </c>
      <c r="E114" s="100" t="s">
        <v>3143</v>
      </c>
      <c r="F114" s="114" t="s">
        <v>1710</v>
      </c>
      <c r="G114" s="60" t="s">
        <v>1711</v>
      </c>
      <c r="H114" s="60" t="s">
        <v>1840</v>
      </c>
      <c r="I114" s="59"/>
      <c r="J114" s="100"/>
      <c r="K114" s="101"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5.5" customHeight="1">
      <c r="A115" s="77" t="s">
        <v>1314</v>
      </c>
      <c r="B115" s="59" t="str">
        <f t="shared" si="2"/>
        <v>giftcodesbanner/爪爪遠征-bar.jpg</v>
      </c>
      <c r="C115" s="59"/>
      <c r="D115" s="59" t="str">
        <f t="shared" si="3"/>
        <v>https://www.ssbuy.tw/detail_giftcode/dist/giftcodes/爪爪遠征.html</v>
      </c>
      <c r="E115" s="100" t="s">
        <v>2354</v>
      </c>
      <c r="F115" s="114" t="s">
        <v>1710</v>
      </c>
      <c r="G115" s="60" t="s">
        <v>1711</v>
      </c>
      <c r="H115" s="60" t="s">
        <v>1840</v>
      </c>
      <c r="I115" s="59"/>
      <c r="J115" s="100"/>
      <c r="K115" s="101"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5.5" customHeight="1">
      <c r="A116" s="77" t="s">
        <v>1324</v>
      </c>
      <c r="B116" s="59" t="str">
        <f t="shared" si="2"/>
        <v>giftcodesbanner/勇士團團轉-bar.jpg</v>
      </c>
      <c r="C116" s="59"/>
      <c r="D116" s="59" t="str">
        <f t="shared" si="3"/>
        <v>https://www.ssbuy.tw/detail_giftcode/dist/giftcodes/勇士團團轉.html</v>
      </c>
      <c r="E116" s="100" t="s">
        <v>2356</v>
      </c>
      <c r="F116" s="114" t="s">
        <v>1710</v>
      </c>
      <c r="G116" s="60" t="s">
        <v>1711</v>
      </c>
      <c r="H116" s="60" t="s">
        <v>1840</v>
      </c>
      <c r="I116" s="59"/>
      <c r="J116" s="100"/>
      <c r="K116" s="101"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5.5" customHeight="1">
      <c r="A117" s="77" t="s">
        <v>1331</v>
      </c>
      <c r="B117" s="59" t="str">
        <f t="shared" si="2"/>
        <v>giftcodesbanner/魁 三國志大戰-bar.jpg</v>
      </c>
      <c r="C117" s="59"/>
      <c r="D117" s="59" t="str">
        <f t="shared" si="3"/>
        <v>https://www.ssbuy.tw/detail_giftcode/dist/giftcodes/魁 三國志大戰.html</v>
      </c>
      <c r="E117" s="100" t="s">
        <v>3146</v>
      </c>
      <c r="F117" s="114" t="s">
        <v>1710</v>
      </c>
      <c r="G117" s="60" t="s">
        <v>1711</v>
      </c>
      <c r="H117" s="60" t="s">
        <v>1840</v>
      </c>
      <c r="I117" s="59"/>
      <c r="J117" s="100"/>
      <c r="K117" s="101"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5.5" customHeight="1">
      <c r="A118" s="77" t="s">
        <v>8</v>
      </c>
      <c r="B118" s="59" t="str">
        <f t="shared" si="2"/>
        <v>giftcodesbanner/tokyo beast-bar.jpg</v>
      </c>
      <c r="C118" s="59"/>
      <c r="D118" s="59" t="str">
        <f t="shared" si="3"/>
        <v>https://www.ssbuy.tw/detail_giftcode/dist/giftcodes/tokyo beast.html</v>
      </c>
      <c r="E118" s="100" t="s">
        <v>2360</v>
      </c>
      <c r="F118" s="114" t="s">
        <v>1710</v>
      </c>
      <c r="G118" s="60" t="s">
        <v>1711</v>
      </c>
      <c r="H118" s="60" t="s">
        <v>1840</v>
      </c>
      <c r="I118" s="59"/>
      <c r="J118" s="100"/>
      <c r="K118" s="101"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5.5" customHeight="1">
      <c r="A119" s="64" t="s">
        <v>1351</v>
      </c>
      <c r="B119" s="59" t="str">
        <f t="shared" si="2"/>
        <v>giftcodesbanner/切換英雄：放置型RPG-bar.jpg</v>
      </c>
      <c r="C119" s="59"/>
      <c r="D119" s="59" t="str">
        <f t="shared" si="3"/>
        <v>https://www.ssbuy.tw/detail_giftcode/dist/giftcodes/切換英雄：放置型RPG.html</v>
      </c>
      <c r="E119" s="116" t="s">
        <v>3148</v>
      </c>
      <c r="F119" s="114" t="s">
        <v>1710</v>
      </c>
      <c r="G119" s="60" t="s">
        <v>1711</v>
      </c>
      <c r="H119" s="60" t="s">
        <v>1840</v>
      </c>
      <c r="I119" s="59"/>
      <c r="J119" s="100"/>
      <c r="K119" s="101"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5.5" customHeight="1">
      <c r="A120" s="75" t="s">
        <v>1362</v>
      </c>
      <c r="B120" s="59" t="str">
        <f t="shared" si="2"/>
        <v>giftcodesbanner/小死神傳奇-bar.jpg</v>
      </c>
      <c r="C120" s="59"/>
      <c r="D120" s="59" t="str">
        <f t="shared" si="3"/>
        <v>https://www.ssbuy.tw/detail_giftcode/dist/giftcodes/小死神傳奇.html</v>
      </c>
      <c r="E120" s="100" t="s">
        <v>3151</v>
      </c>
      <c r="F120" s="114" t="s">
        <v>1710</v>
      </c>
      <c r="G120" s="60" t="s">
        <v>1711</v>
      </c>
      <c r="H120" s="60" t="s">
        <v>1840</v>
      </c>
      <c r="I120" s="59"/>
      <c r="J120" s="100"/>
      <c r="K120" s="101"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5.5" customHeight="1">
      <c r="A121" s="75" t="s">
        <v>3152</v>
      </c>
      <c r="B121" s="59" t="str">
        <f t="shared" si="2"/>
        <v>giftcodesbanner/闇影詩章：凌越世界-bar.jpg</v>
      </c>
      <c r="C121" s="59"/>
      <c r="D121" s="59" t="str">
        <f t="shared" si="3"/>
        <v>https://www.ssbuy.tw/detail_giftcode/dist/giftcodes/闇影詩章：凌越世界.html</v>
      </c>
      <c r="E121" s="116" t="s">
        <v>3153</v>
      </c>
      <c r="F121" s="114" t="s">
        <v>1710</v>
      </c>
      <c r="G121" s="60" t="s">
        <v>1711</v>
      </c>
      <c r="H121" s="60" t="s">
        <v>1840</v>
      </c>
      <c r="I121" s="59"/>
      <c r="J121" s="100"/>
      <c r="K121" s="101"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5.5" customHeight="1">
      <c r="A122" s="77" t="s">
        <v>1379</v>
      </c>
      <c r="B122" s="59" t="str">
        <f t="shared" si="2"/>
        <v>giftcodesbanner/雪月風花-bar.jpg</v>
      </c>
      <c r="C122" s="59"/>
      <c r="D122" s="59" t="str">
        <f t="shared" si="3"/>
        <v>https://www.ssbuy.tw/detail_giftcode/dist/giftcodes/雪月風花.html</v>
      </c>
      <c r="E122" s="100" t="s">
        <v>3155</v>
      </c>
      <c r="F122" s="114" t="s">
        <v>1710</v>
      </c>
      <c r="G122" s="60" t="s">
        <v>1711</v>
      </c>
      <c r="H122" s="60" t="s">
        <v>1840</v>
      </c>
      <c r="I122" s="59"/>
      <c r="J122" s="100"/>
      <c r="K122" s="103"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5.5" customHeight="1">
      <c r="A123" s="77" t="s">
        <v>1381</v>
      </c>
      <c r="B123" s="59" t="str">
        <f t="shared" si="2"/>
        <v>giftcodesbanner/文明帝國：同盟時代-bar.jpg</v>
      </c>
      <c r="C123" s="59"/>
      <c r="D123" s="59" t="str">
        <f t="shared" si="3"/>
        <v>https://www.ssbuy.tw/detail_giftcode/dist/giftcodes/文明帝國：同盟時代.html</v>
      </c>
      <c r="E123" s="100" t="s">
        <v>3156</v>
      </c>
      <c r="F123" s="114" t="s">
        <v>1710</v>
      </c>
      <c r="G123" s="60" t="s">
        <v>1711</v>
      </c>
      <c r="H123" s="60" t="s">
        <v>2518</v>
      </c>
      <c r="I123" s="59"/>
      <c r="J123" s="100"/>
      <c r="K123" s="104"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5.5" customHeight="1">
      <c r="A124" s="77" t="s">
        <v>1383</v>
      </c>
      <c r="B124" s="59" t="str">
        <f t="shared" si="2"/>
        <v>giftcodesbanner/魔法商店大亨-bar.jpg</v>
      </c>
      <c r="C124" s="59"/>
      <c r="D124" s="59" t="str">
        <f t="shared" si="3"/>
        <v>https://www.ssbuy.tw/detail_giftcode/dist/giftcodes/魔法商店大亨.html</v>
      </c>
      <c r="E124" s="100" t="s">
        <v>2397</v>
      </c>
      <c r="F124" s="114" t="s">
        <v>2368</v>
      </c>
      <c r="G124" s="60" t="s">
        <v>1711</v>
      </c>
      <c r="H124" s="60" t="s">
        <v>1840</v>
      </c>
      <c r="I124" s="59"/>
      <c r="J124" s="100"/>
      <c r="K124" s="101"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5.5" customHeight="1">
      <c r="A125" s="77" t="s">
        <v>1385</v>
      </c>
      <c r="B125" s="59" t="str">
        <f t="shared" si="2"/>
        <v>giftcodesbanner/新仙劍奇俠傳lite-bar.jpg</v>
      </c>
      <c r="C125" s="59"/>
      <c r="D125" s="59" t="str">
        <f t="shared" si="3"/>
        <v>https://www.ssbuy.tw/detail_giftcode/dist/giftcodes/新仙劍奇俠傳lite.html</v>
      </c>
      <c r="E125" s="100" t="s">
        <v>1386</v>
      </c>
      <c r="F125" s="114" t="s">
        <v>1710</v>
      </c>
      <c r="G125" s="60" t="s">
        <v>1711</v>
      </c>
      <c r="H125" s="60" t="s">
        <v>1840</v>
      </c>
      <c r="I125" s="59"/>
      <c r="J125" s="100"/>
      <c r="K125" s="101"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5.5" customHeight="1">
      <c r="A126" s="77" t="s">
        <v>1387</v>
      </c>
      <c r="B126" s="59" t="str">
        <f>"giftcodesbanner/" &amp; A126 &amp; "-bar.jpg"</f>
        <v>giftcodesbanner/神州M-bar.jpg</v>
      </c>
      <c r="C126" s="59"/>
      <c r="D126" s="59" t="str">
        <f t="shared" si="3"/>
        <v>https://www.ssbuy.tw/detail_giftcode/dist/giftcodes/神州M.html</v>
      </c>
      <c r="E126" s="100" t="s">
        <v>3164</v>
      </c>
      <c r="F126" s="114" t="s">
        <v>1710</v>
      </c>
      <c r="G126" s="60" t="s">
        <v>1711</v>
      </c>
      <c r="H126" s="60" t="s">
        <v>1840</v>
      </c>
      <c r="I126" s="59"/>
      <c r="J126" s="100"/>
      <c r="K126" s="101"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5.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100" t="s">
        <v>3166</v>
      </c>
      <c r="F127" s="114" t="s">
        <v>1740</v>
      </c>
      <c r="G127" s="60" t="s">
        <v>1711</v>
      </c>
      <c r="H127" s="60" t="s">
        <v>1840</v>
      </c>
      <c r="I127" s="59"/>
      <c r="J127" s="100"/>
      <c r="K127" s="101"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5.5" customHeight="1">
      <c r="A128" s="77" t="s">
        <v>57</v>
      </c>
      <c r="B128" s="59" t="str">
        <f t="shared" ref="B128:B134" si="4">"giftcodesbanner/" &amp; A128 &amp; "-bar.jpg"</f>
        <v>giftcodesbanner/胡來英雄-bar.jpg</v>
      </c>
      <c r="C128" s="59"/>
      <c r="D128" s="59" t="str">
        <f t="shared" si="3"/>
        <v>https://www.ssbuy.tw/detail_giftcode/dist/giftcodes/胡來英雄.html</v>
      </c>
      <c r="E128" s="116" t="s">
        <v>3177</v>
      </c>
      <c r="F128" s="114" t="s">
        <v>2437</v>
      </c>
      <c r="G128" s="60" t="s">
        <v>1711</v>
      </c>
      <c r="H128" s="60" t="s">
        <v>2518</v>
      </c>
      <c r="I128" s="59"/>
      <c r="J128" s="100"/>
      <c r="K128" s="101"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5.5" customHeight="1">
      <c r="A129" s="77" t="s">
        <v>58</v>
      </c>
      <c r="B129" s="59" t="str">
        <f t="shared" si="4"/>
        <v>giftcodesbanner/一天又一天的RPG-bar.jpg</v>
      </c>
      <c r="C129" s="59"/>
      <c r="D129" s="59" t="str">
        <f t="shared" si="3"/>
        <v>https://www.ssbuy.tw/detail_giftcode/dist/giftcodes/一天又一天的RPG.html</v>
      </c>
      <c r="E129" s="100" t="s">
        <v>3188</v>
      </c>
      <c r="F129" s="114" t="s">
        <v>2437</v>
      </c>
      <c r="G129" s="60" t="s">
        <v>1711</v>
      </c>
      <c r="H129" s="60" t="s">
        <v>1840</v>
      </c>
      <c r="I129" s="59"/>
      <c r="J129" s="100"/>
      <c r="K129" s="101"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5.5" customHeight="1">
      <c r="A130" s="77" t="s">
        <v>59</v>
      </c>
      <c r="B130" s="59" t="str">
        <f t="shared" si="4"/>
        <v>giftcodesbanner/銀與血-bar.jpg</v>
      </c>
      <c r="C130" s="59"/>
      <c r="D130" s="59" t="str">
        <f t="shared" si="3"/>
        <v>https://www.ssbuy.tw/detail_giftcode/dist/giftcodes/銀與血.html</v>
      </c>
      <c r="E130" s="100" t="s">
        <v>2428</v>
      </c>
      <c r="F130" s="114" t="s">
        <v>1710</v>
      </c>
      <c r="G130" s="60" t="s">
        <v>1711</v>
      </c>
      <c r="H130" s="60" t="s">
        <v>1840</v>
      </c>
      <c r="I130" s="59"/>
      <c r="J130" s="100"/>
      <c r="K130" s="101"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5.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100" t="s">
        <v>3198</v>
      </c>
      <c r="F131" s="114" t="s">
        <v>2507</v>
      </c>
      <c r="G131" s="60" t="s">
        <v>1711</v>
      </c>
      <c r="H131" s="60" t="s">
        <v>1840</v>
      </c>
      <c r="I131" s="59"/>
      <c r="J131" s="100"/>
      <c r="K131" s="101"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5.5" customHeight="1">
      <c r="A132" s="77" t="s">
        <v>2431</v>
      </c>
      <c r="B132" s="59" t="str">
        <f t="shared" si="4"/>
        <v>giftcodesbanner/滔湧少女-bar.jpg</v>
      </c>
      <c r="C132" s="59"/>
      <c r="D132" s="59" t="str">
        <f t="shared" si="5"/>
        <v>https://www.ssbuy.tw/detail_giftcode/dist/giftcodes/滔湧少女.html</v>
      </c>
      <c r="E132" s="100" t="s">
        <v>2432</v>
      </c>
      <c r="F132" s="114" t="s">
        <v>2437</v>
      </c>
      <c r="G132" s="60" t="s">
        <v>1711</v>
      </c>
      <c r="H132" s="60" t="s">
        <v>1840</v>
      </c>
      <c r="I132" s="59"/>
      <c r="J132" s="100"/>
      <c r="K132" s="101"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5.5" customHeight="1">
      <c r="A133" s="77" t="s">
        <v>99</v>
      </c>
      <c r="B133" s="59" t="str">
        <f t="shared" si="4"/>
        <v>giftcodesbanner/漫威祕法狂潮-bar.jpg</v>
      </c>
      <c r="C133" s="59"/>
      <c r="D133" s="59" t="str">
        <f t="shared" si="5"/>
        <v>https://www.ssbuy.tw/detail_giftcode/dist/giftcodes/漫威祕法狂潮.html</v>
      </c>
      <c r="E133" s="100" t="s">
        <v>3201</v>
      </c>
      <c r="F133" s="114" t="s">
        <v>2437</v>
      </c>
      <c r="G133" s="60" t="s">
        <v>1711</v>
      </c>
      <c r="H133" s="60" t="s">
        <v>1840</v>
      </c>
      <c r="I133" s="59"/>
      <c r="J133" s="100"/>
      <c r="K133" s="101"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5.5" customHeight="1">
      <c r="A134" s="77" t="s">
        <v>100</v>
      </c>
      <c r="B134" s="59" t="str">
        <f t="shared" si="4"/>
        <v>giftcodesbanner/魔教回歸：2D MMORPG-bar.jpg</v>
      </c>
      <c r="C134" s="59"/>
      <c r="D134" s="59" t="str">
        <f t="shared" si="5"/>
        <v>https://www.ssbuy.tw/detail_giftcode/dist/giftcodes/魔教回歸：2D MMORPG.html</v>
      </c>
      <c r="E134" s="116" t="s">
        <v>2436</v>
      </c>
      <c r="F134" s="114" t="s">
        <v>1710</v>
      </c>
      <c r="G134" s="60" t="s">
        <v>1711</v>
      </c>
      <c r="H134" s="60" t="s">
        <v>1840</v>
      </c>
      <c r="I134" s="59"/>
      <c r="J134" s="100"/>
      <c r="K134" s="101"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5.5" customHeight="1">
      <c r="A135" s="77" t="s">
        <v>122</v>
      </c>
      <c r="B135" s="59"/>
      <c r="C135" s="59" t="str">
        <f>"giftcodesbanner/" &amp; A135 &amp; "-禮包碼.jpg"</f>
        <v>giftcodesbanner/屍戰王朝-禮包碼.jpg</v>
      </c>
      <c r="D135" s="59" t="str">
        <f t="shared" si="5"/>
        <v>https://www.ssbuy.tw/detail_giftcode/dist/giftcodes/屍戰王朝.html</v>
      </c>
      <c r="E135" s="117" t="s">
        <v>3202</v>
      </c>
      <c r="F135" s="114" t="s">
        <v>1710</v>
      </c>
      <c r="G135" s="60" t="s">
        <v>1711</v>
      </c>
      <c r="H135" s="60" t="s">
        <v>1840</v>
      </c>
      <c r="I135" s="59"/>
      <c r="J135" s="100"/>
      <c r="K135" s="103"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5.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7" t="s">
        <v>3204</v>
      </c>
      <c r="F136" s="114" t="s">
        <v>3205</v>
      </c>
      <c r="G136" s="60" t="s">
        <v>1711</v>
      </c>
      <c r="H136" s="60" t="s">
        <v>1840</v>
      </c>
      <c r="I136" s="59"/>
      <c r="J136" s="100"/>
      <c r="K136" s="101"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5.5" customHeight="1">
      <c r="A137" s="77" t="s">
        <v>3210</v>
      </c>
      <c r="B137" s="59"/>
      <c r="C137" s="59" t="str">
        <f t="shared" si="6"/>
        <v>giftcodesbanner/狼少女蘭吉-禮包碼.jpg</v>
      </c>
      <c r="D137" s="59" t="str">
        <f t="shared" si="5"/>
        <v>https://www.ssbuy.tw/detail_giftcode/dist/giftcodes/狼少女蘭吉.html</v>
      </c>
      <c r="E137" s="117" t="s">
        <v>3211</v>
      </c>
      <c r="F137" s="114" t="s">
        <v>1710</v>
      </c>
      <c r="G137" s="60" t="s">
        <v>1711</v>
      </c>
      <c r="H137" s="60" t="s">
        <v>1840</v>
      </c>
      <c r="I137" s="59"/>
      <c r="J137" s="100"/>
      <c r="K137" s="101"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5.5" customHeight="1">
      <c r="A138" s="77" t="s">
        <v>3212</v>
      </c>
      <c r="B138" s="59"/>
      <c r="C138" s="59" t="str">
        <f t="shared" si="6"/>
        <v>giftcodesbanner/RO仙境傳說：曙光-禮包碼.jpg</v>
      </c>
      <c r="D138" s="59" t="str">
        <f t="shared" si="5"/>
        <v>https://www.ssbuy.tw/detail_giftcode/dist/giftcodes/RO仙境傳說：曙光.html</v>
      </c>
      <c r="E138" s="117" t="s">
        <v>3213</v>
      </c>
      <c r="F138" s="114" t="s">
        <v>1710</v>
      </c>
      <c r="G138" s="60" t="s">
        <v>1711</v>
      </c>
      <c r="H138" s="60" t="s">
        <v>2505</v>
      </c>
      <c r="I138" s="59"/>
      <c r="J138" s="100"/>
      <c r="K138" s="101"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5.5" customHeight="1">
      <c r="A139" s="77" t="s">
        <v>124</v>
      </c>
      <c r="B139" s="59"/>
      <c r="C139" s="59" t="str">
        <f t="shared" si="6"/>
        <v>giftcodesbanner/星曲Ultra-禮包碼.jpg</v>
      </c>
      <c r="D139" s="59" t="str">
        <f t="shared" si="5"/>
        <v>https://www.ssbuy.tw/detail_giftcode/dist/giftcodes/星曲Ultra.html</v>
      </c>
      <c r="E139" s="117" t="s">
        <v>3214</v>
      </c>
      <c r="F139" s="114" t="s">
        <v>1710</v>
      </c>
      <c r="G139" s="60" t="s">
        <v>1711</v>
      </c>
      <c r="H139" s="60" t="s">
        <v>1840</v>
      </c>
      <c r="I139" s="59"/>
      <c r="J139" s="100"/>
      <c r="K139" s="101"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5.5" customHeight="1">
      <c r="A140" s="77" t="s">
        <v>166</v>
      </c>
      <c r="B140" s="59"/>
      <c r="C140" s="59" t="str">
        <f t="shared" si="6"/>
        <v>giftcodesbanner/第七天災-禮包碼.jpg</v>
      </c>
      <c r="D140" s="59" t="str">
        <f t="shared" si="5"/>
        <v>https://www.ssbuy.tw/detail_giftcode/dist/giftcodes/第七天災.html</v>
      </c>
      <c r="E140" s="117" t="s">
        <v>3215</v>
      </c>
      <c r="F140" s="114" t="s">
        <v>1710</v>
      </c>
      <c r="G140" s="60" t="s">
        <v>1711</v>
      </c>
      <c r="H140" s="60" t="s">
        <v>1840</v>
      </c>
      <c r="I140" s="59"/>
      <c r="J140" s="100"/>
      <c r="K140" s="101"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5.5" customHeight="1">
      <c r="A141" s="77" t="s">
        <v>2487</v>
      </c>
      <c r="B141" s="59"/>
      <c r="C141" s="59" t="str">
        <f t="shared" si="6"/>
        <v>giftcodesbanner/百萬神界-禮包碼.jpg</v>
      </c>
      <c r="D141" s="59" t="str">
        <f t="shared" si="5"/>
        <v>https://www.ssbuy.tw/detail_giftcode/dist/giftcodes/百萬神界.html</v>
      </c>
      <c r="E141" s="117" t="s">
        <v>2488</v>
      </c>
      <c r="F141" s="114" t="s">
        <v>1710</v>
      </c>
      <c r="G141" s="60" t="s">
        <v>1711</v>
      </c>
      <c r="H141" s="60" t="s">
        <v>2505</v>
      </c>
      <c r="I141" s="59"/>
      <c r="J141" s="100"/>
      <c r="K141" s="102"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5.5" customHeight="1">
      <c r="A142" s="77" t="s">
        <v>167</v>
      </c>
      <c r="B142" s="59"/>
      <c r="C142" s="59" t="str">
        <f t="shared" si="6"/>
        <v>giftcodesbanner/Dark war-禮包碼.jpg</v>
      </c>
      <c r="D142" s="59" t="str">
        <f t="shared" si="5"/>
        <v>https://www.ssbuy.tw/detail_giftcode/dist/giftcodes/Dark war.html</v>
      </c>
      <c r="E142" s="117" t="s">
        <v>3225</v>
      </c>
      <c r="F142" s="114" t="s">
        <v>1710</v>
      </c>
      <c r="G142" s="60" t="s">
        <v>1711</v>
      </c>
      <c r="H142" s="60" t="s">
        <v>2505</v>
      </c>
      <c r="I142" s="59"/>
      <c r="J142" s="100"/>
      <c r="K142" s="101"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5.5" customHeight="1">
      <c r="A143" s="64" t="s">
        <v>2506</v>
      </c>
      <c r="B143" s="59"/>
      <c r="C143" s="59" t="str">
        <f t="shared" si="6"/>
        <v>giftcodesbanner/美男惡徒-禮包碼.jpg</v>
      </c>
      <c r="D143" s="59" t="str">
        <f t="shared" si="5"/>
        <v>https://www.ssbuy.tw/detail_giftcode/dist/giftcodes/美男惡徒.html</v>
      </c>
      <c r="E143" s="116" t="s">
        <v>3226</v>
      </c>
      <c r="F143" s="114" t="s">
        <v>1710</v>
      </c>
      <c r="G143" s="60" t="s">
        <v>1711</v>
      </c>
      <c r="H143" s="60" t="s">
        <v>1840</v>
      </c>
      <c r="I143" s="59"/>
      <c r="J143" s="100"/>
      <c r="K143" s="101"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5.5" customHeight="1">
      <c r="A144" s="75" t="s">
        <v>197</v>
      </c>
      <c r="B144" s="59"/>
      <c r="C144" s="59" t="str">
        <f t="shared" si="6"/>
        <v>giftcodesbanner/三國冰河時代-禮包碼.jpg</v>
      </c>
      <c r="D144" s="59" t="str">
        <f t="shared" si="5"/>
        <v>https://www.ssbuy.tw/detail_giftcode/dist/giftcodes/三國冰河時代.html</v>
      </c>
      <c r="E144" s="100" t="s">
        <v>3231</v>
      </c>
      <c r="F144" s="114" t="s">
        <v>1710</v>
      </c>
      <c r="G144" s="60" t="s">
        <v>1711</v>
      </c>
      <c r="H144" s="60" t="s">
        <v>1840</v>
      </c>
      <c r="I144" s="59"/>
      <c r="J144" s="100"/>
      <c r="K144" s="101"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5.5" customHeight="1">
      <c r="A145" s="77" t="s">
        <v>198</v>
      </c>
      <c r="B145" s="59"/>
      <c r="C145" s="59" t="str">
        <f t="shared" si="6"/>
        <v>giftcodesbanner/暗黑崛起-禮包碼.jpg</v>
      </c>
      <c r="D145" s="59" t="str">
        <f t="shared" si="5"/>
        <v>https://www.ssbuy.tw/detail_giftcode/dist/giftcodes/暗黑崛起.html</v>
      </c>
      <c r="E145" s="116" t="s">
        <v>2517</v>
      </c>
      <c r="F145" s="114" t="s">
        <v>2437</v>
      </c>
      <c r="G145" s="60" t="s">
        <v>1711</v>
      </c>
      <c r="H145" s="60" t="s">
        <v>1840</v>
      </c>
      <c r="I145" s="59"/>
      <c r="J145" s="100"/>
      <c r="K145" s="101"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5.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6" t="s">
        <v>3236</v>
      </c>
      <c r="F146" s="114" t="s">
        <v>1710</v>
      </c>
      <c r="G146" s="60" t="s">
        <v>1711</v>
      </c>
      <c r="H146" s="60" t="s">
        <v>2505</v>
      </c>
      <c r="I146" s="59"/>
      <c r="J146" s="100"/>
      <c r="K146" s="101"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5.5" customHeight="1">
      <c r="A147" s="75" t="s">
        <v>3238</v>
      </c>
      <c r="B147" s="59"/>
      <c r="C147" s="59" t="str">
        <f t="shared" si="6"/>
        <v>giftcodesbanner/極速漂移：3V3-禮包碼.jpg</v>
      </c>
      <c r="D147" s="59" t="str">
        <f t="shared" si="5"/>
        <v>https://www.ssbuy.tw/detail_giftcode/dist/giftcodes/極速漂移：3V3.html</v>
      </c>
      <c r="E147" s="100" t="s">
        <v>3239</v>
      </c>
      <c r="F147" s="114" t="s">
        <v>1710</v>
      </c>
      <c r="G147" s="60" t="s">
        <v>1711</v>
      </c>
      <c r="H147" s="60" t="s">
        <v>1840</v>
      </c>
      <c r="I147" s="59"/>
      <c r="J147" s="100"/>
      <c r="K147" s="101"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5.5" customHeight="1">
      <c r="A148" s="77" t="s">
        <v>228</v>
      </c>
      <c r="B148" s="59"/>
      <c r="C148" s="59" t="str">
        <f t="shared" si="6"/>
        <v>giftcodesbanner/斗羅大陸：獵魂世界-禮包碼.jpg</v>
      </c>
      <c r="D148" s="59" t="str">
        <f t="shared" si="5"/>
        <v>https://www.ssbuy.tw/detail_giftcode/dist/giftcodes/斗羅大陸：獵魂世界.html</v>
      </c>
      <c r="E148" s="116" t="s">
        <v>3240</v>
      </c>
      <c r="F148" s="114" t="s">
        <v>3205</v>
      </c>
      <c r="G148" s="60" t="s">
        <v>1711</v>
      </c>
      <c r="H148" s="60" t="s">
        <v>1840</v>
      </c>
      <c r="I148" s="59"/>
      <c r="J148" s="100"/>
      <c r="K148" s="101"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5.5" customHeight="1">
      <c r="A149" s="77" t="s">
        <v>229</v>
      </c>
      <c r="B149" s="59"/>
      <c r="C149" s="59" t="str">
        <f t="shared" si="6"/>
        <v>giftcodesbanner/指點兵兵-禮包碼.jpg</v>
      </c>
      <c r="D149" s="59" t="str">
        <f t="shared" si="5"/>
        <v>https://www.ssbuy.tw/detail_giftcode/dist/giftcodes/指點兵兵.html</v>
      </c>
      <c r="E149" s="116" t="s">
        <v>3250</v>
      </c>
      <c r="F149" s="114" t="s">
        <v>2437</v>
      </c>
      <c r="G149" s="60" t="s">
        <v>1711</v>
      </c>
      <c r="H149" s="60" t="s">
        <v>1840</v>
      </c>
      <c r="I149" s="59"/>
      <c r="J149" s="100"/>
      <c r="K149" s="101"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5.5" customHeight="1">
      <c r="A150" s="77" t="s">
        <v>241</v>
      </c>
      <c r="B150" s="59"/>
      <c r="C150" s="59" t="str">
        <f t="shared" si="6"/>
        <v>giftcodesbanner/變身傳奇-禮包碼.jpg</v>
      </c>
      <c r="D150" s="59" t="str">
        <f t="shared" si="5"/>
        <v>https://www.ssbuy.tw/detail_giftcode/dist/giftcodes/變身傳奇.html</v>
      </c>
      <c r="E150" s="100" t="s">
        <v>2522</v>
      </c>
      <c r="F150" s="114" t="s">
        <v>1710</v>
      </c>
      <c r="G150" s="60" t="s">
        <v>1711</v>
      </c>
      <c r="H150" s="60" t="s">
        <v>1840</v>
      </c>
      <c r="I150" s="59"/>
      <c r="J150" s="100"/>
      <c r="K150" s="101"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5.5" customHeight="1">
      <c r="A151" s="77" t="s">
        <v>242</v>
      </c>
      <c r="B151" s="59"/>
      <c r="C151" s="59" t="str">
        <f t="shared" si="6"/>
        <v>giftcodesbanner/Blue eyes：公會大師-禮包碼.jpg</v>
      </c>
      <c r="D151" s="59" t="str">
        <f t="shared" si="5"/>
        <v>https://www.ssbuy.tw/detail_giftcode/dist/giftcodes/Blue eyes：公會大師.html</v>
      </c>
      <c r="E151" s="116" t="s">
        <v>3253</v>
      </c>
      <c r="F151" s="114" t="s">
        <v>3254</v>
      </c>
      <c r="G151" s="60" t="s">
        <v>3255</v>
      </c>
      <c r="H151" s="60" t="s">
        <v>3256</v>
      </c>
      <c r="I151" s="59" t="s">
        <v>2525</v>
      </c>
      <c r="J151" s="100" t="s">
        <v>2526</v>
      </c>
      <c r="K151" s="102"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5.5" customHeight="1">
      <c r="A152" s="75" t="s">
        <v>2527</v>
      </c>
      <c r="B152" s="59"/>
      <c r="C152" s="59" t="str">
        <f t="shared" si="6"/>
        <v>giftcodesbanner/杖劍傳說：坎斯汀之約-禮包碼.jpg</v>
      </c>
      <c r="D152" s="59" t="str">
        <f t="shared" si="5"/>
        <v>https://www.ssbuy.tw/detail_giftcode/dist/giftcodes/杖劍傳說：坎斯汀之約.html</v>
      </c>
      <c r="E152" s="116" t="s">
        <v>3259</v>
      </c>
      <c r="F152" s="118" t="s">
        <v>2528</v>
      </c>
      <c r="G152" s="59" t="s">
        <v>2529</v>
      </c>
      <c r="H152" s="59" t="s">
        <v>3260</v>
      </c>
      <c r="I152" s="59" t="s">
        <v>3261</v>
      </c>
      <c r="J152" s="100"/>
      <c r="K152" s="101"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5.5" customHeight="1">
      <c r="A153" s="75" t="s">
        <v>3277</v>
      </c>
      <c r="B153" s="59"/>
      <c r="C153" s="59" t="str">
        <f t="shared" si="6"/>
        <v>giftcodesbanner/超級海戰：紀元崛起-禮包碼.jpg</v>
      </c>
      <c r="D153" s="59" t="str">
        <f t="shared" si="5"/>
        <v>https://www.ssbuy.tw/detail_giftcode/dist/giftcodes/超級海戰：紀元崛起.html</v>
      </c>
      <c r="E153" s="116" t="s">
        <v>3278</v>
      </c>
      <c r="F153" s="118" t="s">
        <v>2534</v>
      </c>
      <c r="G153" s="59" t="s">
        <v>2535</v>
      </c>
      <c r="H153" s="59" t="s">
        <v>3279</v>
      </c>
      <c r="I153" s="59"/>
      <c r="J153" s="100"/>
      <c r="K153" s="101"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5.5" customHeight="1">
      <c r="A154" s="75" t="s">
        <v>2537</v>
      </c>
      <c r="B154" s="59"/>
      <c r="C154" s="59" t="str">
        <f t="shared" si="6"/>
        <v>giftcodesbanner/進擊的惡魔團-禮包碼.jpg</v>
      </c>
      <c r="D154" s="59" t="str">
        <f t="shared" si="5"/>
        <v>https://www.ssbuy.tw/detail_giftcode/dist/giftcodes/進擊的惡魔團.html</v>
      </c>
      <c r="E154" s="116" t="s">
        <v>3286</v>
      </c>
      <c r="F154" s="118" t="s">
        <v>3287</v>
      </c>
      <c r="G154" s="59" t="s">
        <v>3288</v>
      </c>
      <c r="H154" s="59" t="s">
        <v>3289</v>
      </c>
      <c r="I154" s="59" t="s">
        <v>3290</v>
      </c>
      <c r="J154" s="100"/>
      <c r="K154" s="101"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5.5" customHeight="1">
      <c r="A155" s="77" t="s">
        <v>3298</v>
      </c>
      <c r="B155" s="59"/>
      <c r="C155" s="59" t="str">
        <f t="shared" si="6"/>
        <v>giftcodesbanner/蝕影：緋之契-禮包碼.jpg</v>
      </c>
      <c r="D155" s="59" t="str">
        <f t="shared" si="5"/>
        <v>https://www.ssbuy.tw/detail_giftcode/dist/giftcodes/蝕影：緋之契.html</v>
      </c>
      <c r="E155" s="100" t="s">
        <v>3299</v>
      </c>
      <c r="F155" s="118" t="s">
        <v>3300</v>
      </c>
      <c r="G155" s="59" t="s">
        <v>2541</v>
      </c>
      <c r="H155" s="59" t="s">
        <v>3301</v>
      </c>
      <c r="I155" s="59"/>
      <c r="J155" s="100"/>
      <c r="K155" s="102"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5.5" customHeight="1">
      <c r="A156" s="77" t="s">
        <v>305</v>
      </c>
      <c r="B156" s="59"/>
      <c r="C156" s="59" t="str">
        <f t="shared" si="6"/>
        <v>giftcodesbanner/RO：Crush-禮包碼.jpg</v>
      </c>
      <c r="D156" s="59" t="str">
        <f t="shared" si="5"/>
        <v>https://www.ssbuy.tw/detail_giftcode/dist/giftcodes/RO：Crush.html</v>
      </c>
      <c r="E156" s="100" t="s">
        <v>3302</v>
      </c>
      <c r="F156" s="118" t="s">
        <v>3303</v>
      </c>
      <c r="G156" s="59" t="s">
        <v>3304</v>
      </c>
      <c r="H156" s="59" t="s">
        <v>3305</v>
      </c>
      <c r="I156" s="59"/>
      <c r="J156" s="100"/>
      <c r="K156" s="101"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5.5" customHeight="1">
      <c r="A157" s="77" t="s">
        <v>323</v>
      </c>
      <c r="B157" s="59"/>
      <c r="C157" s="59" t="str">
        <f t="shared" si="6"/>
        <v>giftcodesbanner/溯回青空-禮包碼.jpg</v>
      </c>
      <c r="D157" s="59" t="str">
        <f t="shared" si="5"/>
        <v>https://www.ssbuy.tw/detail_giftcode/dist/giftcodes/溯回青空.html</v>
      </c>
      <c r="E157" s="119" t="s">
        <v>2547</v>
      </c>
      <c r="F157" s="118" t="s">
        <v>2548</v>
      </c>
      <c r="G157" s="79" t="s">
        <v>2549</v>
      </c>
      <c r="H157" s="59"/>
      <c r="I157" s="59"/>
      <c r="J157" s="100"/>
      <c r="K157" s="101"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5.5" customHeight="1">
      <c r="A158" s="77" t="s">
        <v>324</v>
      </c>
      <c r="B158" s="59"/>
      <c r="C158" s="59" t="str">
        <f t="shared" si="6"/>
        <v>giftcodesbanner/蒼之啟示錄-禮包碼.jpg</v>
      </c>
      <c r="D158" s="59" t="str">
        <f t="shared" si="5"/>
        <v>https://www.ssbuy.tw/detail_giftcode/dist/giftcodes/蒼之啟示錄.html</v>
      </c>
      <c r="E158" s="119" t="s">
        <v>3314</v>
      </c>
      <c r="F158" s="118" t="s">
        <v>2459</v>
      </c>
      <c r="G158" s="59" t="s">
        <v>2459</v>
      </c>
      <c r="H158" s="59" t="s">
        <v>2459</v>
      </c>
      <c r="I158" s="59"/>
      <c r="J158" s="100"/>
      <c r="K158" s="101"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5.5" customHeight="1">
      <c r="A159" s="77" t="s">
        <v>325</v>
      </c>
      <c r="B159" s="59"/>
      <c r="C159" s="59" t="str">
        <f t="shared" si="6"/>
        <v>giftcodesbanner/第六絕區-禮包碼.jpg</v>
      </c>
      <c r="D159" s="59" t="str">
        <f t="shared" si="5"/>
        <v>https://www.ssbuy.tw/detail_giftcode/dist/giftcodes/第六絕區.html</v>
      </c>
      <c r="E159" s="119" t="s">
        <v>3315</v>
      </c>
      <c r="F159" s="118" t="s">
        <v>3316</v>
      </c>
      <c r="G159" s="59" t="s">
        <v>3317</v>
      </c>
      <c r="H159" s="59" t="s">
        <v>2550</v>
      </c>
      <c r="I159" s="59" t="s">
        <v>3318</v>
      </c>
      <c r="J159" s="100"/>
      <c r="K159" s="101"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5.5" customHeight="1">
      <c r="A160" s="77" t="s">
        <v>3323</v>
      </c>
      <c r="B160" s="59"/>
      <c r="C160" s="59" t="str">
        <f t="shared" si="6"/>
        <v>giftcodesbanner/MO.CO-禮包碼.jpg</v>
      </c>
      <c r="D160" s="59" t="str">
        <f t="shared" si="5"/>
        <v>https://www.ssbuy.tw/detail_giftcode/dist/giftcodes/MO.CO.html</v>
      </c>
      <c r="E160" s="119" t="s">
        <v>3324</v>
      </c>
      <c r="F160" s="118" t="s">
        <v>2459</v>
      </c>
      <c r="G160" s="59" t="s">
        <v>2459</v>
      </c>
      <c r="H160" s="59" t="s">
        <v>2459</v>
      </c>
      <c r="I160" s="59"/>
      <c r="J160" s="100"/>
      <c r="K160" s="101"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5.5" customHeight="1">
      <c r="A161" s="77" t="s">
        <v>326</v>
      </c>
      <c r="B161" s="59"/>
      <c r="C161" s="59" t="str">
        <f t="shared" si="6"/>
        <v>giftcodesbanner/幻世三國：一騎當千-禮包碼.jpg</v>
      </c>
      <c r="D161" s="59" t="str">
        <f t="shared" si="5"/>
        <v>https://www.ssbuy.tw/detail_giftcode/dist/giftcodes/幻世三國：一騎當千.html</v>
      </c>
      <c r="E161" s="119" t="s">
        <v>2551</v>
      </c>
      <c r="F161" s="118" t="s">
        <v>2459</v>
      </c>
      <c r="G161" s="59" t="s">
        <v>2459</v>
      </c>
      <c r="H161" s="59" t="s">
        <v>2459</v>
      </c>
      <c r="I161" s="59"/>
      <c r="J161" s="100"/>
      <c r="K161" s="101"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5.5" customHeight="1">
      <c r="A162" s="77" t="s">
        <v>1448</v>
      </c>
      <c r="B162" s="59"/>
      <c r="C162" s="59" t="str">
        <f t="shared" si="6"/>
        <v>giftcodesbanner/小兵立大功-禮包碼.jpg</v>
      </c>
      <c r="D162" s="59" t="str">
        <f t="shared" si="5"/>
        <v>https://www.ssbuy.tw/detail_giftcode/dist/giftcodes/小兵立大功.html</v>
      </c>
      <c r="E162" s="119" t="s">
        <v>3325</v>
      </c>
      <c r="F162" s="118" t="s">
        <v>2471</v>
      </c>
      <c r="G162" s="59" t="s">
        <v>2459</v>
      </c>
      <c r="H162" s="59" t="s">
        <v>2459</v>
      </c>
      <c r="I162" s="59" t="s">
        <v>2459</v>
      </c>
      <c r="J162" s="100"/>
      <c r="K162" s="101"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5.5" customHeight="1">
      <c r="A163" s="77" t="s">
        <v>1449</v>
      </c>
      <c r="B163" s="59"/>
      <c r="C163" s="59" t="str">
        <f t="shared" si="6"/>
        <v>giftcodesbanner/像素全明星-禮包碼.jpg</v>
      </c>
      <c r="D163" s="59" t="str">
        <f t="shared" si="5"/>
        <v>https://www.ssbuy.tw/detail_giftcode/dist/giftcodes/像素全明星.html</v>
      </c>
      <c r="E163" s="119" t="s">
        <v>2552</v>
      </c>
      <c r="F163" s="118" t="s">
        <v>2459</v>
      </c>
      <c r="G163" s="59" t="s">
        <v>2471</v>
      </c>
      <c r="H163" s="59" t="s">
        <v>2459</v>
      </c>
      <c r="I163" s="59" t="s">
        <v>2471</v>
      </c>
      <c r="J163" s="100"/>
      <c r="K163" s="101"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5.5" customHeight="1">
      <c r="A164" s="77" t="s">
        <v>1464</v>
      </c>
      <c r="B164" s="59"/>
      <c r="C164" s="59" t="str">
        <f t="shared" si="6"/>
        <v>giftcodesbanner/浣熊傳說-禮包碼.jpg</v>
      </c>
      <c r="D164" s="59" t="str">
        <f t="shared" si="5"/>
        <v>https://www.ssbuy.tw/detail_giftcode/dist/giftcodes/浣熊傳說.html</v>
      </c>
      <c r="E164" s="116" t="s">
        <v>2553</v>
      </c>
      <c r="F164" s="118" t="s">
        <v>3326</v>
      </c>
      <c r="G164" s="59" t="s">
        <v>3327</v>
      </c>
      <c r="H164" s="59" t="s">
        <v>3328</v>
      </c>
      <c r="I164" s="59"/>
      <c r="J164" s="100"/>
      <c r="K164" s="101"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5.5" customHeight="1">
      <c r="A165" s="77" t="s">
        <v>1465</v>
      </c>
      <c r="B165" s="59"/>
      <c r="C165" s="59" t="str">
        <f t="shared" si="6"/>
        <v>giftcodesbanner/勇者格鬥城-禮包碼.jpg</v>
      </c>
      <c r="D165" s="59" t="str">
        <f t="shared" si="5"/>
        <v>https://www.ssbuy.tw/detail_giftcode/dist/giftcodes/勇者格鬥城.html</v>
      </c>
      <c r="E165" s="116" t="s">
        <v>3334</v>
      </c>
      <c r="F165" s="118" t="s">
        <v>2459</v>
      </c>
      <c r="G165" s="59" t="s">
        <v>3237</v>
      </c>
      <c r="H165" s="59" t="s">
        <v>2459</v>
      </c>
      <c r="I165" s="59" t="s">
        <v>2459</v>
      </c>
      <c r="J165" s="100"/>
      <c r="K165" s="101"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5.5" customHeight="1">
      <c r="A166" s="77" t="s">
        <v>3335</v>
      </c>
      <c r="B166" s="59"/>
      <c r="C166" s="59" t="str">
        <f t="shared" si="6"/>
        <v>giftcodesbanner/龐寶：背包英雄們-禮包碼.jpg</v>
      </c>
      <c r="D166" s="59" t="str">
        <f t="shared" si="5"/>
        <v>https://www.ssbuy.tw/detail_giftcode/dist/giftcodes/龐寶：背包英雄們.html</v>
      </c>
      <c r="E166" s="116" t="s">
        <v>2556</v>
      </c>
      <c r="F166" s="118" t="s">
        <v>2459</v>
      </c>
      <c r="G166" s="59" t="s">
        <v>2471</v>
      </c>
      <c r="H166" s="59" t="s">
        <v>2459</v>
      </c>
      <c r="I166" s="59" t="s">
        <v>2459</v>
      </c>
      <c r="J166" s="100"/>
      <c r="K166" s="101"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5.5" customHeight="1">
      <c r="A167" s="77" t="s">
        <v>1473</v>
      </c>
      <c r="B167" s="59"/>
      <c r="C167" s="59" t="str">
        <f t="shared" si="6"/>
        <v>giftcodesbanner/星耀球會-禮包碼.jpg</v>
      </c>
      <c r="D167" s="59" t="str">
        <f t="shared" si="5"/>
        <v>https://www.ssbuy.tw/detail_giftcode/dist/giftcodes/星耀球會.html</v>
      </c>
      <c r="E167" s="116" t="s">
        <v>2557</v>
      </c>
      <c r="F167" s="118" t="s">
        <v>2558</v>
      </c>
      <c r="G167" s="59" t="s">
        <v>3336</v>
      </c>
      <c r="H167" s="59" t="s">
        <v>2559</v>
      </c>
      <c r="I167" s="59"/>
      <c r="J167" s="100"/>
      <c r="K167" s="101"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5.5" customHeight="1">
      <c r="A168" s="75" t="s">
        <v>1485</v>
      </c>
      <c r="B168" s="59"/>
      <c r="C168" s="59" t="str">
        <f t="shared" si="6"/>
        <v>giftcodesbanner/東方幻想ECLIPSE-禮包碼.jpg</v>
      </c>
      <c r="D168" s="59" t="str">
        <f t="shared" si="5"/>
        <v>https://www.ssbuy.tw/detail_giftcode/dist/giftcodes/東方幻想ECLIPSE.html</v>
      </c>
      <c r="E168" s="100" t="s">
        <v>3344</v>
      </c>
      <c r="F168" s="118" t="s">
        <v>3345</v>
      </c>
      <c r="G168" s="59" t="s">
        <v>2561</v>
      </c>
      <c r="H168" s="59" t="s">
        <v>3346</v>
      </c>
      <c r="I168" s="59"/>
      <c r="J168" s="100"/>
      <c r="K168" s="101"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5.5" customHeight="1">
      <c r="A169" s="77" t="s">
        <v>1495</v>
      </c>
      <c r="B169" s="59"/>
      <c r="C169" s="59" t="str">
        <f t="shared" si="6"/>
        <v>giftcodesbanner/世紀帝國M-禮包碼.jpg</v>
      </c>
      <c r="D169" s="59" t="str">
        <f t="shared" si="5"/>
        <v>https://www.ssbuy.tw/detail_giftcode/dist/giftcodes/世紀帝國M.html</v>
      </c>
      <c r="E169" s="100" t="s">
        <v>2564</v>
      </c>
      <c r="F169" s="118" t="s">
        <v>3349</v>
      </c>
      <c r="G169" s="59" t="s">
        <v>3350</v>
      </c>
      <c r="H169" s="59" t="s">
        <v>2565</v>
      </c>
      <c r="I169" s="59"/>
      <c r="J169" s="100"/>
      <c r="K169" s="101"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5.5" customHeight="1">
      <c r="A170" s="77" t="s">
        <v>1496</v>
      </c>
      <c r="B170" s="59"/>
      <c r="C170" s="59" t="str">
        <f t="shared" si="6"/>
        <v>giftcodesbanner/歐啦!守得豬-禮包碼.jpg</v>
      </c>
      <c r="D170" s="59" t="str">
        <f t="shared" si="5"/>
        <v>https://www.ssbuy.tw/detail_giftcode/dist/giftcodes/歐啦!守得豬.html</v>
      </c>
      <c r="E170" s="100" t="s">
        <v>3366</v>
      </c>
      <c r="F170" s="118" t="s">
        <v>3367</v>
      </c>
      <c r="G170" s="59" t="s">
        <v>2574</v>
      </c>
      <c r="H170" s="59" t="s">
        <v>2575</v>
      </c>
      <c r="I170" s="59"/>
      <c r="J170" s="100"/>
      <c r="K170" s="101"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5.5" customHeight="1">
      <c r="A171" s="77" t="s">
        <v>3372</v>
      </c>
      <c r="B171" s="59"/>
      <c r="C171" s="59" t="str">
        <f t="shared" si="6"/>
        <v>giftcodesbanner/18櫻花幕府-禮包碼.jpg</v>
      </c>
      <c r="D171" s="59" t="str">
        <f t="shared" si="5"/>
        <v>https://www.ssbuy.tw/detail_giftcode/dist/giftcodes/game-18櫻花幕府.html</v>
      </c>
      <c r="E171" s="116" t="s">
        <v>2581</v>
      </c>
      <c r="F171" s="118" t="s">
        <v>2582</v>
      </c>
      <c r="G171" s="59" t="s">
        <v>3373</v>
      </c>
      <c r="H171" s="59" t="s">
        <v>2599</v>
      </c>
      <c r="I171" s="59"/>
      <c r="J171" s="100"/>
      <c r="K171" s="101"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5.5" customHeight="1">
      <c r="A172" s="77" t="s">
        <v>2583</v>
      </c>
      <c r="B172" s="59"/>
      <c r="C172" s="59" t="str">
        <f t="shared" si="6"/>
        <v>giftcodesbanner/大武道-禮包碼.jpg</v>
      </c>
      <c r="D172" s="59" t="str">
        <f t="shared" si="5"/>
        <v>https://www.ssbuy.tw/detail_giftcode/dist/giftcodes/大武道.html</v>
      </c>
      <c r="E172" s="116" t="s">
        <v>1526</v>
      </c>
      <c r="F172" s="118" t="s">
        <v>2582</v>
      </c>
      <c r="G172" s="59" t="s">
        <v>3378</v>
      </c>
      <c r="H172" s="59" t="s">
        <v>3379</v>
      </c>
      <c r="I172" s="59"/>
      <c r="J172" s="100"/>
      <c r="K172" s="102"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5.5" customHeight="1">
      <c r="A173" s="80" t="s">
        <v>4587</v>
      </c>
      <c r="B173" s="59"/>
      <c r="C173" s="59" t="str">
        <f t="shared" si="6"/>
        <v>giftcodesbanner/奇蹟MU：暴走之翼-禮包碼.jpg</v>
      </c>
      <c r="D173" s="59" t="str">
        <f t="shared" si="5"/>
        <v>https://www.ssbuy.tw/detail_giftcode/dist/giftcodes/奇蹟MU：暴走之翼.html</v>
      </c>
      <c r="E173" s="119" t="s">
        <v>4588</v>
      </c>
      <c r="F173" s="118" t="s">
        <v>2598</v>
      </c>
      <c r="G173" s="59" t="s">
        <v>3383</v>
      </c>
      <c r="H173" s="59" t="s">
        <v>2599</v>
      </c>
      <c r="I173" s="59" t="s">
        <v>2600</v>
      </c>
      <c r="J173" s="100"/>
      <c r="K173" s="101"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5.5" customHeight="1">
      <c r="A174" s="81" t="s">
        <v>2604</v>
      </c>
      <c r="B174" s="59"/>
      <c r="C174" s="59" t="str">
        <f t="shared" si="6"/>
        <v>giftcodesbanner/劍太傳說：新的開始-禮包碼.jpg</v>
      </c>
      <c r="D174" s="59" t="str">
        <f t="shared" si="5"/>
        <v>https://www.ssbuy.tw/detail_giftcode/dist/giftcodes/劍太傳說：新的開始.html</v>
      </c>
      <c r="E174" s="100" t="s">
        <v>2605</v>
      </c>
      <c r="F174" s="118" t="s">
        <v>3396</v>
      </c>
      <c r="G174" s="59" t="s">
        <v>3397</v>
      </c>
      <c r="H174" s="59" t="s">
        <v>3398</v>
      </c>
      <c r="I174" s="59" t="s">
        <v>3399</v>
      </c>
      <c r="J174" s="100"/>
      <c r="K174" s="101"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5.5" customHeight="1">
      <c r="A175" s="81" t="s">
        <v>3404</v>
      </c>
      <c r="B175" s="59"/>
      <c r="C175" s="59" t="str">
        <f t="shared" si="6"/>
        <v>giftcodesbanner/三國。群英燎原-禮包碼.jpg</v>
      </c>
      <c r="D175" s="59" t="str">
        <f t="shared" si="5"/>
        <v>https://www.ssbuy.tw/detail_giftcode/dist/giftcodes/三國。群英燎原.html</v>
      </c>
      <c r="E175" s="100" t="s">
        <v>3405</v>
      </c>
      <c r="F175" s="118" t="s">
        <v>3406</v>
      </c>
      <c r="G175" s="59" t="s">
        <v>3407</v>
      </c>
      <c r="H175" s="59" t="s">
        <v>3408</v>
      </c>
      <c r="I175" s="59" t="s">
        <v>2608</v>
      </c>
      <c r="J175" s="100"/>
      <c r="K175" s="101"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5.5" customHeight="1">
      <c r="A176" s="81" t="s">
        <v>1532</v>
      </c>
      <c r="B176" s="59"/>
      <c r="C176" s="59" t="str">
        <f t="shared" si="6"/>
        <v>giftcodesbanner/Final War：寒霜前線-禮包碼.jpg</v>
      </c>
      <c r="D176" s="59" t="str">
        <f t="shared" si="5"/>
        <v>https://www.ssbuy.tw/detail_giftcode/dist/giftcodes/Final War：寒霜前線.html</v>
      </c>
      <c r="E176" s="100" t="s">
        <v>2611</v>
      </c>
      <c r="F176" s="118" t="s">
        <v>2459</v>
      </c>
      <c r="G176" s="59" t="s">
        <v>2459</v>
      </c>
      <c r="H176" s="59"/>
      <c r="I176" s="59"/>
      <c r="J176" s="100"/>
      <c r="K176" s="101"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5.5" customHeight="1">
      <c r="A177" s="81" t="s">
        <v>2612</v>
      </c>
      <c r="B177" s="59"/>
      <c r="C177" s="59" t="str">
        <f t="shared" si="6"/>
        <v>giftcodesbanner/黑夜獵人-禮包碼.jpg</v>
      </c>
      <c r="D177" s="59" t="str">
        <f t="shared" si="5"/>
        <v>https://www.ssbuy.tw/detail_giftcode/dist/giftcodes/黑夜獵人.html</v>
      </c>
      <c r="E177" s="100" t="s">
        <v>3415</v>
      </c>
      <c r="F177" s="118" t="s">
        <v>2613</v>
      </c>
      <c r="G177" s="59" t="s">
        <v>3416</v>
      </c>
      <c r="H177" s="59" t="s">
        <v>3417</v>
      </c>
      <c r="I177" s="59" t="s">
        <v>2614</v>
      </c>
      <c r="J177" s="100"/>
      <c r="K177" s="101"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5.5" customHeight="1">
      <c r="A178" s="58" t="s">
        <v>3418</v>
      </c>
      <c r="B178" s="59"/>
      <c r="C178" s="59" t="str">
        <f t="shared" si="6"/>
        <v>giftcodesbanner/魔法黯道-禮包碼.jpg</v>
      </c>
      <c r="D178" s="59" t="str">
        <f t="shared" si="5"/>
        <v>https://www.ssbuy.tw/detail_giftcode/dist/giftcodes/魔法黯道.html</v>
      </c>
      <c r="E178" s="105" t="s">
        <v>4001</v>
      </c>
      <c r="F178" s="118" t="s">
        <v>2615</v>
      </c>
      <c r="G178" s="59" t="s">
        <v>3419</v>
      </c>
      <c r="H178" s="59" t="s">
        <v>3420</v>
      </c>
      <c r="I178" s="59"/>
      <c r="J178" s="100"/>
      <c r="K178" s="101"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5.5" customHeight="1">
      <c r="A179" s="75" t="s">
        <v>3428</v>
      </c>
      <c r="B179" s="59"/>
      <c r="C179" s="59" t="str">
        <f t="shared" si="6"/>
        <v>giftcodesbanner/神代紀事-禮包碼.jpg</v>
      </c>
      <c r="D179" s="59" t="str">
        <f t="shared" si="5"/>
        <v>https://www.ssbuy.tw/detail_giftcode/dist/giftcodes/神代紀事.html</v>
      </c>
      <c r="E179" s="100" t="s">
        <v>3429</v>
      </c>
      <c r="F179" s="118" t="s">
        <v>2459</v>
      </c>
      <c r="G179" s="59" t="s">
        <v>2471</v>
      </c>
      <c r="H179" s="59" t="s">
        <v>2471</v>
      </c>
      <c r="I179" s="59" t="s">
        <v>2459</v>
      </c>
      <c r="J179" s="100"/>
      <c r="K179" s="101"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5.5" customHeight="1">
      <c r="A180" s="58" t="s">
        <v>3430</v>
      </c>
      <c r="B180" s="59"/>
      <c r="C180" s="59" t="str">
        <f t="shared" si="6"/>
        <v>giftcodesbanner/天命國度-禮包碼.jpg</v>
      </c>
      <c r="D180" s="59" t="str">
        <f t="shared" si="5"/>
        <v>https://www.ssbuy.tw/detail_giftcode/dist/giftcodes/天命國度.html</v>
      </c>
      <c r="E180" s="100" t="s">
        <v>3431</v>
      </c>
      <c r="F180" s="118" t="s">
        <v>3432</v>
      </c>
      <c r="G180" s="59" t="s">
        <v>3433</v>
      </c>
      <c r="H180" s="59" t="s">
        <v>3434</v>
      </c>
      <c r="I180" s="59" t="s">
        <v>2618</v>
      </c>
      <c r="J180" s="100"/>
      <c r="K180" s="101"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5.5" customHeight="1">
      <c r="A181" s="80" t="s">
        <v>1592</v>
      </c>
      <c r="B181" s="59"/>
      <c r="C181" s="59" t="str">
        <f t="shared" si="6"/>
        <v>giftcodesbanner/戰國武士道-禮包碼.jpg</v>
      </c>
      <c r="D181" s="59" t="str">
        <f t="shared" si="5"/>
        <v>https://www.ssbuy.tw/detail_giftcode/dist/giftcodes/戰國武士道.html</v>
      </c>
      <c r="E181" s="119" t="s">
        <v>3437</v>
      </c>
      <c r="F181" s="118" t="s">
        <v>2459</v>
      </c>
      <c r="G181" s="59" t="s">
        <v>2459</v>
      </c>
      <c r="H181" s="59"/>
      <c r="I181" s="59"/>
      <c r="J181" s="100"/>
      <c r="K181" s="101"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5.5" customHeight="1">
      <c r="A182" s="80" t="s">
        <v>1597</v>
      </c>
      <c r="B182" s="59"/>
      <c r="C182" s="59" t="str">
        <f t="shared" si="6"/>
        <v>giftcodesbanner/超蝦大作戰-禮包碼.jpg</v>
      </c>
      <c r="D182" s="59" t="str">
        <f t="shared" si="5"/>
        <v>https://www.ssbuy.tw/detail_giftcode/dist/giftcodes/超蝦大作戰.html</v>
      </c>
      <c r="E182" s="105" t="s">
        <v>4589</v>
      </c>
      <c r="F182" s="118" t="s">
        <v>3439</v>
      </c>
      <c r="G182" s="59" t="s">
        <v>3440</v>
      </c>
      <c r="H182" s="59" t="s">
        <v>2620</v>
      </c>
      <c r="I182" s="59"/>
      <c r="J182" s="100"/>
      <c r="K182" s="101"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5.5" customHeight="1">
      <c r="A183" s="80" t="s">
        <v>1622</v>
      </c>
      <c r="B183" s="59"/>
      <c r="C183" s="59" t="str">
        <f t="shared" si="6"/>
        <v>giftcodesbanner/真妖獸!廢柴要修仙-禮包碼.jpg</v>
      </c>
      <c r="D183" s="59" t="str">
        <f t="shared" si="5"/>
        <v>https://www.ssbuy.tw/detail_giftcode/dist/giftcodes/真妖獸!廢柴要修仙.html</v>
      </c>
      <c r="E183" s="100" t="s">
        <v>3448</v>
      </c>
      <c r="F183" s="118" t="s">
        <v>2624</v>
      </c>
      <c r="G183" s="59" t="s">
        <v>3449</v>
      </c>
      <c r="H183" s="59" t="s">
        <v>2625</v>
      </c>
      <c r="I183" s="59" t="s">
        <v>3450</v>
      </c>
      <c r="J183" s="100" t="s">
        <v>3451</v>
      </c>
      <c r="K183" s="101"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5.5" customHeight="1">
      <c r="A184" s="75" t="s">
        <v>2627</v>
      </c>
      <c r="B184" s="59"/>
      <c r="C184" s="59" t="str">
        <f t="shared" si="6"/>
        <v>giftcodesbanner/三國志Thrones-禮包碼.jpg</v>
      </c>
      <c r="D184" s="59" t="str">
        <f t="shared" si="5"/>
        <v>https://www.ssbuy.tw/detail_giftcode/dist/giftcodes/三國志Thrones.html</v>
      </c>
      <c r="E184" s="105" t="s">
        <v>4590</v>
      </c>
      <c r="F184" s="118" t="s">
        <v>2624</v>
      </c>
      <c r="G184" s="59" t="s">
        <v>3460</v>
      </c>
      <c r="H184" s="59" t="s">
        <v>3461</v>
      </c>
      <c r="I184" s="59" t="s">
        <v>2628</v>
      </c>
      <c r="J184" s="100"/>
      <c r="K184" s="101"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5.5" customHeight="1">
      <c r="A185" s="75" t="s">
        <v>3463</v>
      </c>
      <c r="B185" s="59"/>
      <c r="C185" s="59" t="str">
        <f t="shared" si="6"/>
        <v>giftcodesbanner/英勇之地-禮包碼.jpg</v>
      </c>
      <c r="D185" s="59" t="str">
        <f t="shared" si="5"/>
        <v>https://www.ssbuy.tw/detail_giftcode/dist/giftcodes/英勇之地.html</v>
      </c>
      <c r="E185" s="116" t="s">
        <v>3464</v>
      </c>
      <c r="F185" s="118" t="s">
        <v>3465</v>
      </c>
      <c r="G185" s="59" t="s">
        <v>3466</v>
      </c>
      <c r="H185" s="59" t="s">
        <v>3467</v>
      </c>
      <c r="I185" s="59" t="s">
        <v>2625</v>
      </c>
      <c r="J185" s="100" t="s">
        <v>3468</v>
      </c>
      <c r="K185" s="101"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5.5" customHeight="1">
      <c r="A186" s="81" t="s">
        <v>2633</v>
      </c>
      <c r="B186" s="59"/>
      <c r="C186" s="59" t="str">
        <f t="shared" si="6"/>
        <v>giftcodesbanner/未鑑定勇者團-禮包碼.jpg</v>
      </c>
      <c r="D186" s="59" t="str">
        <f t="shared" si="5"/>
        <v>https://www.ssbuy.tw/detail_giftcode/dist/giftcodes/未鑑定勇者團.html</v>
      </c>
      <c r="E186" s="105" t="s">
        <v>4004</v>
      </c>
      <c r="F186" s="118" t="s">
        <v>3470</v>
      </c>
      <c r="G186" s="59" t="s">
        <v>3471</v>
      </c>
      <c r="H186" s="59" t="s">
        <v>2634</v>
      </c>
      <c r="I186" s="59" t="s">
        <v>3472</v>
      </c>
      <c r="J186" s="100"/>
      <c r="K186" s="101"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5.5" customHeight="1">
      <c r="A187" s="81" t="s">
        <v>2636</v>
      </c>
      <c r="B187" s="59"/>
      <c r="C187" s="59" t="str">
        <f t="shared" si="6"/>
        <v>giftcodesbanner/戰靈異聞社-禮包碼.jpg</v>
      </c>
      <c r="D187" s="59" t="str">
        <f t="shared" si="5"/>
        <v>https://www.ssbuy.tw/detail_giftcode/dist/giftcodes/戰靈異聞社.html</v>
      </c>
      <c r="E187" s="105" t="s">
        <v>4005</v>
      </c>
      <c r="F187" s="118" t="s">
        <v>3476</v>
      </c>
      <c r="G187" s="59" t="s">
        <v>3477</v>
      </c>
      <c r="H187" s="59" t="s">
        <v>3478</v>
      </c>
      <c r="I187" s="59"/>
      <c r="J187" s="100"/>
      <c r="K187" s="101"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5.5" customHeight="1">
      <c r="A188" s="75" t="s">
        <v>3487</v>
      </c>
      <c r="B188" s="59"/>
      <c r="C188" s="59" t="str">
        <f t="shared" si="6"/>
        <v>giftcodesbanner/見習骷髏王-禮包碼.jpg</v>
      </c>
      <c r="D188" s="59" t="str">
        <f t="shared" si="5"/>
        <v>https://www.ssbuy.tw/detail_giftcode/dist/giftcodes/見習骷髏王.html</v>
      </c>
      <c r="E188" s="105" t="s">
        <v>2639</v>
      </c>
      <c r="F188" s="118" t="s">
        <v>3488</v>
      </c>
      <c r="G188" s="59" t="s">
        <v>2640</v>
      </c>
      <c r="H188" s="59"/>
      <c r="I188" s="59"/>
      <c r="J188" s="100"/>
      <c r="K188" s="101"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5.5" customHeight="1">
      <c r="A189" s="75" t="s">
        <v>2641</v>
      </c>
      <c r="B189" s="59"/>
      <c r="C189" s="59" t="str">
        <f t="shared" si="6"/>
        <v>giftcodesbanner/全明星無雙-禮包碼.jpg</v>
      </c>
      <c r="D189" s="59" t="str">
        <f t="shared" si="5"/>
        <v>https://www.ssbuy.tw/detail_giftcode/dist/giftcodes/全明星無雙.html</v>
      </c>
      <c r="E189" s="100" t="s">
        <v>3490</v>
      </c>
      <c r="F189" s="118" t="s">
        <v>3491</v>
      </c>
      <c r="G189" s="59" t="s">
        <v>3506</v>
      </c>
      <c r="H189" s="59" t="s">
        <v>2625</v>
      </c>
      <c r="I189" s="59" t="s">
        <v>2642</v>
      </c>
      <c r="J189" s="100"/>
      <c r="K189" s="101"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5.5" customHeight="1">
      <c r="A190" s="75" t="str">
        <f>games!A190</f>
        <v>伊瑟</v>
      </c>
      <c r="B190" s="59"/>
      <c r="C190" s="59" t="str">
        <f>IF(A190="","", "giftcodesbanner/" &amp; A190 &amp; "-禮包碼.jpg")</f>
        <v>giftcodesbanner/伊瑟-禮包碼.jpg</v>
      </c>
      <c r="D190" s="59" t="str">
        <f t="shared" si="5"/>
        <v>https://www.ssbuy.tw/detail_giftcode/dist/giftcodes/伊瑟.html</v>
      </c>
      <c r="E190" s="10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8" t="s">
        <v>3501</v>
      </c>
      <c r="G190" s="59" t="s">
        <v>3502</v>
      </c>
      <c r="H190" s="59"/>
      <c r="I190" s="59"/>
      <c r="J190" s="100"/>
      <c r="K190" s="101"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5.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10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8" t="s">
        <v>3505</v>
      </c>
      <c r="G191" s="59" t="s">
        <v>3507</v>
      </c>
      <c r="H191" s="59" t="s">
        <v>2625</v>
      </c>
      <c r="I191" s="59"/>
      <c r="J191" s="100"/>
      <c r="K191" s="101"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5.5" customHeight="1">
      <c r="A192" s="75" t="str">
        <f>IF(games!A192="", "", games!A192)</f>
        <v>荒野亂鬥</v>
      </c>
      <c r="B192" s="59"/>
      <c r="C192" s="59" t="str">
        <f t="shared" si="7"/>
        <v>giftcodesbanner/荒野亂鬥-禮包碼.jpg</v>
      </c>
      <c r="D192" s="59" t="str">
        <f t="shared" si="5"/>
        <v>https://www.ssbuy.tw/detail_giftcode/dist/giftcodes/荒野亂鬥.html</v>
      </c>
      <c r="E192" s="10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1" t="s">
        <v>3489</v>
      </c>
      <c r="G192" s="59" t="s">
        <v>2640</v>
      </c>
      <c r="H192" s="61" t="s">
        <v>2640</v>
      </c>
      <c r="I192" s="59" t="s">
        <v>2640</v>
      </c>
      <c r="J192" s="100"/>
      <c r="K192" s="101"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5.5" customHeight="1">
      <c r="A193" s="75" t="str">
        <f>IF(games!A193="", "", games!A193)</f>
        <v>遺忘之劍</v>
      </c>
      <c r="B193" s="59"/>
      <c r="C193" s="59" t="str">
        <f t="shared" si="7"/>
        <v>giftcodesbanner/遺忘之劍-禮包碼.jpg</v>
      </c>
      <c r="D193" s="59" t="str">
        <f t="shared" si="5"/>
        <v>https://www.ssbuy.tw/detail_giftcode/dist/giftcodes/遺忘之劍.html</v>
      </c>
      <c r="E193" s="10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8" t="s">
        <v>3541</v>
      </c>
      <c r="G193" s="59" t="s">
        <v>3542</v>
      </c>
      <c r="H193" s="59" t="s">
        <v>3543</v>
      </c>
      <c r="I193" s="59" t="s">
        <v>2625</v>
      </c>
      <c r="J193" s="100"/>
      <c r="K193" s="101"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5.5" customHeight="1">
      <c r="A194" s="75" t="str">
        <f>IF(games!A194="", "", games!A194)</f>
        <v>破壞突擊隊</v>
      </c>
      <c r="B194" s="59"/>
      <c r="C194" s="59" t="str">
        <f t="shared" si="7"/>
        <v>giftcodesbanner/破壞突擊隊-禮包碼.jpg</v>
      </c>
      <c r="D194" s="59" t="str">
        <f t="shared" si="5"/>
        <v>https://www.ssbuy.tw/detail_giftcode/dist/giftcodes/破壞突擊隊.html</v>
      </c>
      <c r="E194" s="10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1" t="s">
        <v>3489</v>
      </c>
      <c r="G194" s="59" t="s">
        <v>2640</v>
      </c>
      <c r="H194" s="61" t="s">
        <v>2640</v>
      </c>
      <c r="I194" s="59" t="s">
        <v>2640</v>
      </c>
      <c r="J194" s="100"/>
      <c r="K194" s="101"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5.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10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1" t="s">
        <v>3489</v>
      </c>
      <c r="G195" s="59" t="s">
        <v>2640</v>
      </c>
      <c r="H195" s="61" t="s">
        <v>2640</v>
      </c>
      <c r="I195" s="59" t="s">
        <v>2640</v>
      </c>
      <c r="J195" s="100"/>
      <c r="K195" s="101"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5.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10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8" t="s">
        <v>3587</v>
      </c>
      <c r="G196" s="59" t="s">
        <v>3588</v>
      </c>
      <c r="H196" s="59" t="s">
        <v>2625</v>
      </c>
      <c r="I196" s="59" t="s">
        <v>3589</v>
      </c>
      <c r="J196" s="100"/>
      <c r="K196" s="101"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5.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10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8" t="s">
        <v>3615</v>
      </c>
      <c r="G197" s="59" t="s">
        <v>3616</v>
      </c>
      <c r="H197" s="59" t="s">
        <v>2625</v>
      </c>
      <c r="I197" s="59" t="s">
        <v>3617</v>
      </c>
      <c r="J197" s="100"/>
      <c r="K197" s="101"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5.5" customHeight="1">
      <c r="A198" s="75" t="str">
        <f>IF(games!A198="", "", games!A198)</f>
        <v>Gear Fight!</v>
      </c>
      <c r="B198" s="59"/>
      <c r="C198" s="59" t="str">
        <f t="shared" si="7"/>
        <v>giftcodesbanner/Gear Fight!-禮包碼.jpg</v>
      </c>
      <c r="D198" s="59" t="str">
        <f t="shared" si="8"/>
        <v>https://www.ssbuy.tw/detail_giftcode/dist/giftcodes/Gear Fight!.html</v>
      </c>
      <c r="E198" s="10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1" t="s">
        <v>2640</v>
      </c>
      <c r="G198" s="59" t="s">
        <v>2640</v>
      </c>
      <c r="H198" s="61" t="s">
        <v>2640</v>
      </c>
      <c r="I198" s="59" t="s">
        <v>2640</v>
      </c>
      <c r="J198" s="100"/>
      <c r="K198" s="101"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5.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10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8" t="s">
        <v>3640</v>
      </c>
      <c r="G199" s="59" t="s">
        <v>3641</v>
      </c>
      <c r="H199" s="59" t="s">
        <v>2625</v>
      </c>
      <c r="I199" s="59" t="s">
        <v>3642</v>
      </c>
      <c r="J199" s="100"/>
      <c r="K199" s="101"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5.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10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8" t="s">
        <v>3736</v>
      </c>
      <c r="G200" s="59" t="s">
        <v>3737</v>
      </c>
      <c r="H200" s="59" t="s">
        <v>3738</v>
      </c>
      <c r="I200" s="59" t="s">
        <v>2625</v>
      </c>
      <c r="J200" s="100" t="s">
        <v>3739</v>
      </c>
      <c r="K200" s="101"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5.5" customHeight="1">
      <c r="A201" s="75" t="str">
        <f>IF(games!A201="", "", games!A201)</f>
        <v>野龍小隊</v>
      </c>
      <c r="B201" s="59"/>
      <c r="C201" s="59" t="str">
        <f t="shared" si="7"/>
        <v>giftcodesbanner/野龍小隊-禮包碼.jpg</v>
      </c>
      <c r="D201" s="59" t="str">
        <f t="shared" si="8"/>
        <v>https://www.ssbuy.tw/detail_giftcode/dist/giftcodes/野龍小隊.html</v>
      </c>
      <c r="E201" s="10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1" t="s">
        <v>2640</v>
      </c>
      <c r="G201" s="59" t="s">
        <v>2640</v>
      </c>
      <c r="H201" s="61" t="s">
        <v>2640</v>
      </c>
      <c r="I201" s="59" t="s">
        <v>2640</v>
      </c>
      <c r="J201" s="100"/>
      <c r="K201" s="101"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5.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10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1" t="s">
        <v>2640</v>
      </c>
      <c r="G202" s="59" t="s">
        <v>2640</v>
      </c>
      <c r="H202" s="61" t="s">
        <v>2640</v>
      </c>
      <c r="I202" s="59" t="s">
        <v>2640</v>
      </c>
      <c r="J202" s="100"/>
      <c r="K202" s="101"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5.5" customHeight="1">
      <c r="A203" s="75" t="str">
        <f>IF(games!A203="", "", games!A203)</f>
        <v>主公超會閃</v>
      </c>
      <c r="B203" s="59"/>
      <c r="C203" s="59" t="str">
        <f t="shared" si="7"/>
        <v>giftcodesbanner/主公超會閃-禮包碼.jpg</v>
      </c>
      <c r="D203" s="59" t="str">
        <f t="shared" si="8"/>
        <v>https://www.ssbuy.tw/detail_giftcode/dist/giftcodes/主公超會閃.html</v>
      </c>
      <c r="E203" s="10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8" t="s">
        <v>3754</v>
      </c>
      <c r="G203" s="59" t="s">
        <v>3755</v>
      </c>
      <c r="H203" s="59" t="s">
        <v>2625</v>
      </c>
      <c r="I203" s="59" t="s">
        <v>3756</v>
      </c>
      <c r="J203" s="100"/>
      <c r="K203" s="101"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5.5" customHeight="1">
      <c r="A204" s="75" t="str">
        <f>IF(games!A204="", "", games!A204)</f>
        <v>小兵來支援</v>
      </c>
      <c r="B204" s="59"/>
      <c r="C204" s="59" t="str">
        <f t="shared" si="7"/>
        <v>giftcodesbanner/小兵來支援-禮包碼.jpg</v>
      </c>
      <c r="D204" s="59" t="str">
        <f t="shared" si="8"/>
        <v>https://www.ssbuy.tw/detail_giftcode/dist/giftcodes/小兵來支援.html</v>
      </c>
      <c r="E204" s="10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8"/>
      <c r="G204" s="59"/>
      <c r="H204" s="59"/>
      <c r="I204" s="59"/>
      <c r="J204" s="100"/>
      <c r="K204" s="101"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5.5" customHeight="1">
      <c r="A205" s="75" t="str">
        <f>IF(games!A205="", "", games!A205)</f>
        <v>姆姆鬥惡龍</v>
      </c>
      <c r="B205" s="59"/>
      <c r="C205" s="59" t="str">
        <f t="shared" si="7"/>
        <v>giftcodesbanner/姆姆鬥惡龍-禮包碼.jpg</v>
      </c>
      <c r="D205" s="59" t="str">
        <f t="shared" si="8"/>
        <v>https://www.ssbuy.tw/detail_giftcode/dist/giftcodes/姆姆鬥惡龍.html</v>
      </c>
      <c r="E205" s="10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1" t="s">
        <v>2640</v>
      </c>
      <c r="G205" s="59" t="s">
        <v>2640</v>
      </c>
      <c r="H205" s="61" t="s">
        <v>2640</v>
      </c>
      <c r="I205" s="59" t="s">
        <v>2640</v>
      </c>
      <c r="J205" s="100"/>
      <c r="K205" s="101"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5.5" customHeight="1">
      <c r="A206" s="75" t="str">
        <f>IF(games!A206="", "", games!A206)</f>
        <v>發條特攻隊</v>
      </c>
      <c r="B206" s="59"/>
      <c r="C206" s="59" t="str">
        <f t="shared" si="7"/>
        <v>giftcodesbanner/發條特攻隊-禮包碼.jpg</v>
      </c>
      <c r="D206" s="59" t="str">
        <f t="shared" si="8"/>
        <v>https://www.ssbuy.tw/detail_giftcode/dist/giftcodes/發條特攻隊.html</v>
      </c>
      <c r="E206" s="10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8" t="s">
        <v>3797</v>
      </c>
      <c r="G206" s="59" t="s">
        <v>3798</v>
      </c>
      <c r="H206" s="59" t="s">
        <v>2625</v>
      </c>
      <c r="I206" s="59" t="s">
        <v>3756</v>
      </c>
      <c r="J206" s="100"/>
      <c r="K206" s="101"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5.5" customHeight="1">
      <c r="A207" s="75" t="str">
        <f>IF(games!A207="", "", games!A207)</f>
        <v>天命：群星</v>
      </c>
      <c r="B207" s="59"/>
      <c r="C207" s="59" t="str">
        <f t="shared" si="7"/>
        <v>giftcodesbanner/天命：群星-禮包碼.jpg</v>
      </c>
      <c r="D207" s="59" t="str">
        <f t="shared" si="8"/>
        <v>https://www.ssbuy.tw/detail_giftcode/dist/giftcodes/天命：群星.html</v>
      </c>
      <c r="E207" s="10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8" t="s">
        <v>3754</v>
      </c>
      <c r="G207" s="59" t="s">
        <v>3755</v>
      </c>
      <c r="H207" s="59" t="s">
        <v>2625</v>
      </c>
      <c r="I207" s="59" t="s">
        <v>3756</v>
      </c>
      <c r="J207" s="100"/>
      <c r="K207" s="101"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5.5" customHeight="1">
      <c r="A208" s="75" t="str">
        <f>IF(games!A208="", "", games!A208)</f>
        <v>血影雙生</v>
      </c>
      <c r="B208" s="59"/>
      <c r="C208" s="59" t="str">
        <f t="shared" si="7"/>
        <v>giftcodesbanner/血影雙生-禮包碼.jpg</v>
      </c>
      <c r="D208" s="59" t="str">
        <f t="shared" si="8"/>
        <v>https://www.ssbuy.tw/detail_giftcode/dist/giftcodes/血影雙生.html</v>
      </c>
      <c r="E208" s="10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1" t="s">
        <v>3822</v>
      </c>
      <c r="G208" s="59" t="s">
        <v>3823</v>
      </c>
      <c r="H208" s="61" t="s">
        <v>3824</v>
      </c>
      <c r="I208" s="59" t="s">
        <v>2625</v>
      </c>
      <c r="J208" s="100" t="s">
        <v>3825</v>
      </c>
      <c r="K208" s="101"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5.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10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8" t="s">
        <v>3754</v>
      </c>
      <c r="G209" s="59" t="s">
        <v>3755</v>
      </c>
      <c r="H209" s="59" t="s">
        <v>2625</v>
      </c>
      <c r="I209" s="59" t="s">
        <v>3756</v>
      </c>
      <c r="J209" s="100"/>
      <c r="K209" s="101"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5.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10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1" t="s">
        <v>3817</v>
      </c>
      <c r="G210" s="59" t="s">
        <v>3818</v>
      </c>
      <c r="H210" s="61" t="s">
        <v>3819</v>
      </c>
      <c r="I210" s="59" t="s">
        <v>3820</v>
      </c>
      <c r="J210" s="100" t="s">
        <v>3821</v>
      </c>
      <c r="K210" s="101"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5.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10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1" t="s">
        <v>2640</v>
      </c>
      <c r="G211" s="59" t="s">
        <v>2640</v>
      </c>
      <c r="H211" s="59"/>
      <c r="I211" s="59"/>
      <c r="J211" s="100"/>
      <c r="K211" s="101"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5.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10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1" t="s">
        <v>2640</v>
      </c>
      <c r="G212" s="59" t="s">
        <v>2640</v>
      </c>
      <c r="H212" s="59"/>
      <c r="I212" s="59"/>
      <c r="J212" s="100"/>
      <c r="K212" s="101"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5.5" customHeight="1">
      <c r="A213" s="75" t="str">
        <f>IF(games!A213="", "", games!A213)</f>
        <v>新月同行</v>
      </c>
      <c r="B213" s="59"/>
      <c r="C213" s="59" t="str">
        <f t="shared" si="7"/>
        <v>giftcodesbanner/新月同行-禮包碼.jpg</v>
      </c>
      <c r="D213" s="59" t="str">
        <f t="shared" si="8"/>
        <v>https://www.ssbuy.tw/detail_giftcode/dist/giftcodes/新月同行.html</v>
      </c>
      <c r="E213" s="10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1" t="s">
        <v>2640</v>
      </c>
      <c r="G213" s="59" t="s">
        <v>2640</v>
      </c>
      <c r="H213" s="59"/>
      <c r="I213" s="59"/>
      <c r="J213" s="100"/>
      <c r="K213" s="101"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5.5" customHeight="1">
      <c r="A214" s="75" t="str">
        <f>IF(games!A214="", "", games!A214)</f>
        <v>超商勇者</v>
      </c>
      <c r="B214" s="59"/>
      <c r="C214" s="59" t="str">
        <f t="shared" si="7"/>
        <v>giftcodesbanner/超商勇者-禮包碼.jpg</v>
      </c>
      <c r="D214" s="59" t="str">
        <f t="shared" si="8"/>
        <v>https://www.ssbuy.tw/detail_giftcode/dist/giftcodes/超商勇者.html</v>
      </c>
      <c r="E214" s="10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1" t="s">
        <v>2640</v>
      </c>
      <c r="G214" s="59" t="s">
        <v>2640</v>
      </c>
      <c r="H214" s="59"/>
      <c r="I214" s="59"/>
      <c r="J214" s="100"/>
      <c r="K214" s="101"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5.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10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1" t="s">
        <v>2640</v>
      </c>
      <c r="G215" s="59" t="s">
        <v>2640</v>
      </c>
      <c r="H215" s="59"/>
      <c r="I215" s="59"/>
      <c r="J215" s="100"/>
      <c r="K215" s="101"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5.5" customHeight="1">
      <c r="A216" s="75" t="str">
        <f>IF(games!A216="", "", games!A216)</f>
        <v>貓旅館物語</v>
      </c>
      <c r="B216" s="59"/>
      <c r="C216" s="59" t="str">
        <f t="shared" si="7"/>
        <v>giftcodesbanner/貓旅館物語-禮包碼.jpg</v>
      </c>
      <c r="D216" s="59" t="str">
        <f t="shared" si="8"/>
        <v>https://www.ssbuy.tw/detail_giftcode/dist/giftcodes/貓旅館物語.html</v>
      </c>
      <c r="E216" s="10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1" t="s">
        <v>3925</v>
      </c>
      <c r="G216" s="59" t="s">
        <v>2625</v>
      </c>
      <c r="H216" s="59" t="s">
        <v>3926</v>
      </c>
      <c r="I216" s="59"/>
      <c r="J216" s="100"/>
      <c r="K216" s="101"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5.5" customHeight="1">
      <c r="A217" s="75" t="str">
        <f>IF(games!A217="", "", games!A217)</f>
        <v>龍石戰爭</v>
      </c>
      <c r="B217" s="59"/>
      <c r="C217" s="59" t="str">
        <f t="shared" si="7"/>
        <v>giftcodesbanner/龍石戰爭-禮包碼.jpg</v>
      </c>
      <c r="D217" s="59" t="str">
        <f t="shared" si="8"/>
        <v>https://www.ssbuy.tw/detail_giftcode/dist/giftcodes/龍石戰爭.html</v>
      </c>
      <c r="E217" s="10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1" t="s">
        <v>3930</v>
      </c>
      <c r="G217" s="59" t="s">
        <v>4036</v>
      </c>
      <c r="H217" s="59" t="s">
        <v>4037</v>
      </c>
      <c r="I217" s="59" t="s">
        <v>2625</v>
      </c>
      <c r="J217" s="100"/>
      <c r="K217" s="101"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5.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10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8" t="s">
        <v>3754</v>
      </c>
      <c r="G218" s="59" t="s">
        <v>3755</v>
      </c>
      <c r="H218" s="59" t="s">
        <v>2625</v>
      </c>
      <c r="I218" s="59" t="s">
        <v>3756</v>
      </c>
      <c r="J218" s="100"/>
      <c r="K218" s="101"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5.5" customHeight="1">
      <c r="A219" s="75" t="str">
        <f>IF(games!A219="", "", games!A219)</f>
        <v>邪門鬼道</v>
      </c>
      <c r="B219" s="59"/>
      <c r="C219" s="59" t="str">
        <f t="shared" si="7"/>
        <v>giftcodesbanner/邪門鬼道-禮包碼.jpg</v>
      </c>
      <c r="D219" s="59" t="str">
        <f t="shared" si="8"/>
        <v>https://www.ssbuy.tw/detail_giftcode/dist/giftcodes/邪門鬼道.html</v>
      </c>
      <c r="E219" s="10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8" t="s">
        <v>3754</v>
      </c>
      <c r="G219" s="59" t="s">
        <v>3755</v>
      </c>
      <c r="H219" s="59" t="s">
        <v>2625</v>
      </c>
      <c r="I219" s="59" t="s">
        <v>3756</v>
      </c>
      <c r="J219" s="100"/>
      <c r="K219" s="101"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5.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10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1" t="s">
        <v>4290</v>
      </c>
      <c r="G220" s="59" t="s">
        <v>4291</v>
      </c>
      <c r="H220" s="59"/>
      <c r="I220" s="59"/>
      <c r="J220" s="100"/>
      <c r="K220" s="101"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5.5" customHeight="1">
      <c r="A221" s="75" t="str">
        <f>IF(games!A221="", "", games!A221)</f>
        <v>野蠻生存錄</v>
      </c>
      <c r="B221" s="59"/>
      <c r="C221" s="59" t="str">
        <f t="shared" si="7"/>
        <v>giftcodesbanner/野蠻生存錄-禮包碼.jpg</v>
      </c>
      <c r="D221" s="59" t="str">
        <f t="shared" si="8"/>
        <v>https://www.ssbuy.tw/detail_giftcode/dist/giftcodes/野蠻生存錄.html</v>
      </c>
      <c r="E221" s="10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1" t="s">
        <v>2640</v>
      </c>
      <c r="G221" s="59" t="s">
        <v>2640</v>
      </c>
      <c r="H221" s="59"/>
      <c r="I221" s="59"/>
      <c r="J221" s="100"/>
      <c r="K221" s="101"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5.5" customHeight="1">
      <c r="A222" s="75" t="str">
        <f>IF(games!A222="", "", games!A222)</f>
        <v>萬獸崛起</v>
      </c>
      <c r="B222" s="59"/>
      <c r="C222" s="59" t="str">
        <f t="shared" si="7"/>
        <v>giftcodesbanner/萬獸崛起-禮包碼.jpg</v>
      </c>
      <c r="D222" s="59" t="str">
        <f t="shared" si="8"/>
        <v>https://www.ssbuy.tw/detail_giftcode/dist/giftcodes/萬獸崛起.html</v>
      </c>
      <c r="E222" s="10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8" t="s">
        <v>4048</v>
      </c>
      <c r="G222" s="59" t="s">
        <v>4049</v>
      </c>
      <c r="H222" s="59" t="s">
        <v>2625</v>
      </c>
      <c r="I222" s="59" t="s">
        <v>3756</v>
      </c>
      <c r="J222" s="100"/>
      <c r="K222" s="101"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5.5" customHeight="1">
      <c r="A223" s="75" t="str">
        <f>IF(games!A223="", "", games!A223)</f>
        <v>劍靈神域</v>
      </c>
      <c r="B223" s="59"/>
      <c r="C223" s="59" t="str">
        <f t="shared" si="7"/>
        <v>giftcodesbanner/劍靈神域-禮包碼.jpg</v>
      </c>
      <c r="D223" s="59" t="str">
        <f t="shared" si="8"/>
        <v>https://www.ssbuy.tw/detail_giftcode/dist/giftcodes/劍靈神域.html</v>
      </c>
      <c r="E223" s="10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8" t="s">
        <v>4079</v>
      </c>
      <c r="G223" s="59" t="s">
        <v>2625</v>
      </c>
      <c r="H223" s="59" t="s">
        <v>3756</v>
      </c>
      <c r="I223" s="59"/>
      <c r="J223" s="100"/>
      <c r="K223" s="101"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5.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10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8" t="s">
        <v>4090</v>
      </c>
      <c r="G224" s="59" t="s">
        <v>4091</v>
      </c>
      <c r="H224" s="59" t="s">
        <v>4092</v>
      </c>
      <c r="I224" s="59" t="s">
        <v>2625</v>
      </c>
      <c r="J224" s="100" t="s">
        <v>3756</v>
      </c>
      <c r="K224" s="101"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5.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10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0" t="s">
        <v>4381</v>
      </c>
      <c r="G225" s="82" t="s">
        <v>4382</v>
      </c>
      <c r="H225" s="82" t="s">
        <v>4383</v>
      </c>
      <c r="I225" s="82" t="s">
        <v>4384</v>
      </c>
      <c r="J225" s="105" t="s">
        <v>4385</v>
      </c>
      <c r="K225" s="106"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5.5" customHeight="1">
      <c r="A226" s="75" t="str">
        <f>IF(games!A226="", "", games!A226)</f>
        <v>Draft showdown</v>
      </c>
      <c r="B226" s="59"/>
      <c r="C226" s="59" t="str">
        <f t="shared" si="7"/>
        <v>giftcodesbanner/Draft showdown-禮包碼.jpg</v>
      </c>
      <c r="D226" s="59" t="str">
        <f t="shared" si="8"/>
        <v>https://www.ssbuy.tw/detail_giftcode/dist/giftcodes/Draft showdown.html</v>
      </c>
      <c r="E226" s="10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1" t="s">
        <v>2640</v>
      </c>
      <c r="G226" s="59" t="s">
        <v>2640</v>
      </c>
      <c r="H226" s="59"/>
      <c r="I226" s="59"/>
      <c r="J226" s="100"/>
      <c r="K226" s="101"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5.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10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8" t="s">
        <v>3754</v>
      </c>
      <c r="G227" s="59" t="s">
        <v>3755</v>
      </c>
      <c r="H227" s="59" t="s">
        <v>2625</v>
      </c>
      <c r="I227" s="59" t="s">
        <v>3756</v>
      </c>
      <c r="J227" s="100"/>
      <c r="K227" s="101"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5.5" customHeight="1">
      <c r="A228" s="75" t="str">
        <f>IF(games!A228="", "", games!A228)</f>
        <v>量子機動隊</v>
      </c>
      <c r="B228" s="59"/>
      <c r="C228" s="59" t="str">
        <f t="shared" si="7"/>
        <v>giftcodesbanner/量子機動隊-禮包碼.jpg</v>
      </c>
      <c r="D228" s="59" t="str">
        <f t="shared" si="8"/>
        <v>https://www.ssbuy.tw/detail_giftcode/dist/giftcodes/量子機動隊.html</v>
      </c>
      <c r="E228" s="10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8" t="s">
        <v>4513</v>
      </c>
      <c r="G228" s="59" t="s">
        <v>4514</v>
      </c>
      <c r="H228" s="59" t="s">
        <v>2625</v>
      </c>
      <c r="I228" s="59" t="s">
        <v>3756</v>
      </c>
      <c r="J228" s="100"/>
      <c r="K228" s="106"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5.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10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1" t="s">
        <v>4288</v>
      </c>
      <c r="G229" s="59" t="s">
        <v>4289</v>
      </c>
      <c r="H229" s="59" t="s">
        <v>2625</v>
      </c>
      <c r="I229" s="59" t="s">
        <v>3756</v>
      </c>
      <c r="J229" s="100"/>
      <c r="K229" s="101"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5.5" customHeight="1">
      <c r="A230" s="75" t="str">
        <f>IF(games!A230="", "", games!A230)</f>
        <v>XXL猛漢町</v>
      </c>
      <c r="B230" s="59"/>
      <c r="C230" s="59" t="str">
        <f t="shared" si="7"/>
        <v>giftcodesbanner/XXL猛漢町-禮包碼.jpg</v>
      </c>
      <c r="D230" s="59" t="str">
        <f t="shared" si="8"/>
        <v>https://www.ssbuy.tw/detail_giftcode/dist/giftcodes/XXL猛漢町.html</v>
      </c>
      <c r="E230" s="10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8" t="s">
        <v>4210</v>
      </c>
      <c r="G230" s="59" t="s">
        <v>4211</v>
      </c>
      <c r="H230" s="59" t="s">
        <v>2625</v>
      </c>
      <c r="I230" s="59" t="s">
        <v>4212</v>
      </c>
      <c r="J230" s="100"/>
      <c r="K230" s="101"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5.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10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1" t="s">
        <v>2640</v>
      </c>
      <c r="G231" s="59" t="s">
        <v>2640</v>
      </c>
      <c r="H231" s="59"/>
      <c r="I231" s="59"/>
      <c r="J231" s="100"/>
      <c r="K231" s="101"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5.5" customHeight="1">
      <c r="A232" s="75" t="str">
        <f>IF(games!A232="", "", games!A232)</f>
        <v>無限子彈</v>
      </c>
      <c r="B232" s="59"/>
      <c r="C232" s="59" t="str">
        <f t="shared" si="7"/>
        <v>giftcodesbanner/無限子彈-禮包碼.jpg</v>
      </c>
      <c r="D232" s="59" t="str">
        <f t="shared" si="8"/>
        <v>https://www.ssbuy.tw/detail_giftcode/dist/giftcodes/無限子彈.html</v>
      </c>
      <c r="E232" s="10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1" t="s">
        <v>2640</v>
      </c>
      <c r="G232" s="59" t="s">
        <v>2640</v>
      </c>
      <c r="H232" s="59"/>
      <c r="I232" s="59"/>
      <c r="J232" s="100"/>
      <c r="K232" s="101"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5.5" customHeight="1">
      <c r="A233" s="75" t="str">
        <f>IF(games!A233="", "", games!A233)</f>
        <v>Dunkadillo</v>
      </c>
      <c r="B233" s="59"/>
      <c r="C233" s="59" t="str">
        <f t="shared" si="7"/>
        <v>giftcodesbanner/Dunkadillo-禮包碼.jpg</v>
      </c>
      <c r="D233" s="59" t="str">
        <f t="shared" si="8"/>
        <v>https://www.ssbuy.tw/detail_giftcode/dist/giftcodes/Dunkadillo.html</v>
      </c>
      <c r="E233" s="10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1" t="s">
        <v>2640</v>
      </c>
      <c r="G233" s="59" t="s">
        <v>2640</v>
      </c>
      <c r="H233" s="59"/>
      <c r="I233" s="59"/>
      <c r="J233" s="100"/>
      <c r="K233" s="101"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5.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10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8" t="s">
        <v>4090</v>
      </c>
      <c r="G234" s="59" t="s">
        <v>4365</v>
      </c>
      <c r="H234" s="59" t="s">
        <v>2625</v>
      </c>
      <c r="I234" s="59" t="s">
        <v>4366</v>
      </c>
      <c r="J234" s="100"/>
      <c r="K234" s="106"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5.5" customHeight="1">
      <c r="A235" s="75" t="str">
        <f>IF(games!A235="", "", games!A235)</f>
        <v>三國將將好</v>
      </c>
      <c r="B235" s="59"/>
      <c r="C235" s="59" t="str">
        <f t="shared" si="7"/>
        <v>giftcodesbanner/三國將將好-禮包碼.jpg</v>
      </c>
      <c r="D235" s="59" t="str">
        <f t="shared" si="8"/>
        <v>https://www.ssbuy.tw/detail_giftcode/dist/giftcodes/三國將將好.html</v>
      </c>
      <c r="E235" s="10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8" t="s">
        <v>4090</v>
      </c>
      <c r="G235" s="59" t="s">
        <v>4359</v>
      </c>
      <c r="H235" s="59" t="s">
        <v>2625</v>
      </c>
      <c r="I235" s="59" t="s">
        <v>4360</v>
      </c>
      <c r="J235" s="100"/>
      <c r="K235" s="101"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5.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10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0" t="s">
        <v>4450</v>
      </c>
      <c r="G236" s="59" t="s">
        <v>4451</v>
      </c>
      <c r="H236" s="59"/>
      <c r="I236" s="59"/>
      <c r="J236" s="100"/>
      <c r="K236" s="106"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5.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10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8" t="s">
        <v>4090</v>
      </c>
      <c r="G237" s="59" t="s">
        <v>4359</v>
      </c>
      <c r="H237" s="59" t="s">
        <v>2625</v>
      </c>
      <c r="I237" s="59" t="s">
        <v>4360</v>
      </c>
      <c r="J237" s="100"/>
      <c r="K237" s="101"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5.5" customHeight="1">
      <c r="A238" s="75" t="str">
        <f>IF(games!A238="", "", games!A238)</f>
        <v>魔法師之徒</v>
      </c>
      <c r="B238" s="59"/>
      <c r="C238" s="59" t="str">
        <f t="shared" si="7"/>
        <v>giftcodesbanner/魔法師之徒-禮包碼.jpg</v>
      </c>
      <c r="D238" s="59" t="str">
        <f t="shared" si="8"/>
        <v>https://www.ssbuy.tw/detail_giftcode/dist/giftcodes/魔法師之徒.html</v>
      </c>
      <c r="E238" s="10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8" t="s">
        <v>4090</v>
      </c>
      <c r="G238" s="59" t="s">
        <v>4359</v>
      </c>
      <c r="H238" s="59" t="s">
        <v>2625</v>
      </c>
      <c r="I238" s="59" t="s">
        <v>4360</v>
      </c>
      <c r="J238" s="100"/>
      <c r="K238" s="107"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5.5" customHeight="1">
      <c r="A239" s="75" t="str">
        <f>IF(games!A239="", "", games!A239)</f>
        <v>三國魂將傳</v>
      </c>
      <c r="B239" s="59"/>
      <c r="C239" s="59" t="str">
        <f t="shared" si="7"/>
        <v>giftcodesbanner/三國魂將傳-禮包碼.jpg</v>
      </c>
      <c r="D239" s="59" t="str">
        <f t="shared" si="8"/>
        <v>https://www.ssbuy.tw/detail_giftcode/dist/giftcodes/三國魂將傳.html</v>
      </c>
      <c r="E239" s="10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1" t="s">
        <v>4533</v>
      </c>
      <c r="G239" s="59" t="s">
        <v>4534</v>
      </c>
      <c r="H239" s="59" t="s">
        <v>2625</v>
      </c>
      <c r="I239" s="59" t="s">
        <v>4360</v>
      </c>
      <c r="J239" s="100"/>
      <c r="K239" s="106"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5.5" customHeight="1">
      <c r="A240" s="75" t="str">
        <f>IF(games!A240="", "", games!A240)</f>
        <v>龍息：神寂</v>
      </c>
      <c r="B240" s="59"/>
      <c r="C240" s="59" t="str">
        <f t="shared" si="7"/>
        <v>giftcodesbanner/龍息：神寂-禮包碼.jpg</v>
      </c>
      <c r="D240" s="59" t="str">
        <f t="shared" si="8"/>
        <v>https://www.ssbuy.tw/detail_giftcode/dist/giftcodes/龍息：神寂.html</v>
      </c>
      <c r="E240" s="10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8" t="s">
        <v>4400</v>
      </c>
      <c r="G240" s="59" t="s">
        <v>4401</v>
      </c>
      <c r="H240" s="59" t="s">
        <v>2625</v>
      </c>
      <c r="I240" s="59" t="s">
        <v>4360</v>
      </c>
      <c r="J240" s="100"/>
      <c r="K240" s="101"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5.5" customHeight="1">
      <c r="A241" s="75" t="str">
        <f>IF(games!A241="", "", games!A241)</f>
        <v>玩具對決</v>
      </c>
      <c r="B241" s="59"/>
      <c r="C241" s="59" t="str">
        <f t="shared" si="7"/>
        <v>giftcodesbanner/玩具對決-禮包碼.jpg</v>
      </c>
      <c r="D241" s="59" t="str">
        <f t="shared" si="8"/>
        <v>https://www.ssbuy.tw/detail_giftcode/dist/giftcodes/玩具對決.html</v>
      </c>
      <c r="E241" s="10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1" t="s">
        <v>2640</v>
      </c>
      <c r="G241" s="59" t="s">
        <v>2640</v>
      </c>
      <c r="H241" s="59"/>
      <c r="I241" s="59"/>
      <c r="J241" s="100"/>
      <c r="K241" s="101"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5.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10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1" t="s">
        <v>2640</v>
      </c>
      <c r="G242" s="59" t="s">
        <v>2640</v>
      </c>
      <c r="H242" s="59"/>
      <c r="I242" s="59"/>
      <c r="J242" s="100"/>
      <c r="K242" s="101"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5.5" customHeight="1">
      <c r="A243" s="75" t="str">
        <f>IF(games!A243="", "", games!A243)</f>
        <v>黑道傳奇</v>
      </c>
      <c r="B243" s="59"/>
      <c r="C243" s="59" t="str">
        <f t="shared" si="7"/>
        <v>giftcodesbanner/黑道傳奇-禮包碼.jpg</v>
      </c>
      <c r="D243" s="59" t="str">
        <f t="shared" si="8"/>
        <v>https://www.ssbuy.tw/detail_giftcode/dist/giftcodes/黑道傳奇.html</v>
      </c>
      <c r="E243" s="10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1" t="s">
        <v>2640</v>
      </c>
      <c r="G243" s="59" t="s">
        <v>2640</v>
      </c>
      <c r="H243" s="59"/>
      <c r="I243" s="59"/>
      <c r="J243" s="100"/>
      <c r="K243" s="101"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5.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10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1" t="s">
        <v>2640</v>
      </c>
      <c r="G244" s="59" t="s">
        <v>2640</v>
      </c>
      <c r="H244" s="59"/>
      <c r="I244" s="59"/>
      <c r="J244" s="100"/>
      <c r="K244" s="101"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5.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10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1" t="s">
        <v>4517</v>
      </c>
      <c r="G245" s="59" t="s">
        <v>4515</v>
      </c>
      <c r="H245" s="59"/>
      <c r="I245" s="59"/>
      <c r="J245" s="100"/>
      <c r="K245" s="101"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5.5" customHeight="1">
      <c r="A246" s="75" t="str">
        <f>IF(games!A246="", "", games!A246)</f>
        <v>Grave Strikers</v>
      </c>
      <c r="B246" s="59"/>
      <c r="C246" s="59" t="str">
        <f t="shared" si="7"/>
        <v>giftcodesbanner/Grave Strikers-禮包碼.jpg</v>
      </c>
      <c r="D246" s="59" t="str">
        <f t="shared" si="8"/>
        <v>https://www.ssbuy.tw/detail_giftcode/dist/giftcodes/Grave Strikers.html</v>
      </c>
      <c r="E246" s="10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1" t="s">
        <v>4516</v>
      </c>
      <c r="G246" s="59" t="s">
        <v>4506</v>
      </c>
      <c r="H246" s="59"/>
      <c r="I246" s="59"/>
      <c r="J246" s="100"/>
      <c r="K246" s="101"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5.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10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8" t="s">
        <v>4507</v>
      </c>
      <c r="G247" s="59" t="s">
        <v>4508</v>
      </c>
      <c r="H247" s="59" t="s">
        <v>2625</v>
      </c>
      <c r="I247" s="59" t="s">
        <v>4360</v>
      </c>
      <c r="J247" s="100"/>
      <c r="K247" s="101"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5.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10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8" t="s">
        <v>4509</v>
      </c>
      <c r="G248" s="59" t="s">
        <v>4401</v>
      </c>
      <c r="H248" s="59" t="s">
        <v>2625</v>
      </c>
      <c r="I248" s="59" t="s">
        <v>4360</v>
      </c>
      <c r="J248" s="100"/>
      <c r="K248" s="101"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5.5" customHeight="1">
      <c r="A249" s="75" t="str">
        <f>IF(games!A249="", "", games!A249)</f>
        <v>女神秘令</v>
      </c>
      <c r="B249" s="59"/>
      <c r="C249" s="59" t="str">
        <f t="shared" si="7"/>
        <v>giftcodesbanner/女神秘令-禮包碼.jpg</v>
      </c>
      <c r="D249" s="59" t="str">
        <f t="shared" si="8"/>
        <v>https://www.ssbuy.tw/detail_giftcode/dist/giftcodes/女神秘令.html</v>
      </c>
      <c r="E249" s="10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6" t="s">
        <v>4608</v>
      </c>
      <c r="G249" s="59" t="s">
        <v>4609</v>
      </c>
      <c r="H249" s="59"/>
      <c r="I249" s="59"/>
      <c r="J249" s="100"/>
      <c r="K249" s="106"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5.5" customHeight="1">
      <c r="A250" s="75" t="str">
        <f>IF(games!A250="", "", games!A250)</f>
        <v>Torerowa</v>
      </c>
      <c r="B250" s="59"/>
      <c r="C250" s="59" t="str">
        <f t="shared" si="7"/>
        <v>giftcodesbanner/Torerowa-禮包碼.jpg</v>
      </c>
      <c r="D250" s="59" t="str">
        <f t="shared" si="8"/>
        <v>https://www.ssbuy.tw/detail_giftcode/dist/giftcodes/Torerowa.html</v>
      </c>
      <c r="E250" s="10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8" t="s">
        <v>4610</v>
      </c>
      <c r="G250" s="59" t="s">
        <v>4611</v>
      </c>
      <c r="H250" s="59" t="s">
        <v>4612</v>
      </c>
      <c r="I250" s="59"/>
      <c r="J250" s="100"/>
      <c r="K250" s="101"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5.5" customHeight="1">
      <c r="A251" s="75" t="str">
        <f>IF(games!A251="", "", games!A251)</f>
        <v>Ricochet Squad</v>
      </c>
      <c r="B251" s="59"/>
      <c r="C251" s="59" t="str">
        <f t="shared" si="7"/>
        <v>giftcodesbanner/Ricochet Squad-禮包碼.jpg</v>
      </c>
      <c r="D251" s="59" t="str">
        <f t="shared" si="8"/>
        <v>https://www.ssbuy.tw/detail_giftcode/dist/giftcodes/Ricochet Squad.html</v>
      </c>
      <c r="E251" s="10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8" t="s">
        <v>4563</v>
      </c>
      <c r="G251" s="59" t="s">
        <v>4564</v>
      </c>
      <c r="H251" s="59" t="s">
        <v>2625</v>
      </c>
      <c r="I251" s="59" t="s">
        <v>4360</v>
      </c>
      <c r="J251" s="100"/>
      <c r="K251" s="101"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5.5" customHeight="1">
      <c r="A252" s="75" t="str">
        <f>IF(games!A252="", "", games!A252)</f>
        <v>魔法村物語</v>
      </c>
      <c r="B252" s="59"/>
      <c r="C252" s="59" t="str">
        <f t="shared" si="7"/>
        <v>giftcodesbanner/魔法村物語-禮包碼.jpg</v>
      </c>
      <c r="D252" s="59" t="str">
        <f t="shared" si="8"/>
        <v>https://www.ssbuy.tw/detail_giftcode/dist/giftcodes/魔法村物語.html</v>
      </c>
      <c r="E252" s="10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8" t="s">
        <v>4578</v>
      </c>
      <c r="G252" s="59" t="s">
        <v>4579</v>
      </c>
      <c r="H252" s="59" t="s">
        <v>2625</v>
      </c>
      <c r="I252" s="59" t="s">
        <v>4360</v>
      </c>
      <c r="J252" s="100"/>
      <c r="K252" s="101"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5.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10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8" t="s">
        <v>4643</v>
      </c>
      <c r="G253" s="59" t="s">
        <v>4644</v>
      </c>
      <c r="H253" s="59" t="s">
        <v>2625</v>
      </c>
      <c r="I253" s="59" t="s">
        <v>4360</v>
      </c>
      <c r="J253" s="100"/>
      <c r="K253" s="101"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5.5" customHeight="1">
      <c r="A254" s="75" t="str">
        <f>IF(games!A254="", "", games!A254)</f>
        <v>AUR3：影月幻域</v>
      </c>
      <c r="B254" s="59"/>
      <c r="C254" s="59" t="str">
        <f t="shared" si="9"/>
        <v>giftcodesbanner/AUR3：影月幻域-禮包碼.jpg</v>
      </c>
      <c r="D254" s="59" t="str">
        <f t="shared" si="8"/>
        <v>https://www.ssbuy.tw/detail_giftcode/dist/giftcodes/AUR3：影月幻域.html</v>
      </c>
      <c r="E254" s="10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8" t="s">
        <v>4641</v>
      </c>
      <c r="G254" s="59" t="s">
        <v>4642</v>
      </c>
      <c r="H254" s="59" t="s">
        <v>2625</v>
      </c>
      <c r="I254" s="59" t="s">
        <v>4360</v>
      </c>
      <c r="J254" s="100"/>
      <c r="K254" s="101"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5.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10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1" t="s">
        <v>4689</v>
      </c>
      <c r="G255" s="59" t="s">
        <v>4690</v>
      </c>
      <c r="H255" s="59"/>
      <c r="I255" s="59"/>
      <c r="J255" s="100"/>
      <c r="K255" s="101"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5.5" customHeight="1">
      <c r="A256" s="75" t="str">
        <f>IF(games!A256="", "", games!A256)</f>
        <v>Next Agers</v>
      </c>
      <c r="B256" s="59"/>
      <c r="C256" s="59" t="str">
        <f t="shared" si="9"/>
        <v>giftcodesbanner/Next Agers-禮包碼.jpg</v>
      </c>
      <c r="D256" s="59" t="str">
        <f t="shared" si="8"/>
        <v>https://www.ssbuy.tw/detail_giftcode/dist/giftcodes/Next Agers.html</v>
      </c>
      <c r="E256" s="10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1" t="s">
        <v>2640</v>
      </c>
      <c r="G256" s="59" t="s">
        <v>2640</v>
      </c>
      <c r="H256" s="59"/>
      <c r="I256" s="59"/>
      <c r="J256" s="100"/>
      <c r="K256" s="101"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5.5" customHeight="1">
      <c r="A257" s="75" t="str">
        <f>IF(games!A257="", "", games!A257)</f>
        <v>屍不可擋</v>
      </c>
      <c r="B257" s="59"/>
      <c r="C257" s="59" t="str">
        <f t="shared" si="9"/>
        <v>giftcodesbanner/屍不可擋-禮包碼.jpg</v>
      </c>
      <c r="D257" s="59" t="str">
        <f t="shared" si="8"/>
        <v>https://www.ssbuy.tw/detail_giftcode/dist/giftcodes/屍不可擋.html</v>
      </c>
      <c r="E257" s="10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8" t="s">
        <v>4699</v>
      </c>
      <c r="G257" s="59" t="s">
        <v>2625</v>
      </c>
      <c r="H257" s="59" t="s">
        <v>4360</v>
      </c>
      <c r="I257" s="59"/>
      <c r="J257" s="100"/>
      <c r="K257" s="101"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5.5" customHeight="1">
      <c r="A258" s="75" t="str">
        <f>IF(games!A258="", "", games!A258)</f>
        <v>RF ONLINE NEXT</v>
      </c>
      <c r="B258" s="59"/>
      <c r="C258" s="59" t="str">
        <f t="shared" si="9"/>
        <v>giftcodesbanner/RF ONLINE NEXT-禮包碼.jpg</v>
      </c>
      <c r="D258" s="59" t="str">
        <f t="shared" si="8"/>
        <v>https://www.ssbuy.tw/detail_giftcode/dist/giftcodes/RF ONLINE NEXT.html</v>
      </c>
      <c r="E258" s="10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1" t="s">
        <v>4516</v>
      </c>
      <c r="G258" s="59" t="s">
        <v>4506</v>
      </c>
      <c r="H258" s="59"/>
      <c r="I258" s="59"/>
      <c r="J258" s="100"/>
      <c r="K258" s="101"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5.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10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8" t="s">
        <v>4699</v>
      </c>
      <c r="G259" s="59" t="s">
        <v>3641</v>
      </c>
      <c r="H259" s="59" t="s">
        <v>2625</v>
      </c>
      <c r="I259" s="59" t="s">
        <v>4360</v>
      </c>
      <c r="J259" s="100"/>
      <c r="K259" s="108"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5.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10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1" t="s">
        <v>4516</v>
      </c>
      <c r="G260" s="59" t="s">
        <v>4506</v>
      </c>
      <c r="H260" s="59"/>
      <c r="I260" s="59"/>
      <c r="J260" s="100"/>
      <c r="K260" s="101"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5.5" customHeight="1">
      <c r="A261" s="75" t="str">
        <f>IF(games!A261="", "", games!A261)</f>
        <v>Oniro ARPG</v>
      </c>
      <c r="B261" s="59"/>
      <c r="C261" s="59" t="str">
        <f t="shared" si="9"/>
        <v>giftcodesbanner/Oniro ARPG-禮包碼.jpg</v>
      </c>
      <c r="D261" s="59" t="str">
        <f t="shared" si="10"/>
        <v>https://www.ssbuy.tw/detail_giftcode/dist/giftcodes/Oniro ARPG.html</v>
      </c>
      <c r="E261" s="10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1" t="s">
        <v>4516</v>
      </c>
      <c r="G261" s="59" t="s">
        <v>4506</v>
      </c>
      <c r="H261" s="59"/>
      <c r="I261" s="59"/>
      <c r="J261" s="100"/>
      <c r="K261" s="101"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5.5" customHeight="1">
      <c r="A262" s="75" t="str">
        <f>IF(games!A262="", "", games!A262)</f>
        <v>Legend of YMIR</v>
      </c>
      <c r="B262" s="59"/>
      <c r="C262" s="59" t="str">
        <f t="shared" si="9"/>
        <v>giftcodesbanner/Legend of YMIR-禮包碼.jpg</v>
      </c>
      <c r="D262" s="59" t="str">
        <f t="shared" si="10"/>
        <v>https://www.ssbuy.tw/detail_giftcode/dist/giftcodes/Legend of YMIR.html</v>
      </c>
      <c r="E262" s="10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1" t="s">
        <v>4516</v>
      </c>
      <c r="G262" s="59" t="s">
        <v>4506</v>
      </c>
      <c r="H262" s="59"/>
      <c r="I262" s="59"/>
      <c r="J262" s="100"/>
      <c r="K262" s="101"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5.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10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1" t="s">
        <v>4516</v>
      </c>
      <c r="G263" s="59" t="s">
        <v>4506</v>
      </c>
      <c r="H263" s="59"/>
      <c r="I263" s="59"/>
      <c r="J263" s="100"/>
      <c r="K263" s="101"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5.5" customHeight="1">
      <c r="A264" s="75" t="str">
        <f>IF(games!A264="", "", games!A264)</f>
        <v>合併貓鎮</v>
      </c>
      <c r="B264" s="59"/>
      <c r="C264" s="59" t="str">
        <f t="shared" si="9"/>
        <v>giftcodesbanner/合併貓鎮-禮包碼.jpg</v>
      </c>
      <c r="D264" s="59" t="str">
        <f t="shared" si="10"/>
        <v>https://www.ssbuy.tw/detail_giftcode/dist/giftcodes/合併貓鎮.html</v>
      </c>
      <c r="E264" s="10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1" t="s">
        <v>4810</v>
      </c>
      <c r="G264" s="59" t="s">
        <v>4809</v>
      </c>
      <c r="H264" s="59"/>
      <c r="I264" s="59"/>
      <c r="J264" s="100"/>
      <c r="K264" s="101"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5.5" customHeight="1">
      <c r="A265" s="75" t="str">
        <f>IF(games!A265="", "", games!A265)</f>
        <v>幻牌交鋒</v>
      </c>
      <c r="B265" s="59"/>
      <c r="C265" s="59" t="str">
        <f t="shared" si="9"/>
        <v>giftcodesbanner/幻牌交鋒-禮包碼.jpg</v>
      </c>
      <c r="D265" s="59" t="str">
        <f t="shared" si="10"/>
        <v>https://www.ssbuy.tw/detail_giftcode/dist/giftcodes/幻牌交鋒.html</v>
      </c>
      <c r="E265" s="10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9" t="s">
        <v>4871</v>
      </c>
      <c r="G265" s="59" t="s">
        <v>4872</v>
      </c>
      <c r="H265" s="59" t="s">
        <v>4873</v>
      </c>
      <c r="I265" s="59" t="s">
        <v>4874</v>
      </c>
      <c r="J265" s="100"/>
      <c r="K265" s="101"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5.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10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1" t="s">
        <v>4810</v>
      </c>
      <c r="G266" s="59" t="s">
        <v>4809</v>
      </c>
      <c r="H266" s="59"/>
      <c r="I266" s="59"/>
      <c r="J266" s="100"/>
      <c r="K266" s="101"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5.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10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1" t="s">
        <v>4904</v>
      </c>
      <c r="G267" s="59" t="s">
        <v>4905</v>
      </c>
      <c r="H267" s="59" t="s">
        <v>4906</v>
      </c>
      <c r="I267" s="59" t="s">
        <v>4907</v>
      </c>
      <c r="J267" s="100" t="s">
        <v>4908</v>
      </c>
      <c r="K267" s="101"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5.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10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1" t="s">
        <v>5038</v>
      </c>
      <c r="G268" s="59" t="s">
        <v>5039</v>
      </c>
      <c r="H268" s="59" t="s">
        <v>2625</v>
      </c>
      <c r="I268" s="59" t="s">
        <v>4360</v>
      </c>
      <c r="J268" s="100"/>
      <c r="K268" s="101"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5.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10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1" t="s">
        <v>5189</v>
      </c>
      <c r="G269" s="59" t="s">
        <v>5190</v>
      </c>
      <c r="H269" s="59" t="s">
        <v>2625</v>
      </c>
      <c r="I269" s="59" t="s">
        <v>4360</v>
      </c>
      <c r="J269" s="100"/>
      <c r="K269" s="101"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5.5" customHeight="1">
      <c r="A270" s="75" t="str">
        <f>IF(games!A270="", "", games!A270)</f>
        <v>Astellia</v>
      </c>
      <c r="B270" s="59"/>
      <c r="C270" s="59" t="str">
        <f t="shared" si="12"/>
        <v>giftcodesbanner/Astellia-禮包碼.jpg</v>
      </c>
      <c r="D270" s="59" t="str">
        <f t="shared" si="13"/>
        <v>https://www.ssbuy.tw/gift-codes.html?game=Astellia</v>
      </c>
      <c r="E270" s="10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1" t="s">
        <v>4810</v>
      </c>
      <c r="G270" s="59" t="s">
        <v>4809</v>
      </c>
      <c r="H270" s="59"/>
      <c r="I270" s="59"/>
      <c r="J270" s="100"/>
      <c r="K270" s="101"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5.5" customHeight="1">
      <c r="A271" s="75" t="str">
        <f>IF(games!A271="", "", games!A271)</f>
        <v>華夏千秋</v>
      </c>
      <c r="B271" s="59"/>
      <c r="C271" s="59" t="str">
        <f t="shared" si="12"/>
        <v>giftcodesbanner/華夏千秋-禮包碼.jpg</v>
      </c>
      <c r="D271" s="59" t="str">
        <f t="shared" si="13"/>
        <v>https://www.ssbuy.tw/gift-codes.html?game=華夏千秋</v>
      </c>
      <c r="E271" s="10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1" t="s">
        <v>4810</v>
      </c>
      <c r="G271" s="59" t="s">
        <v>4809</v>
      </c>
      <c r="H271" s="59"/>
      <c r="I271" s="59"/>
      <c r="J271" s="100"/>
      <c r="K271" s="101"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5.5" customHeight="1">
      <c r="A272" s="75" t="str">
        <f>IF(games!A272="", "", games!A272)</f>
        <v>萌塔娘</v>
      </c>
      <c r="B272" s="59"/>
      <c r="C272" s="59" t="str">
        <f t="shared" si="12"/>
        <v>giftcodesbanner/萌塔娘-禮包碼.jpg</v>
      </c>
      <c r="D272" s="59" t="str">
        <f t="shared" si="13"/>
        <v>https://www.ssbuy.tw/gift-codes.html?game=萌塔娘</v>
      </c>
      <c r="E272" s="10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1" t="s">
        <v>5048</v>
      </c>
      <c r="G272" s="59" t="s">
        <v>5065</v>
      </c>
      <c r="H272" s="59" t="s">
        <v>2625</v>
      </c>
      <c r="I272" s="59" t="s">
        <v>4360</v>
      </c>
      <c r="J272" s="100"/>
      <c r="K272" s="101"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5.5" customHeight="1">
      <c r="A273" s="75" t="str">
        <f>IF(games!A273="", "", games!A273)</f>
        <v>盜夢英雄2：幻野</v>
      </c>
      <c r="B273" s="59"/>
      <c r="C273" s="59" t="str">
        <f t="shared" si="12"/>
        <v>giftcodesbanner/盜夢英雄2：幻野-禮包碼.jpg</v>
      </c>
      <c r="D273" s="59" t="str">
        <f t="shared" si="13"/>
        <v>https://www.ssbuy.tw/gift-codes.html?game=盜夢英雄2：幻野</v>
      </c>
      <c r="E273" s="10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8" t="s">
        <v>5060</v>
      </c>
      <c r="G273" s="59" t="s">
        <v>2625</v>
      </c>
      <c r="H273" s="59" t="s">
        <v>4360</v>
      </c>
      <c r="I273" s="59"/>
      <c r="J273" s="100"/>
      <c r="K273" s="101"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5.5" customHeight="1">
      <c r="A274" s="75" t="str">
        <f>IF(games!A274="", "", games!A274)</f>
        <v>貪婪洞窟：重生</v>
      </c>
      <c r="B274" s="59"/>
      <c r="C274" s="59" t="str">
        <f t="shared" si="12"/>
        <v>giftcodesbanner/貪婪洞窟：重生-禮包碼.jpg</v>
      </c>
      <c r="D274" s="59" t="str">
        <f t="shared" si="13"/>
        <v>https://www.ssbuy.tw/gift-codes.html?game=貪婪洞窟：重生</v>
      </c>
      <c r="E274" s="10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8" t="s">
        <v>4992</v>
      </c>
      <c r="G274" s="59" t="s">
        <v>4993</v>
      </c>
      <c r="H274" s="59" t="s">
        <v>2625</v>
      </c>
      <c r="I274" s="59" t="s">
        <v>4360</v>
      </c>
      <c r="J274" s="100"/>
      <c r="K274" s="101"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5.5" customHeight="1">
      <c r="A275" s="75" t="str">
        <f>IF(games!A275="", "", games!A275)</f>
        <v>小兵特攻隊</v>
      </c>
      <c r="B275" s="59"/>
      <c r="C275" s="59" t="str">
        <f t="shared" si="12"/>
        <v>giftcodesbanner/小兵特攻隊-禮包碼.jpg</v>
      </c>
      <c r="D275" s="59" t="str">
        <f t="shared" si="13"/>
        <v>https://www.ssbuy.tw/gift-codes.html?game=小兵特攻隊</v>
      </c>
      <c r="E275" s="10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8" t="s">
        <v>5034</v>
      </c>
      <c r="G275" s="59" t="s">
        <v>5035</v>
      </c>
      <c r="H275" s="59" t="s">
        <v>5036</v>
      </c>
      <c r="I275" s="59" t="s">
        <v>2625</v>
      </c>
      <c r="J275" s="100" t="s">
        <v>5037</v>
      </c>
      <c r="K275" s="101"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5.5" customHeight="1">
      <c r="A276" s="75" t="str">
        <f>IF(games!A276="", "", games!A276)</f>
        <v>星塔旅人</v>
      </c>
      <c r="B276" s="59"/>
      <c r="C276" s="59" t="str">
        <f t="shared" si="12"/>
        <v>giftcodesbanner/星塔旅人-禮包碼.jpg</v>
      </c>
      <c r="D276" s="59" t="str">
        <f t="shared" si="13"/>
        <v>https://www.ssbuy.tw/gift-codes.html?game=星塔旅人</v>
      </c>
      <c r="E276" s="10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9" t="s">
        <v>5111</v>
      </c>
      <c r="G276" s="59" t="s">
        <v>5112</v>
      </c>
      <c r="H276" s="59" t="s">
        <v>5113</v>
      </c>
      <c r="I276" s="59" t="s">
        <v>5114</v>
      </c>
      <c r="J276" s="100"/>
      <c r="K276" s="109" t="s">
        <v>5457</v>
      </c>
      <c r="L276" s="59" t="s">
        <v>5451</v>
      </c>
      <c r="M276" s="61" t="s">
        <v>6453</v>
      </c>
      <c r="N276" s="62" t="s">
        <v>6454</v>
      </c>
      <c r="O276" s="101" t="s">
        <v>6455</v>
      </c>
      <c r="P276" s="59" t="s">
        <v>6456</v>
      </c>
      <c r="Q276" s="101"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5.5" customHeight="1">
      <c r="A277" s="75" t="str">
        <f>IF(games!A277="", "", games!A277)</f>
        <v>卡厄斯夢境</v>
      </c>
      <c r="B277" s="59"/>
      <c r="C277" s="59" t="str">
        <f t="shared" si="12"/>
        <v>giftcodesbanner/卡厄斯夢境-禮包碼.jpg</v>
      </c>
      <c r="D277" s="59" t="str">
        <f t="shared" si="13"/>
        <v>https://www.ssbuy.tw/gift-codes.html?game=卡厄斯夢境</v>
      </c>
      <c r="E277" s="10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1" t="s">
        <v>5089</v>
      </c>
      <c r="G277" s="59" t="s">
        <v>5090</v>
      </c>
      <c r="H277" s="59" t="s">
        <v>2625</v>
      </c>
      <c r="I277" s="59" t="s">
        <v>4360</v>
      </c>
      <c r="J277" s="100"/>
      <c r="K277" s="109"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5.5" customHeight="1">
      <c r="A278" s="75" t="str">
        <f>IF(games!A278="", "", games!A278)</f>
        <v>星痕共鳴</v>
      </c>
      <c r="B278" s="59"/>
      <c r="C278" s="59" t="str">
        <f t="shared" si="12"/>
        <v>giftcodesbanner/星痕共鳴-禮包碼.jpg</v>
      </c>
      <c r="D278" s="59" t="str">
        <f t="shared" si="13"/>
        <v>https://www.ssbuy.tw/gift-codes.html?game=星痕共鳴</v>
      </c>
      <c r="E278" s="10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1" t="s">
        <v>5241</v>
      </c>
      <c r="G278" s="59" t="s">
        <v>5242</v>
      </c>
      <c r="H278" s="59" t="s">
        <v>5243</v>
      </c>
      <c r="I278" s="59"/>
      <c r="J278" s="100"/>
      <c r="K278" s="101"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5.5" customHeight="1">
      <c r="A279" s="75" t="str">
        <f>IF(games!A279="", "", games!A279)</f>
        <v>二重螺旋</v>
      </c>
      <c r="B279" s="59"/>
      <c r="C279" s="59" t="str">
        <f t="shared" si="12"/>
        <v>giftcodesbanner/二重螺旋-禮包碼.jpg</v>
      </c>
      <c r="D279" s="59" t="str">
        <f t="shared" si="13"/>
        <v>https://www.ssbuy.tw/gift-codes.html?game=二重螺旋</v>
      </c>
      <c r="E279" s="10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1" t="s">
        <v>5315</v>
      </c>
      <c r="G279" s="59" t="s">
        <v>5316</v>
      </c>
      <c r="H279" s="59" t="s">
        <v>5317</v>
      </c>
      <c r="I279" s="59" t="s">
        <v>2625</v>
      </c>
      <c r="J279" s="100" t="s">
        <v>4360</v>
      </c>
      <c r="K279" s="101"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5.5" customHeight="1">
      <c r="A280" s="75" t="str">
        <f>IF(games!A280="", "", games!A280)</f>
        <v>電馭跑酷</v>
      </c>
      <c r="B280" s="59"/>
      <c r="C280" s="59" t="str">
        <f t="shared" si="12"/>
        <v>giftcodesbanner/電馭跑酷-禮包碼.jpg</v>
      </c>
      <c r="D280" s="59" t="str">
        <f t="shared" si="13"/>
        <v>https://www.ssbuy.tw/gift-codes.html?game=電馭跑酷</v>
      </c>
      <c r="E280" s="10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1" t="s">
        <v>5236</v>
      </c>
      <c r="G280" s="59"/>
      <c r="H280" s="59"/>
      <c r="I280" s="59"/>
      <c r="J280" s="100"/>
      <c r="K280" s="109"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5.5" customHeight="1">
      <c r="A281" s="75" t="str">
        <f>IF(games!A281="", "", games!A281)</f>
        <v>火焰紋章Shadows</v>
      </c>
      <c r="B281" s="59"/>
      <c r="C281" s="59" t="str">
        <f t="shared" si="12"/>
        <v>giftcodesbanner/火焰紋章Shadows-禮包碼.jpg</v>
      </c>
      <c r="D281" s="59" t="str">
        <f t="shared" si="13"/>
        <v>https://www.ssbuy.tw/gift-codes.html?game=火焰紋章Shadows</v>
      </c>
      <c r="E281" s="10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1" t="s">
        <v>5236</v>
      </c>
      <c r="G281" s="59"/>
      <c r="H281" s="59"/>
      <c r="I281" s="59"/>
      <c r="J281" s="100"/>
      <c r="K281" s="109"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5.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10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1" t="s">
        <v>5236</v>
      </c>
      <c r="G282" s="59"/>
      <c r="H282" s="59"/>
      <c r="I282" s="59"/>
      <c r="J282" s="100"/>
      <c r="K282" s="109"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5.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10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1" t="s">
        <v>5306</v>
      </c>
      <c r="G283" s="59" t="s">
        <v>5307</v>
      </c>
      <c r="H283" s="59" t="s">
        <v>2625</v>
      </c>
      <c r="I283" s="59" t="s">
        <v>4360</v>
      </c>
      <c r="J283" s="100"/>
      <c r="K283" s="101"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5.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10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1" t="s">
        <v>5191</v>
      </c>
      <c r="G284" s="59" t="s">
        <v>5192</v>
      </c>
      <c r="H284" s="59" t="s">
        <v>5193</v>
      </c>
      <c r="I284" s="59"/>
      <c r="J284" s="100"/>
      <c r="K284" s="101"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5.5" customHeight="1">
      <c r="A285" s="75" t="str">
        <f>IF(games!A285="", "", games!A285)</f>
        <v>弓箭英雄：塔防</v>
      </c>
      <c r="B285" s="59"/>
      <c r="C285" s="59" t="str">
        <f t="shared" si="12"/>
        <v>giftcodesbanner/弓箭英雄：塔防-禮包碼.jpg</v>
      </c>
      <c r="D285" s="59" t="str">
        <f t="shared" si="13"/>
        <v>https://www.ssbuy.tw/gift-codes.html?game=弓箭英雄：塔防</v>
      </c>
      <c r="E285" s="10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1" t="s">
        <v>5236</v>
      </c>
      <c r="G285" s="59"/>
      <c r="H285" s="59"/>
      <c r="I285" s="59"/>
      <c r="J285" s="100"/>
      <c r="K285" s="109"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5.5" customHeight="1">
      <c r="A286" s="75" t="str">
        <f>IF(games!A286="", "", games!A286)</f>
        <v>十二之天M</v>
      </c>
      <c r="B286" s="59"/>
      <c r="C286" s="59" t="str">
        <f t="shared" si="12"/>
        <v>giftcodesbanner/十二之天M-禮包碼.jpg</v>
      </c>
      <c r="D286" s="59" t="str">
        <f t="shared" si="13"/>
        <v>https://www.ssbuy.tw/gift-codes.html?game=十二之天M</v>
      </c>
      <c r="E286" s="10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1" t="s">
        <v>5236</v>
      </c>
      <c r="G286" s="59"/>
      <c r="H286" s="59"/>
      <c r="I286" s="59"/>
      <c r="J286" s="100"/>
      <c r="K286" s="109"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5.5" customHeight="1">
      <c r="A287" s="75" t="str">
        <f>IF(games!A287="", "", games!A287)</f>
        <v>NBA巔峰對決</v>
      </c>
      <c r="B287" s="59"/>
      <c r="C287" s="59" t="str">
        <f t="shared" si="12"/>
        <v>giftcodesbanner/NBA巔峰對決-禮包碼.jpg</v>
      </c>
      <c r="D287" s="59" t="str">
        <f t="shared" si="13"/>
        <v>https://www.ssbuy.tw/gift-codes.html?game=NBA巔峰對決</v>
      </c>
      <c r="E287" s="10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1" t="s">
        <v>5371</v>
      </c>
      <c r="G287" s="59" t="s">
        <v>5372</v>
      </c>
      <c r="H287" s="59" t="s">
        <v>2625</v>
      </c>
      <c r="I287" s="59" t="s">
        <v>4360</v>
      </c>
      <c r="J287" s="100"/>
      <c r="K287" s="101"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5.5" customHeight="1">
      <c r="A288" s="75" t="str">
        <f>IF(games!A288="", "", games!A288)</f>
        <v>三國志：王戰</v>
      </c>
      <c r="B288" s="59"/>
      <c r="C288" s="59" t="str">
        <f t="shared" si="12"/>
        <v>giftcodesbanner/三國志：王戰-禮包碼.jpg</v>
      </c>
      <c r="D288" s="59" t="str">
        <f t="shared" si="13"/>
        <v>https://www.ssbuy.tw/gift-codes.html?game=三國志：王戰</v>
      </c>
      <c r="E288" s="10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1" t="s">
        <v>5236</v>
      </c>
      <c r="G288" s="59"/>
      <c r="H288" s="59"/>
      <c r="I288" s="59"/>
      <c r="J288" s="100"/>
      <c r="K288" s="109"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5.5" customHeight="1">
      <c r="A289" s="75" t="str">
        <f>IF(games!A289="", "", games!A289)</f>
        <v>信長 霸道</v>
      </c>
      <c r="B289" s="59"/>
      <c r="C289" s="59" t="str">
        <f t="shared" si="12"/>
        <v>giftcodesbanner/信長 霸道-禮包碼.jpg</v>
      </c>
      <c r="D289" s="59" t="str">
        <f t="shared" si="13"/>
        <v>https://www.ssbuy.tw/gift-codes.html?game=信長 霸道</v>
      </c>
      <c r="E289" s="10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1" t="s">
        <v>5236</v>
      </c>
      <c r="G289" s="59"/>
      <c r="H289" s="59"/>
      <c r="I289" s="59"/>
      <c r="J289" s="100"/>
      <c r="K289" s="109"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5.5" customHeight="1">
      <c r="A290" s="75" t="str">
        <f>IF(games!A290="", "", games!A290)</f>
        <v>勇者前線Versus</v>
      </c>
      <c r="B290" s="59"/>
      <c r="C290" s="59" t="str">
        <f t="shared" si="12"/>
        <v>giftcodesbanner/勇者前線Versus-禮包碼.jpg</v>
      </c>
      <c r="D290" s="59" t="str">
        <f t="shared" si="13"/>
        <v>https://www.ssbuy.tw/gift-codes.html?game=勇者前線Versus</v>
      </c>
      <c r="E290" s="10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1" t="s">
        <v>5236</v>
      </c>
      <c r="G290" s="59"/>
      <c r="H290" s="59"/>
      <c r="I290" s="59"/>
      <c r="J290" s="100"/>
      <c r="K290" s="109"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5.5" customHeight="1">
      <c r="A291" s="75" t="str">
        <f>IF(games!A291="", "", games!A291)</f>
        <v>幻域方舟</v>
      </c>
      <c r="B291" s="59"/>
      <c r="C291" s="59" t="str">
        <f t="shared" si="12"/>
        <v>giftcodesbanner/幻域方舟-禮包碼.jpg</v>
      </c>
      <c r="D291" s="59" t="str">
        <f t="shared" si="13"/>
        <v>https://www.ssbuy.tw/gift-codes.html?game=幻域方舟</v>
      </c>
      <c r="E291" s="10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1" t="s">
        <v>5455</v>
      </c>
      <c r="G291" s="59" t="s">
        <v>5454</v>
      </c>
      <c r="H291" s="59" t="s">
        <v>5456</v>
      </c>
      <c r="I291" s="59"/>
      <c r="J291" s="100"/>
      <c r="K291" s="109"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5.5" customHeight="1">
      <c r="A292" s="75" t="str">
        <f>IF(games!A292="", "", games!A292)</f>
        <v>開天</v>
      </c>
      <c r="B292" s="59"/>
      <c r="C292" s="59" t="str">
        <f t="shared" si="12"/>
        <v>giftcodesbanner/開天-禮包碼.jpg</v>
      </c>
      <c r="D292" s="59" t="str">
        <f t="shared" si="13"/>
        <v>https://www.ssbuy.tw/gift-codes.html?game=開天</v>
      </c>
      <c r="E292" s="10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1" t="s">
        <v>5468</v>
      </c>
      <c r="G292" s="59" t="s">
        <v>5469</v>
      </c>
      <c r="H292" s="59" t="s">
        <v>2625</v>
      </c>
      <c r="I292" s="59"/>
      <c r="J292" s="100"/>
      <c r="K292" s="109"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5.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10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1" t="s">
        <v>5468</v>
      </c>
      <c r="G293" s="59" t="s">
        <v>5469</v>
      </c>
      <c r="H293" s="59" t="s">
        <v>2625</v>
      </c>
      <c r="I293" s="59"/>
      <c r="J293" s="100"/>
      <c r="K293" s="109"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5.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10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1" t="s">
        <v>5668</v>
      </c>
      <c r="G294" s="59" t="s">
        <v>5669</v>
      </c>
      <c r="H294" s="59" t="s">
        <v>5670</v>
      </c>
      <c r="I294" s="59" t="s">
        <v>2625</v>
      </c>
      <c r="J294" s="100"/>
      <c r="K294" s="109"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5.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10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1" t="s">
        <v>5236</v>
      </c>
      <c r="G295" s="59"/>
      <c r="H295" s="59"/>
      <c r="I295" s="59"/>
      <c r="J295" s="100"/>
      <c r="K295" s="109"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5.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10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1" t="s">
        <v>5503</v>
      </c>
      <c r="G296" s="59" t="s">
        <v>5504</v>
      </c>
      <c r="H296" s="59" t="s">
        <v>2625</v>
      </c>
      <c r="I296" s="59"/>
      <c r="J296" s="100"/>
      <c r="K296" s="110">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5.5" customHeight="1">
      <c r="A297" s="75" t="str">
        <f>IF(games!A297="", "", games!A297)</f>
        <v>熱血主公Go</v>
      </c>
      <c r="B297" s="59"/>
      <c r="C297" s="59" t="str">
        <f t="shared" si="12"/>
        <v>giftcodesbanner/熱血主公Go-禮包碼.jpg</v>
      </c>
      <c r="D297" s="59" t="str">
        <f t="shared" si="13"/>
        <v>https://www.ssbuy.tw/gift-codes.html?game=熱血主公Go</v>
      </c>
      <c r="E297" s="10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8" t="s">
        <v>5493</v>
      </c>
      <c r="G297" s="59" t="s">
        <v>5494</v>
      </c>
      <c r="H297" s="59" t="s">
        <v>2625</v>
      </c>
      <c r="I297" s="59"/>
      <c r="J297" s="100"/>
      <c r="K297" s="101"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5.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10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8" t="s">
        <v>5603</v>
      </c>
      <c r="G298" s="59" t="s">
        <v>5604</v>
      </c>
      <c r="H298" s="59" t="s">
        <v>2625</v>
      </c>
      <c r="I298" s="59"/>
      <c r="J298" s="100"/>
      <c r="K298" s="109"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5.5" customHeight="1">
      <c r="A299" s="75" t="str">
        <f>IF(games!A299="", "", games!A299)</f>
        <v>Cryowar</v>
      </c>
      <c r="B299" s="59"/>
      <c r="C299" s="59" t="str">
        <f t="shared" si="12"/>
        <v>giftcodesbanner/Cryowar-禮包碼.jpg</v>
      </c>
      <c r="D299" s="59" t="str">
        <f t="shared" si="13"/>
        <v>https://www.ssbuy.tw/gift-codes.html?game=Cryowar</v>
      </c>
      <c r="E299" s="10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1" t="s">
        <v>5236</v>
      </c>
      <c r="G299" s="59"/>
      <c r="H299" s="59"/>
      <c r="I299" s="59"/>
      <c r="J299" s="100"/>
      <c r="K299" s="109"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5.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10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1" t="s">
        <v>5236</v>
      </c>
      <c r="G300" s="59"/>
      <c r="H300" s="59"/>
      <c r="I300" s="59"/>
      <c r="J300" s="100"/>
      <c r="K300" s="109"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5.5" customHeight="1">
      <c r="A301" s="75" t="str">
        <f>IF(games!A301="", "", games!A301)</f>
        <v>熱血排球少女</v>
      </c>
      <c r="B301" s="59"/>
      <c r="C301" s="59" t="str">
        <f t="shared" si="12"/>
        <v>giftcodesbanner/熱血排球少女-禮包碼.jpg</v>
      </c>
      <c r="D301" s="59" t="str">
        <f t="shared" si="13"/>
        <v>https://www.ssbuy.tw/gift-codes.html?game=熱血排球少女</v>
      </c>
      <c r="E301" s="10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1" t="s">
        <v>5236</v>
      </c>
      <c r="G301" s="59"/>
      <c r="H301" s="59"/>
      <c r="I301" s="59"/>
      <c r="J301" s="100"/>
      <c r="K301" s="109"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5.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10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1" t="s">
        <v>5236</v>
      </c>
      <c r="G302" s="59"/>
      <c r="H302" s="59"/>
      <c r="I302" s="59"/>
      <c r="J302" s="100"/>
      <c r="K302" s="109"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5.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10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1" t="s">
        <v>5615</v>
      </c>
      <c r="G303" s="59" t="s">
        <v>5616</v>
      </c>
      <c r="H303" s="59" t="s">
        <v>2625</v>
      </c>
      <c r="I303" s="59"/>
      <c r="J303" s="100"/>
      <c r="K303" s="109"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5.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10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1" t="s">
        <v>5665</v>
      </c>
      <c r="G304" s="59" t="s">
        <v>5666</v>
      </c>
      <c r="H304" s="59" t="s">
        <v>2625</v>
      </c>
      <c r="I304" s="59"/>
      <c r="J304" s="100"/>
      <c r="K304" s="109"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5.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10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1" t="s">
        <v>5236</v>
      </c>
      <c r="G305" s="59"/>
      <c r="H305" s="59"/>
      <c r="I305" s="59"/>
      <c r="J305" s="100"/>
      <c r="K305" s="109"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5.5" customHeight="1">
      <c r="A306" s="75" t="str">
        <f>IF(games!A306="", "", games!A306)</f>
        <v>G9：特功聯盟</v>
      </c>
      <c r="B306" s="59"/>
      <c r="C306" s="59" t="str">
        <f t="shared" si="12"/>
        <v>giftcodesbanner/G9：特功聯盟-禮包碼.jpg</v>
      </c>
      <c r="D306" s="59" t="str">
        <f t="shared" si="13"/>
        <v>https://www.ssbuy.tw/gift-codes.html?game=G9：特功聯盟</v>
      </c>
      <c r="E306" s="10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1" t="s">
        <v>5611</v>
      </c>
      <c r="G306" s="59" t="s">
        <v>5612</v>
      </c>
      <c r="H306" s="59" t="s">
        <v>2625</v>
      </c>
      <c r="I306" s="59"/>
      <c r="J306" s="100"/>
      <c r="K306" s="109"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5.5" customHeight="1">
      <c r="A307" s="75" t="str">
        <f>IF(games!A307="", "", games!A307)</f>
        <v>AION2</v>
      </c>
      <c r="B307" s="59"/>
      <c r="C307" s="59" t="str">
        <f t="shared" si="12"/>
        <v>giftcodesbanner/AION2-禮包碼.jpg</v>
      </c>
      <c r="D307" s="59" t="str">
        <f t="shared" si="13"/>
        <v>https://www.ssbuy.tw/gift-codes.html?game=AION2</v>
      </c>
      <c r="E307" s="10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1" t="s">
        <v>5236</v>
      </c>
      <c r="G307" s="59"/>
      <c r="H307" s="59"/>
      <c r="I307" s="59"/>
      <c r="J307" s="100"/>
      <c r="K307" s="109"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5.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10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1" t="s">
        <v>5236</v>
      </c>
      <c r="G308" s="59"/>
      <c r="H308" s="59"/>
      <c r="I308" s="59"/>
      <c r="J308" s="100"/>
      <c r="K308" s="109"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5.5" customHeight="1">
      <c r="A309" s="75" t="str">
        <f>IF(games!A309="", "", games!A309)</f>
        <v>BLEACH：刀鳴</v>
      </c>
      <c r="B309" s="59"/>
      <c r="C309" s="59" t="str">
        <f t="shared" si="12"/>
        <v>giftcodesbanner/BLEACH：刀鳴-禮包碼.jpg</v>
      </c>
      <c r="D309" s="59" t="str">
        <f t="shared" si="13"/>
        <v>https://www.ssbuy.tw/gift-codes.html?game=BLEACH：刀鳴</v>
      </c>
      <c r="E309" s="10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1" t="s">
        <v>5752</v>
      </c>
      <c r="G309" s="59" t="s">
        <v>6202</v>
      </c>
      <c r="H309" s="59" t="s">
        <v>2625</v>
      </c>
      <c r="I309" s="59"/>
      <c r="J309" s="100"/>
      <c r="K309" s="109"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5.5" customHeight="1">
      <c r="A310" s="75" t="str">
        <f>IF(games!A310="", "", games!A310)</f>
        <v>不朽龍裔</v>
      </c>
      <c r="B310" s="59"/>
      <c r="C310" s="59" t="str">
        <f t="shared" si="12"/>
        <v>giftcodesbanner/不朽龍裔-禮包碼.jpg</v>
      </c>
      <c r="D310" s="59" t="str">
        <f t="shared" si="13"/>
        <v>https://www.ssbuy.tw/gift-codes.html?game=不朽龍裔</v>
      </c>
      <c r="E310" s="10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1" t="s">
        <v>5918</v>
      </c>
      <c r="G310" s="59" t="s">
        <v>5469</v>
      </c>
      <c r="H310" s="59" t="s">
        <v>2625</v>
      </c>
      <c r="I310" s="59"/>
      <c r="J310" s="100"/>
      <c r="K310" s="109"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5.5" customHeight="1">
      <c r="A311" s="75" t="str">
        <f>IF(games!A311="", "", games!A311)</f>
        <v>NBA籃球世界</v>
      </c>
      <c r="B311" s="59"/>
      <c r="C311" s="59" t="str">
        <f t="shared" si="12"/>
        <v>giftcodesbanner/NBA籃球世界-禮包碼.jpg</v>
      </c>
      <c r="D311" s="59" t="str">
        <f t="shared" si="13"/>
        <v>https://www.ssbuy.tw/gift-codes.html?game=NBA籃球世界</v>
      </c>
      <c r="E311" s="10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1" t="s">
        <v>5236</v>
      </c>
      <c r="G311" s="59"/>
      <c r="H311" s="59"/>
      <c r="I311" s="59"/>
      <c r="J311" s="100"/>
      <c r="K311" s="109"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5.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10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8" t="s">
        <v>5722</v>
      </c>
      <c r="G312" s="59" t="s">
        <v>5723</v>
      </c>
      <c r="H312" s="59" t="s">
        <v>2625</v>
      </c>
      <c r="I312" s="59"/>
      <c r="J312" s="100"/>
      <c r="K312" s="109"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5.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10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1" t="s">
        <v>5468</v>
      </c>
      <c r="G313" s="59" t="s">
        <v>5469</v>
      </c>
      <c r="H313" s="59" t="s">
        <v>2625</v>
      </c>
      <c r="I313" s="59"/>
      <c r="J313" s="100"/>
      <c r="K313" s="109"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5.5" customHeight="1">
      <c r="A314" s="75" t="str">
        <f>IF(games!A314="", "", games!A314)</f>
        <v>星落</v>
      </c>
      <c r="B314" s="59"/>
      <c r="C314" s="59" t="str">
        <f t="shared" si="14"/>
        <v>giftcodesbanner/星落-禮包碼.jpg</v>
      </c>
      <c r="D314" s="59" t="str">
        <f t="shared" si="15"/>
        <v>https://www.ssbuy.tw/gift-codes.html?game=星落</v>
      </c>
      <c r="E314" s="10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1" t="s">
        <v>5881</v>
      </c>
      <c r="G314" s="59" t="s">
        <v>5882</v>
      </c>
      <c r="H314" s="59" t="s">
        <v>5848</v>
      </c>
      <c r="I314" s="59"/>
      <c r="J314" s="100"/>
      <c r="K314" s="109"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5.5" customHeight="1">
      <c r="A315" s="75" t="str">
        <f>IF(games!A315="", "", games!A315)</f>
        <v>超自然行動組</v>
      </c>
      <c r="B315" s="59"/>
      <c r="C315" s="59" t="str">
        <f t="shared" si="14"/>
        <v>giftcodesbanner/超自然行動組-禮包碼.jpg</v>
      </c>
      <c r="D315" s="59" t="str">
        <f t="shared" si="15"/>
        <v>https://www.ssbuy.tw/gift-codes.html?game=超自然行動組</v>
      </c>
      <c r="E315" s="10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1" t="s">
        <v>5236</v>
      </c>
      <c r="G315" s="59"/>
      <c r="H315" s="59"/>
      <c r="I315" s="59"/>
      <c r="J315" s="100"/>
      <c r="K315" s="109"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5.5" customHeight="1">
      <c r="A316" s="75" t="str">
        <f>IF(games!A316="", "", games!A316)</f>
        <v>問劍長生</v>
      </c>
      <c r="B316" s="59"/>
      <c r="C316" s="59" t="str">
        <f t="shared" si="14"/>
        <v>giftcodesbanner/問劍長生-禮包碼.jpg</v>
      </c>
      <c r="D316" s="59" t="str">
        <f t="shared" si="15"/>
        <v>https://www.ssbuy.tw/gift-codes.html?game=問劍長生</v>
      </c>
      <c r="E316" s="10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1" t="s">
        <v>5769</v>
      </c>
      <c r="G316" s="59" t="s">
        <v>5770</v>
      </c>
      <c r="H316" s="59" t="s">
        <v>5856</v>
      </c>
      <c r="I316" s="59" t="s">
        <v>2625</v>
      </c>
      <c r="J316" s="100"/>
      <c r="K316" s="109"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5.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10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8" t="s">
        <v>5846</v>
      </c>
      <c r="G317" s="59" t="s">
        <v>5847</v>
      </c>
      <c r="H317" s="59" t="s">
        <v>5849</v>
      </c>
      <c r="I317" s="59"/>
      <c r="J317" s="100"/>
      <c r="K317" s="109"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5.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10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8" t="s">
        <v>5846</v>
      </c>
      <c r="G318" s="59" t="s">
        <v>5847</v>
      </c>
      <c r="H318" s="59" t="s">
        <v>5849</v>
      </c>
      <c r="I318" s="59"/>
      <c r="J318" s="100"/>
      <c r="K318" s="109"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5.5" customHeight="1">
      <c r="A319" s="75" t="str">
        <f>IF(games!A319="", "", games!A319)</f>
        <v>絕地鴨衛</v>
      </c>
      <c r="B319" s="59"/>
      <c r="C319" s="59" t="str">
        <f t="shared" si="14"/>
        <v>giftcodesbanner/絕地鴨衛-禮包碼.jpg</v>
      </c>
      <c r="D319" s="59" t="str">
        <f t="shared" si="15"/>
        <v>https://www.ssbuy.tw/gift-codes.html?game=絕地鴨衛</v>
      </c>
      <c r="E319" s="10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1" t="s">
        <v>5236</v>
      </c>
      <c r="G319" s="59"/>
      <c r="H319" s="59"/>
      <c r="I319" s="59"/>
      <c r="J319" s="100"/>
      <c r="K319" s="109"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5.5" customHeight="1">
      <c r="A320" s="75" t="str">
        <f>IF(games!A320="", "", games!A320)</f>
        <v>NBA 2K26 Myteam</v>
      </c>
      <c r="B320" s="59"/>
      <c r="C320" s="59" t="str">
        <f t="shared" si="14"/>
        <v>giftcodesbanner/NBA 2K26 Myteam-禮包碼.jpg</v>
      </c>
      <c r="D320" s="59" t="str">
        <f t="shared" si="15"/>
        <v>https://www.ssbuy.tw/gift-codes.html?game=NBA 2K26 Myteam</v>
      </c>
      <c r="E320" s="10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1" t="s">
        <v>5236</v>
      </c>
      <c r="G320" s="59"/>
      <c r="H320" s="59"/>
      <c r="I320" s="59"/>
      <c r="J320" s="100"/>
      <c r="K320" s="109"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5.5" customHeight="1">
      <c r="A321" s="75" t="str">
        <f>IF(games!A321="", "", games!A321)</f>
        <v>放置法陣</v>
      </c>
      <c r="B321" s="59"/>
      <c r="C321" s="59" t="str">
        <f t="shared" si="14"/>
        <v>giftcodesbanner/放置法陣-禮包碼.jpg</v>
      </c>
      <c r="D321" s="59" t="str">
        <f t="shared" si="15"/>
        <v>https://www.ssbuy.tw/gift-codes.html?game=放置法陣</v>
      </c>
      <c r="E321" s="10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1" t="s">
        <v>5973</v>
      </c>
      <c r="G321" s="59" t="s">
        <v>5974</v>
      </c>
      <c r="H321" s="59" t="s">
        <v>5849</v>
      </c>
      <c r="I321" s="59"/>
      <c r="J321" s="100"/>
      <c r="K321" s="109"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5.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10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1" t="s">
        <v>5236</v>
      </c>
      <c r="G322" s="59"/>
      <c r="H322" s="59"/>
      <c r="I322" s="59"/>
      <c r="J322" s="100"/>
      <c r="K322" s="109"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5.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10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1" t="s">
        <v>6004</v>
      </c>
      <c r="G323" s="59" t="s">
        <v>6005</v>
      </c>
      <c r="H323" s="59" t="s">
        <v>6006</v>
      </c>
      <c r="I323" s="59" t="s">
        <v>5849</v>
      </c>
      <c r="J323" s="100"/>
      <c r="K323" s="109"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5.5" customHeight="1">
      <c r="A324" s="75" t="str">
        <f>IF(games!A324="", "", games!A324)</f>
        <v>依露希爾</v>
      </c>
      <c r="B324" s="59"/>
      <c r="C324" s="59" t="str">
        <f t="shared" si="14"/>
        <v>giftcodesbanner/依露希爾-禮包碼.jpg</v>
      </c>
      <c r="D324" s="59" t="str">
        <f t="shared" si="15"/>
        <v>https://www.ssbuy.tw/gift-codes.html?game=依露希爾</v>
      </c>
      <c r="E324" s="10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1" t="s">
        <v>6000</v>
      </c>
      <c r="G324" s="59" t="s">
        <v>6001</v>
      </c>
      <c r="H324" s="59" t="s">
        <v>6002</v>
      </c>
      <c r="I324" s="59" t="s">
        <v>6003</v>
      </c>
      <c r="J324" s="100" t="s">
        <v>5849</v>
      </c>
      <c r="K324" s="109"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5.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10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1" t="s">
        <v>5236</v>
      </c>
      <c r="G325" s="59"/>
      <c r="H325" s="59"/>
      <c r="I325" s="59"/>
      <c r="J325" s="100"/>
      <c r="K325" s="109"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5.5" customHeight="1">
      <c r="A326" s="75" t="str">
        <f>IF(games!A326="", "", games!A326)</f>
        <v>曹操不囉嗦</v>
      </c>
      <c r="B326" s="59"/>
      <c r="C326" s="59" t="str">
        <f t="shared" si="14"/>
        <v>giftcodesbanner/曹操不囉嗦-禮包碼.jpg</v>
      </c>
      <c r="D326" s="59" t="str">
        <f t="shared" si="15"/>
        <v>https://www.ssbuy.tw/gift-codes.html?game=曹操不囉嗦</v>
      </c>
      <c r="E326" s="100"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1" t="s">
        <v>5236</v>
      </c>
      <c r="G326" s="59"/>
      <c r="H326" s="59"/>
      <c r="I326" s="59"/>
      <c r="J326" s="100"/>
      <c r="K326" s="109" t="s">
        <v>5506</v>
      </c>
      <c r="L326" s="59" t="s">
        <v>5507</v>
      </c>
      <c r="M326" s="61"/>
      <c r="N326" s="62"/>
      <c r="O326" s="61"/>
      <c r="P326" s="62"/>
      <c r="Q326" s="61"/>
      <c r="R326" s="62"/>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5.5" customHeight="1">
      <c r="A327" s="75" t="str">
        <f>IF(games!A327="", "", games!A327)</f>
        <v>江湖有詭</v>
      </c>
      <c r="B327" s="59"/>
      <c r="C327" s="59" t="str">
        <f t="shared" si="14"/>
        <v>giftcodesbanner/江湖有詭-禮包碼.jpg</v>
      </c>
      <c r="D327" s="59" t="str">
        <f t="shared" si="15"/>
        <v>https://www.ssbuy.tw/gift-codes.html?game=江湖有詭</v>
      </c>
      <c r="E327" s="10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1" t="s">
        <v>6059</v>
      </c>
      <c r="G327" s="59" t="s">
        <v>6060</v>
      </c>
      <c r="H327" s="59" t="s">
        <v>5849</v>
      </c>
      <c r="I327" s="59"/>
      <c r="J327" s="100"/>
      <c r="K327" s="109"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5.5" customHeight="1">
      <c r="A328" s="75" t="str">
        <f>IF(games!A328="", "", games!A328)</f>
        <v>將軍請息怒</v>
      </c>
      <c r="B328" s="59"/>
      <c r="C328" s="59" t="str">
        <f t="shared" si="14"/>
        <v>giftcodesbanner/將軍請息怒-禮包碼.jpg</v>
      </c>
      <c r="D328" s="59" t="str">
        <f t="shared" si="15"/>
        <v>https://www.ssbuy.tw/gift-codes.html?game=將軍請息怒</v>
      </c>
      <c r="E328" s="10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1" t="s">
        <v>6000</v>
      </c>
      <c r="G328" s="59" t="s">
        <v>6116</v>
      </c>
      <c r="H328" s="59" t="s">
        <v>6256</v>
      </c>
      <c r="I328" s="59"/>
      <c r="J328" s="100"/>
      <c r="K328" s="109"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5.5" customHeight="1">
      <c r="A329" s="75" t="str">
        <f>IF(games!A329="", "", games!A329)</f>
        <v>RO：世界之旅</v>
      </c>
      <c r="B329" s="59"/>
      <c r="C329" s="59" t="str">
        <f t="shared" si="14"/>
        <v>giftcodesbanner/RO：世界之旅-禮包碼.jpg</v>
      </c>
      <c r="D329" s="59" t="str">
        <f t="shared" si="15"/>
        <v>https://www.ssbuy.tw/gift-codes.html?game=RO：世界之旅</v>
      </c>
      <c r="E329" s="10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1" t="s">
        <v>6757</v>
      </c>
      <c r="G329" s="59" t="s">
        <v>6758</v>
      </c>
      <c r="H329" s="59" t="s">
        <v>6256</v>
      </c>
      <c r="I329" s="59"/>
      <c r="J329" s="100"/>
      <c r="K329" s="109"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5.5" customHeight="1">
      <c r="A330" s="75" t="str">
        <f>IF(games!A330="", "", games!A330)</f>
        <v>燕雲十六聲</v>
      </c>
      <c r="B330" s="59"/>
      <c r="C330" s="59" t="str">
        <f t="shared" si="14"/>
        <v>giftcodesbanner/燕雲十六聲-禮包碼.jpg</v>
      </c>
      <c r="D330" s="59" t="str">
        <f t="shared" si="15"/>
        <v>https://www.ssbuy.tw/gift-codes.html?game=燕雲十六聲</v>
      </c>
      <c r="E330" s="10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1" t="s">
        <v>6066</v>
      </c>
      <c r="G330" s="59" t="s">
        <v>6067</v>
      </c>
      <c r="H330" s="59" t="s">
        <v>6068</v>
      </c>
      <c r="I330" s="59"/>
      <c r="J330" s="100"/>
      <c r="K330" s="109"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5.5" customHeight="1">
      <c r="A331" s="75" t="str">
        <f>IF(games!A331="", "", games!A331)</f>
        <v>99強化木棒</v>
      </c>
      <c r="B331" s="59"/>
      <c r="C331" s="59" t="str">
        <f t="shared" si="14"/>
        <v>giftcodesbanner/99強化木棒-禮包碼.jpg</v>
      </c>
      <c r="D331" s="59" t="str">
        <f t="shared" si="15"/>
        <v>https://www.ssbuy.tw/gift-codes.html?game=99強化木棒</v>
      </c>
      <c r="E331" s="10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1" t="s">
        <v>6326</v>
      </c>
      <c r="G331" s="59" t="s">
        <v>6327</v>
      </c>
      <c r="H331" s="59"/>
      <c r="I331" s="59"/>
      <c r="J331" s="100"/>
      <c r="K331" s="109"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5.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10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1" t="s">
        <v>6332</v>
      </c>
      <c r="G332" s="59" t="s">
        <v>6333</v>
      </c>
      <c r="H332" s="59" t="s">
        <v>6257</v>
      </c>
      <c r="I332" s="59"/>
      <c r="J332" s="100"/>
      <c r="K332" s="109"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5.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10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1" t="s">
        <v>5236</v>
      </c>
      <c r="G333" s="90" t="s">
        <v>6136</v>
      </c>
      <c r="H333" s="59"/>
      <c r="I333" s="59"/>
      <c r="J333" s="100"/>
      <c r="K333" s="109"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5.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10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1" t="s">
        <v>5236</v>
      </c>
      <c r="G334" s="59"/>
      <c r="H334" s="59"/>
      <c r="I334" s="59"/>
      <c r="J334" s="100"/>
      <c r="K334" s="109"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5.5" customHeight="1">
      <c r="A335" s="75" t="str">
        <f>IF(games!A335="", "", games!A335)</f>
        <v>超次元三國</v>
      </c>
      <c r="B335" s="59"/>
      <c r="C335" s="59" t="str">
        <f t="shared" si="14"/>
        <v>giftcodesbanner/超次元三國-禮包碼.jpg</v>
      </c>
      <c r="D335" s="59" t="str">
        <f t="shared" si="15"/>
        <v>https://www.ssbuy.tw/gift-codes.html?game=超次元三國</v>
      </c>
      <c r="E335" s="10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1" t="s">
        <v>6341</v>
      </c>
      <c r="G335" s="59" t="s">
        <v>6342</v>
      </c>
      <c r="H335" s="59" t="s">
        <v>6343</v>
      </c>
      <c r="I335" s="59" t="s">
        <v>6257</v>
      </c>
      <c r="J335" s="100"/>
      <c r="K335" s="109"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5.5" customHeight="1">
      <c r="A336" s="75" t="str">
        <f>IF(games!A336="", "", games!A336)</f>
        <v>poker fate</v>
      </c>
      <c r="B336" s="59"/>
      <c r="C336" s="59" t="str">
        <f t="shared" si="14"/>
        <v>giftcodesbanner/poker fate-禮包碼.jpg</v>
      </c>
      <c r="D336" s="59" t="str">
        <f t="shared" si="15"/>
        <v>https://www.ssbuy.tw/gift-codes.html?game=poker fate</v>
      </c>
      <c r="E336" s="10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1" t="s">
        <v>5236</v>
      </c>
      <c r="G336" s="59"/>
      <c r="H336" s="59"/>
      <c r="I336" s="59"/>
      <c r="J336" s="100"/>
      <c r="K336" s="109"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5.5" customHeight="1">
      <c r="A337" s="75" t="str">
        <f>IF(games!A337="", "", games!A337)</f>
        <v>時空心語</v>
      </c>
      <c r="B337" s="59"/>
      <c r="C337" s="59" t="str">
        <f t="shared" si="14"/>
        <v>giftcodesbanner/時空心語-禮包碼.jpg</v>
      </c>
      <c r="D337" s="59" t="str">
        <f t="shared" si="15"/>
        <v>https://www.ssbuy.tw/gift-codes.html?game=時空心語</v>
      </c>
      <c r="E337" s="10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1" t="s">
        <v>6254</v>
      </c>
      <c r="G337" s="59" t="s">
        <v>6255</v>
      </c>
      <c r="H337" s="59" t="s">
        <v>6257</v>
      </c>
      <c r="I337" s="59"/>
      <c r="J337" s="100"/>
      <c r="K337" s="109"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5.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10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1" t="s">
        <v>5236</v>
      </c>
      <c r="G338" s="59"/>
      <c r="H338" s="59"/>
      <c r="I338" s="59"/>
      <c r="J338" s="100"/>
      <c r="K338" s="109"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5.5" customHeight="1">
      <c r="A339" s="75" t="str">
        <f>IF(games!A339="", "", games!A339)</f>
        <v>幻獸寶貝</v>
      </c>
      <c r="B339" s="59"/>
      <c r="C339" s="59" t="str">
        <f t="shared" si="14"/>
        <v>giftcodesbanner/幻獸寶貝-禮包碼.jpg</v>
      </c>
      <c r="D339" s="59" t="str">
        <f t="shared" si="15"/>
        <v>https://www.ssbuy.tw/gift-codes.html?game=幻獸寶貝</v>
      </c>
      <c r="E339" s="10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8" t="s">
        <v>6381</v>
      </c>
      <c r="G339" s="59" t="s">
        <v>6382</v>
      </c>
      <c r="H339" s="59" t="s">
        <v>6383</v>
      </c>
      <c r="I339" s="59" t="s">
        <v>6257</v>
      </c>
      <c r="J339" s="100"/>
      <c r="K339" s="109"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5.5" customHeight="1">
      <c r="A340" s="75" t="str">
        <f>IF(games!A340="", "", games!A340)</f>
        <v>齒輪束縛</v>
      </c>
      <c r="B340" s="59"/>
      <c r="C340" s="59" t="str">
        <f t="shared" si="14"/>
        <v>giftcodesbanner/齒輪束縛-禮包碼.jpg</v>
      </c>
      <c r="D340" s="59" t="str">
        <f t="shared" si="15"/>
        <v>https://www.ssbuy.tw/gift-codes.html?game=齒輪束縛</v>
      </c>
      <c r="E340" s="10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1" t="s">
        <v>5236</v>
      </c>
      <c r="G340" s="59"/>
      <c r="H340" s="59"/>
      <c r="I340" s="59"/>
      <c r="J340" s="100"/>
      <c r="K340" s="109"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5.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10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8" t="s">
        <v>6316</v>
      </c>
      <c r="G341" s="59" t="s">
        <v>6317</v>
      </c>
      <c r="H341" s="59" t="s">
        <v>6257</v>
      </c>
      <c r="I341" s="59"/>
      <c r="J341" s="100"/>
      <c r="K341" s="109"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5.5" customHeight="1">
      <c r="A342" s="75" t="str">
        <f>IF(games!A342="", "", games!A342)</f>
        <v>掌心宮略</v>
      </c>
      <c r="B342" s="59"/>
      <c r="C342" s="59" t="str">
        <f t="shared" si="14"/>
        <v>giftcodesbanner/掌心宮略-禮包碼.jpg</v>
      </c>
      <c r="D342" s="59" t="str">
        <f t="shared" si="15"/>
        <v>https://www.ssbuy.tw/gift-codes.html?game=掌心宮略</v>
      </c>
      <c r="E342" s="10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1" t="s">
        <v>6379</v>
      </c>
      <c r="G342" s="59" t="s">
        <v>6380</v>
      </c>
      <c r="H342" s="59" t="s">
        <v>6257</v>
      </c>
      <c r="I342" s="59"/>
      <c r="J342" s="100"/>
      <c r="K342" s="109"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5.5" customHeight="1">
      <c r="A343" s="75" t="str">
        <f>IF(games!A343="", "", games!A343)</f>
        <v>God Breaker：弒神者</v>
      </c>
      <c r="B343" s="59"/>
      <c r="C343" s="59" t="str">
        <f t="shared" si="14"/>
        <v>giftcodesbanner/God Breaker：弒神者-禮包碼.jpg</v>
      </c>
      <c r="D343" s="59" t="str">
        <f t="shared" si="15"/>
        <v>https://www.ssbuy.tw/gift-codes.html?game=God Breaker：弒神者</v>
      </c>
      <c r="E343" s="10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1" t="s">
        <v>6378</v>
      </c>
      <c r="G343" s="59"/>
      <c r="H343" s="59"/>
      <c r="I343" s="59"/>
      <c r="J343" s="100"/>
      <c r="K343" s="109"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5.5" customHeight="1">
      <c r="A344" s="75" t="str">
        <f>IF(games!A344="", "", games!A344)</f>
        <v>美食手札</v>
      </c>
      <c r="B344" s="59"/>
      <c r="C344" s="59" t="str">
        <f t="shared" si="14"/>
        <v>giftcodesbanner/美食手札-禮包碼.jpg</v>
      </c>
      <c r="D344" s="59" t="str">
        <f t="shared" si="15"/>
        <v>https://www.ssbuy.tw/gift-codes.html?game=美食手札</v>
      </c>
      <c r="E344" s="10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1" t="s">
        <v>5236</v>
      </c>
      <c r="G344" s="59"/>
      <c r="H344" s="59"/>
      <c r="I344" s="59"/>
      <c r="J344" s="100"/>
      <c r="K344" s="109"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5.5" customHeight="1">
      <c r="A345" s="75" t="str">
        <f>IF(games!A345="", "", games!A345)</f>
        <v>超次元驅動</v>
      </c>
      <c r="B345" s="59"/>
      <c r="C345" s="59" t="str">
        <f t="shared" si="14"/>
        <v>giftcodesbanner/超次元驅動-禮包碼.jpg</v>
      </c>
      <c r="D345" s="59" t="str">
        <f t="shared" si="15"/>
        <v>https://www.ssbuy.tw/gift-codes.html?game=超次元驅動</v>
      </c>
      <c r="E345" s="10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1" t="s">
        <v>5236</v>
      </c>
      <c r="G345" s="59"/>
      <c r="H345" s="59"/>
      <c r="I345" s="59"/>
      <c r="J345" s="100"/>
      <c r="K345" s="109"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5.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100"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8" t="s">
        <v>6391</v>
      </c>
      <c r="G346" s="59" t="s">
        <v>6392</v>
      </c>
      <c r="H346" s="59" t="s">
        <v>6257</v>
      </c>
      <c r="I346" s="59"/>
      <c r="J346" s="100"/>
      <c r="K346" s="109"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5.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100"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8" t="s">
        <v>6469</v>
      </c>
      <c r="G347" s="59" t="s">
        <v>6429</v>
      </c>
      <c r="H347" s="59" t="s">
        <v>6257</v>
      </c>
      <c r="I347" s="59"/>
      <c r="J347" s="100"/>
      <c r="K347" s="109"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5.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100"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1" t="s">
        <v>5236</v>
      </c>
      <c r="G348" s="59"/>
      <c r="H348" s="59"/>
      <c r="I348" s="59"/>
      <c r="J348" s="100"/>
      <c r="K348" s="109"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5.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100"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1" t="s">
        <v>6495</v>
      </c>
      <c r="G349" s="59" t="s">
        <v>6496</v>
      </c>
      <c r="H349" s="59" t="s">
        <v>6497</v>
      </c>
      <c r="I349" s="59" t="s">
        <v>6257</v>
      </c>
      <c r="J349" s="100"/>
      <c r="K349" s="109"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5.5" customHeight="1">
      <c r="A350" s="75" t="str">
        <f>IF(games!A350="", "", games!A350)</f>
        <v>像素大暴走</v>
      </c>
      <c r="B350" s="59"/>
      <c r="C350" s="59" t="str">
        <f t="shared" si="14"/>
        <v>giftcodesbanner/像素大暴走-禮包碼.jpg</v>
      </c>
      <c r="D350" s="59" t="str">
        <f t="shared" si="15"/>
        <v>https://www.ssbuy.tw/gift-codes.html?game=像素大暴走</v>
      </c>
      <c r="E350" s="100"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1" t="s">
        <v>5236</v>
      </c>
      <c r="G350" s="59"/>
      <c r="H350" s="59"/>
      <c r="I350" s="59"/>
      <c r="J350" s="100"/>
      <c r="K350" s="109"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5.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100"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1" t="s">
        <v>5236</v>
      </c>
      <c r="G351" s="59"/>
      <c r="H351" s="59"/>
      <c r="I351" s="59"/>
      <c r="J351" s="100"/>
      <c r="K351" s="109"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5.5" customHeight="1">
      <c r="A352" s="75" t="str">
        <f>IF(games!A352="", "", games!A352)</f>
        <v>仙發制人</v>
      </c>
      <c r="B352" s="59"/>
      <c r="C352" s="59" t="str">
        <f t="shared" si="14"/>
        <v>giftcodesbanner/仙發制人-禮包碼.jpg</v>
      </c>
      <c r="D352" s="59" t="str">
        <f t="shared" si="15"/>
        <v>https://www.ssbuy.tw/gift-codes.html?game=仙發制人</v>
      </c>
      <c r="E352" s="100"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8" t="s">
        <v>6481</v>
      </c>
      <c r="G352" s="59" t="s">
        <v>6257</v>
      </c>
      <c r="H352" s="59"/>
      <c r="I352" s="59"/>
      <c r="J352" s="100"/>
      <c r="K352" s="109"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5.5" customHeight="1">
      <c r="A353" s="75" t="str">
        <f>IF(games!A353="", "", games!A353)</f>
        <v>我的異世界</v>
      </c>
      <c r="B353" s="59"/>
      <c r="C353" s="59" t="str">
        <f t="shared" si="14"/>
        <v>giftcodesbanner/我的異世界-禮包碼.jpg</v>
      </c>
      <c r="D353" s="59" t="str">
        <f t="shared" si="15"/>
        <v>https://www.ssbuy.tw/gift-codes.html?game=我的異世界</v>
      </c>
      <c r="E353" s="100"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8" t="s">
        <v>6516</v>
      </c>
      <c r="G353" s="59" t="s">
        <v>6517</v>
      </c>
      <c r="H353" s="59" t="s">
        <v>6257</v>
      </c>
      <c r="I353" s="59"/>
      <c r="J353" s="100"/>
      <c r="K353" s="109"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5.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100"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1" t="s">
        <v>6665</v>
      </c>
      <c r="G354" s="59" t="s">
        <v>6666</v>
      </c>
      <c r="H354" s="59" t="s">
        <v>6667</v>
      </c>
      <c r="I354" s="59"/>
      <c r="J354" s="100"/>
      <c r="K354" s="109"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5.5" customHeight="1">
      <c r="A355" s="75" t="str">
        <f>IF(games!A355="", "", games!A355)</f>
        <v>基地：星界無間</v>
      </c>
      <c r="B355" s="59"/>
      <c r="C355" s="59" t="str">
        <f t="shared" si="14"/>
        <v>giftcodesbanner/基地：星界無間-禮包碼.jpg</v>
      </c>
      <c r="D355" s="59" t="str">
        <f t="shared" si="15"/>
        <v>https://www.ssbuy.tw/gift-codes.html?game=基地：星界無間</v>
      </c>
      <c r="E355" s="100"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1" t="s">
        <v>6676</v>
      </c>
      <c r="G355" s="59" t="s">
        <v>6677</v>
      </c>
      <c r="H355" s="59" t="s">
        <v>6667</v>
      </c>
      <c r="I355" s="59"/>
      <c r="J355" s="100"/>
      <c r="K355" s="109"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5.5" customHeight="1">
      <c r="A356" s="75" t="str">
        <f>IF(games!A356="", "", games!A356)</f>
        <v>夢幻茶樓</v>
      </c>
      <c r="B356" s="59"/>
      <c r="C356" s="59" t="str">
        <f t="shared" si="14"/>
        <v>giftcodesbanner/夢幻茶樓-禮包碼.jpg</v>
      </c>
      <c r="D356" s="59" t="str">
        <f t="shared" si="15"/>
        <v>https://www.ssbuy.tw/gift-codes.html?game=夢幻茶樓</v>
      </c>
      <c r="E356" s="100"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1" t="s">
        <v>4608</v>
      </c>
      <c r="G356" s="59" t="s">
        <v>6771</v>
      </c>
      <c r="H356" s="59" t="s">
        <v>6667</v>
      </c>
      <c r="I356" s="59"/>
      <c r="J356" s="100"/>
      <c r="K356" s="109"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5.5" customHeight="1">
      <c r="A357" s="75" t="str">
        <f>IF(games!A357="", "", games!A357)</f>
        <v>MU：熱血開戰</v>
      </c>
      <c r="B357" s="59"/>
      <c r="C357" s="59" t="str">
        <f t="shared" si="14"/>
        <v>giftcodesbanner/MU：熱血開戰-禮包碼.jpg</v>
      </c>
      <c r="D357" s="59" t="str">
        <f t="shared" si="15"/>
        <v>https://www.ssbuy.tw/gift-codes.html?game=MU：熱血開戰</v>
      </c>
      <c r="E357" s="100"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1" t="s">
        <v>6911</v>
      </c>
      <c r="G357" s="59" t="s">
        <v>6912</v>
      </c>
      <c r="H357" s="59" t="s">
        <v>6667</v>
      </c>
      <c r="I357" s="59"/>
      <c r="J357" s="100"/>
      <c r="K357" s="109"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5.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100"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8" t="s">
        <v>6570</v>
      </c>
      <c r="G358" s="59" t="s">
        <v>6571</v>
      </c>
      <c r="H358" s="59" t="s">
        <v>6257</v>
      </c>
      <c r="I358" s="59"/>
      <c r="J358" s="100"/>
      <c r="K358" s="109"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5.5" customHeight="1">
      <c r="A359" s="75" t="str">
        <f>IF(games!A359="", "", games!A359)</f>
        <v>指尖棋兵</v>
      </c>
      <c r="B359" s="59"/>
      <c r="C359" s="59" t="str">
        <f t="shared" si="14"/>
        <v>giftcodesbanner/指尖棋兵-禮包碼.jpg</v>
      </c>
      <c r="D359" s="59" t="str">
        <f t="shared" si="15"/>
        <v>https://www.ssbuy.tw/gift-codes.html?game=指尖棋兵</v>
      </c>
      <c r="E359" s="100"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8" t="s">
        <v>5846</v>
      </c>
      <c r="G359" s="59" t="s">
        <v>6696</v>
      </c>
      <c r="H359" s="59" t="s">
        <v>6257</v>
      </c>
      <c r="I359" s="59"/>
      <c r="J359" s="100"/>
      <c r="K359" s="109"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5.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100"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8" t="s">
        <v>6633</v>
      </c>
      <c r="G360" s="59" t="s">
        <v>6634</v>
      </c>
      <c r="H360" s="59" t="s">
        <v>6257</v>
      </c>
      <c r="I360" s="59"/>
      <c r="J360" s="100"/>
      <c r="K360" s="109"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5.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100"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1" t="s">
        <v>6718</v>
      </c>
      <c r="G361" s="59" t="s">
        <v>6719</v>
      </c>
      <c r="H361" s="59" t="s">
        <v>6257</v>
      </c>
      <c r="I361" s="59"/>
      <c r="J361" s="100"/>
      <c r="K361" s="109"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5.5" customHeight="1">
      <c r="A362" s="75" t="str">
        <f>IF(games!A362="", "", games!A362)</f>
        <v>熾熱戰姬</v>
      </c>
      <c r="B362" s="59"/>
      <c r="C362" s="59" t="str">
        <f t="shared" si="14"/>
        <v>giftcodesbanner/熾熱戰姬-禮包碼.jpg</v>
      </c>
      <c r="D362" s="59" t="str">
        <f t="shared" si="15"/>
        <v>https://www.ssbuy.tw/gift-codes.html?game=熾熱戰姬</v>
      </c>
      <c r="E362" s="100"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1" t="s">
        <v>4288</v>
      </c>
      <c r="G362" s="59" t="s">
        <v>6717</v>
      </c>
      <c r="H362" s="59" t="s">
        <v>6257</v>
      </c>
      <c r="I362" s="59"/>
      <c r="J362" s="100"/>
      <c r="K362" s="109"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5.5" customHeight="1">
      <c r="A363" s="75" t="str">
        <f>IF(games!A363="", "", games!A363)</f>
        <v>心動小鎮</v>
      </c>
      <c r="B363" s="59"/>
      <c r="C363" s="59" t="str">
        <f t="shared" si="14"/>
        <v>giftcodesbanner/心動小鎮-禮包碼.jpg</v>
      </c>
      <c r="D363" s="59" t="str">
        <f t="shared" si="15"/>
        <v>https://www.ssbuy.tw/gift-codes.html?game=心動小鎮</v>
      </c>
      <c r="E363" s="100"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8" t="s">
        <v>6695</v>
      </c>
      <c r="G363" s="59" t="s">
        <v>6696</v>
      </c>
      <c r="H363" s="59" t="s">
        <v>6257</v>
      </c>
      <c r="I363" s="59"/>
      <c r="J363" s="100"/>
      <c r="K363" s="109"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5.5" customHeight="1">
      <c r="A364" s="75" t="str">
        <f>IF(games!A364="", "", games!A364)</f>
        <v>彈彈英雄</v>
      </c>
      <c r="B364" s="59"/>
      <c r="C364" s="59" t="str">
        <f t="shared" si="14"/>
        <v>giftcodesbanner/彈彈英雄-禮包碼.jpg</v>
      </c>
      <c r="D364" s="59" t="str">
        <f t="shared" si="15"/>
        <v>https://www.ssbuy.tw/gift-codes.html?game=彈彈英雄</v>
      </c>
      <c r="E364" s="100"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8" t="s">
        <v>6702</v>
      </c>
      <c r="G364" s="133" t="s">
        <v>6703</v>
      </c>
      <c r="H364" s="59"/>
      <c r="I364" s="59"/>
      <c r="J364" s="100"/>
      <c r="K364" s="109"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5.5" customHeight="1">
      <c r="A365" s="75" t="str">
        <f>IF(games!A365="", "", games!A365)</f>
        <v>動物幫派</v>
      </c>
      <c r="B365" s="59"/>
      <c r="C365" s="59" t="str">
        <f t="shared" si="14"/>
        <v>giftcodesbanner/動物幫派-禮包碼.jpg</v>
      </c>
      <c r="D365" s="59" t="str">
        <f t="shared" si="15"/>
        <v>https://www.ssbuy.tw/gift-codes.html?game=動物幫派</v>
      </c>
      <c r="E365" s="100"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1" t="s">
        <v>5236</v>
      </c>
      <c r="G365" s="59"/>
      <c r="H365" s="59"/>
      <c r="I365" s="59"/>
      <c r="J365" s="100"/>
      <c r="K365" s="109"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5.5" customHeight="1">
      <c r="A366" s="75" t="str">
        <f>IF(games!A366="", "", games!A366)</f>
        <v>Academy of Heroes</v>
      </c>
      <c r="B366" s="59"/>
      <c r="C366" s="59" t="str">
        <f t="shared" si="14"/>
        <v>giftcodesbanner/Academy of Heroes-禮包碼.jpg</v>
      </c>
      <c r="D366" s="59" t="str">
        <f t="shared" si="15"/>
        <v>https://www.ssbuy.tw/gift-codes.html?game=Academy of Heroes</v>
      </c>
      <c r="E366" s="100"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1" t="s">
        <v>5236</v>
      </c>
      <c r="G366" s="59"/>
      <c r="H366" s="59"/>
      <c r="I366" s="59"/>
      <c r="J366" s="100"/>
      <c r="K366" s="109"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5.5" customHeight="1">
      <c r="A367" s="75" t="str">
        <f>IF(games!A367="", "", games!A367)</f>
        <v>魔女的傳說</v>
      </c>
      <c r="B367" s="59"/>
      <c r="C367" s="59" t="str">
        <f t="shared" ref="C367:C423" si="16">IF(A367="","", "giftcodesbanner/" &amp; A367 &amp; "-禮包碼.jpg")</f>
        <v>giftcodesbanner/魔女的傳說-禮包碼.jpg</v>
      </c>
      <c r="D367" s="59" t="str">
        <f t="shared" ref="D367:D423" si="17">IF(A367="","", "https://www.ssbuy.tw/gift-codes.html?game="&amp;A367)</f>
        <v>https://www.ssbuy.tw/gift-codes.html?game=魔女的傳說</v>
      </c>
      <c r="E367" s="100"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1" t="s">
        <v>5236</v>
      </c>
      <c r="G367" s="59"/>
      <c r="H367" s="59"/>
      <c r="I367" s="59"/>
      <c r="J367" s="100"/>
      <c r="K367" s="109"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5.5" customHeight="1">
      <c r="A368" s="75" t="str">
        <f>IF(games!A368="", "", games!A368)</f>
        <v>華夏繪世錄</v>
      </c>
      <c r="B368" s="59"/>
      <c r="C368" s="59" t="str">
        <f t="shared" si="16"/>
        <v>giftcodesbanner/華夏繪世錄-禮包碼.jpg</v>
      </c>
      <c r="D368" s="59" t="str">
        <f t="shared" si="17"/>
        <v>https://www.ssbuy.tw/gift-codes.html?game=華夏繪世錄</v>
      </c>
      <c r="E368" s="100"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1" t="s">
        <v>7023</v>
      </c>
      <c r="G368" s="59" t="s">
        <v>7024</v>
      </c>
      <c r="H368" s="59" t="s">
        <v>7025</v>
      </c>
      <c r="I368" s="59" t="s">
        <v>6999</v>
      </c>
      <c r="J368" s="100"/>
      <c r="K368" s="109"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5.5" customHeight="1">
      <c r="A369" s="75" t="str">
        <f>IF(games!A369="", "", games!A369)</f>
        <v>三國：謀定天下</v>
      </c>
      <c r="B369" s="59"/>
      <c r="C369" s="59" t="str">
        <f t="shared" si="16"/>
        <v>giftcodesbanner/三國：謀定天下-禮包碼.jpg</v>
      </c>
      <c r="D369" s="59" t="str">
        <f t="shared" si="17"/>
        <v>https://www.ssbuy.tw/gift-codes.html?game=三國：謀定天下</v>
      </c>
      <c r="E369" s="100"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8" t="s">
        <v>6821</v>
      </c>
      <c r="G369" s="59" t="s">
        <v>6918</v>
      </c>
      <c r="H369" s="59" t="s">
        <v>6919</v>
      </c>
      <c r="I369" s="59"/>
      <c r="J369" s="100"/>
      <c r="K369" s="109"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5.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100"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1" t="s">
        <v>6939</v>
      </c>
      <c r="G370" s="59" t="s">
        <v>6940</v>
      </c>
      <c r="H370" s="59"/>
      <c r="I370" s="59"/>
      <c r="J370" s="100"/>
      <c r="K370" s="109"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5.5" customHeight="1">
      <c r="A371" s="75" t="str">
        <f>IF(games!A371="", "", games!A371)</f>
        <v>半獸人傳說</v>
      </c>
      <c r="B371" s="59"/>
      <c r="C371" s="59" t="str">
        <f t="shared" si="16"/>
        <v>giftcodesbanner/半獸人傳說-禮包碼.jpg</v>
      </c>
      <c r="D371" s="59" t="str">
        <f t="shared" si="17"/>
        <v>https://www.ssbuy.tw/gift-codes.html?game=半獸人傳說</v>
      </c>
      <c r="E371" s="100"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8" t="s">
        <v>6821</v>
      </c>
      <c r="G371" s="59" t="s">
        <v>6822</v>
      </c>
      <c r="H371" s="59" t="s">
        <v>6257</v>
      </c>
      <c r="I371" s="59"/>
      <c r="J371" s="100"/>
      <c r="K371" s="109"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5.5" customHeight="1">
      <c r="A372" s="75" t="str">
        <f>IF(games!A372="", "", games!A372)</f>
        <v>暗月十二</v>
      </c>
      <c r="B372" s="59"/>
      <c r="C372" s="59" t="str">
        <f t="shared" si="16"/>
        <v>giftcodesbanner/暗月十二-禮包碼.jpg</v>
      </c>
      <c r="D372" s="59" t="str">
        <f t="shared" si="17"/>
        <v>https://www.ssbuy.tw/gift-codes.html?game=暗月十二</v>
      </c>
      <c r="E372" s="100"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1" t="s">
        <v>5236</v>
      </c>
      <c r="G372" s="59"/>
      <c r="H372" s="59"/>
      <c r="I372" s="59"/>
      <c r="J372" s="100"/>
      <c r="K372" s="109"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5.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100"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1" t="s">
        <v>5236</v>
      </c>
      <c r="G373" s="59"/>
      <c r="H373" s="59"/>
      <c r="I373" s="59"/>
      <c r="J373" s="100"/>
      <c r="K373" s="109"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5.5" customHeight="1">
      <c r="A374" s="75" t="str">
        <f>IF(games!A374="", "", games!A374)</f>
        <v>小骷髏超能斬</v>
      </c>
      <c r="B374" s="59"/>
      <c r="C374" s="59" t="str">
        <f t="shared" si="16"/>
        <v>giftcodesbanner/小骷髏超能斬-禮包碼.jpg</v>
      </c>
      <c r="D374" s="59" t="str">
        <f t="shared" si="17"/>
        <v>https://www.ssbuy.tw/gift-codes.html?game=小骷髏超能斬</v>
      </c>
      <c r="E374" s="100"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1" t="s">
        <v>5236</v>
      </c>
      <c r="G374" s="59"/>
      <c r="H374" s="59"/>
      <c r="I374" s="59"/>
      <c r="J374" s="100"/>
      <c r="K374" s="109"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5.5" customHeight="1">
      <c r="A375" s="75" t="str">
        <f>IF(games!A375="", "", games!A375)</f>
        <v>靈寵工坊</v>
      </c>
      <c r="B375" s="59"/>
      <c r="C375" s="59" t="str">
        <f t="shared" si="16"/>
        <v>giftcodesbanner/靈寵工坊-禮包碼.jpg</v>
      </c>
      <c r="D375" s="59" t="str">
        <f t="shared" si="17"/>
        <v>https://www.ssbuy.tw/gift-codes.html?game=靈寵工坊</v>
      </c>
      <c r="E375" s="100"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1" t="s">
        <v>6997</v>
      </c>
      <c r="G375" s="59" t="s">
        <v>6998</v>
      </c>
      <c r="H375" s="59" t="s">
        <v>6999</v>
      </c>
      <c r="I375" s="59"/>
      <c r="J375" s="100"/>
      <c r="K375" s="109"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5.5" customHeight="1">
      <c r="A376" s="75" t="str">
        <f>IF(games!A376="", "", games!A376)</f>
        <v>天命傳說</v>
      </c>
      <c r="B376" s="59"/>
      <c r="C376" s="59" t="str">
        <f t="shared" si="16"/>
        <v>giftcodesbanner/天命傳說-禮包碼.jpg</v>
      </c>
      <c r="D376" s="59" t="str">
        <f t="shared" si="17"/>
        <v>https://www.ssbuy.tw/gift-codes.html?game=天命傳說</v>
      </c>
      <c r="E376" s="100"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8" t="s">
        <v>6959</v>
      </c>
      <c r="G376" s="59" t="s">
        <v>6960</v>
      </c>
      <c r="H376" s="59" t="s">
        <v>6257</v>
      </c>
      <c r="I376" s="59"/>
      <c r="J376" s="100"/>
      <c r="K376" s="109"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5.5" customHeight="1">
      <c r="A377" s="75" t="str">
        <f>IF(games!A377="", "", games!A377)</f>
        <v>最遊幻想</v>
      </c>
      <c r="B377" s="59"/>
      <c r="C377" s="59" t="str">
        <f t="shared" si="16"/>
        <v>giftcodesbanner/最遊幻想-禮包碼.jpg</v>
      </c>
      <c r="D377" s="59" t="str">
        <f t="shared" si="17"/>
        <v>https://www.ssbuy.tw/gift-codes.html?game=最遊幻想</v>
      </c>
      <c r="E377" s="100"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8" t="s">
        <v>6931</v>
      </c>
      <c r="G377" s="59" t="s">
        <v>6932</v>
      </c>
      <c r="H377" s="59" t="s">
        <v>6257</v>
      </c>
      <c r="I377" s="59"/>
      <c r="J377" s="100"/>
      <c r="K377" s="109"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5.5" customHeight="1">
      <c r="A378" s="75" t="str">
        <f>IF(games!A378="", "", games!A378)</f>
        <v>強棒出擊：ALL IN</v>
      </c>
      <c r="B378" s="59"/>
      <c r="C378" s="59" t="str">
        <f t="shared" si="16"/>
        <v>giftcodesbanner/強棒出擊：ALL IN-禮包碼.jpg</v>
      </c>
      <c r="D378" s="59" t="str">
        <f t="shared" si="17"/>
        <v>https://www.ssbuy.tw/gift-codes.html?game=強棒出擊：ALL IN</v>
      </c>
      <c r="E378" s="100"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8" t="s">
        <v>6962</v>
      </c>
      <c r="G378" s="59" t="s">
        <v>6963</v>
      </c>
      <c r="H378" s="59" t="s">
        <v>6964</v>
      </c>
      <c r="I378" s="59" t="s">
        <v>6965</v>
      </c>
      <c r="J378" s="100"/>
      <c r="K378" s="109"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5.5" customHeight="1">
      <c r="A379" s="75" t="str">
        <f>IF(games!A379="", "", games!A379)</f>
        <v>獸寶特攻隊</v>
      </c>
      <c r="B379" s="59"/>
      <c r="C379" s="59" t="str">
        <f t="shared" si="16"/>
        <v>giftcodesbanner/獸寶特攻隊-禮包碼.jpg</v>
      </c>
      <c r="D379" s="59" t="str">
        <f t="shared" si="17"/>
        <v>https://www.ssbuy.tw/gift-codes.html?game=獸寶特攻隊</v>
      </c>
      <c r="E379" s="100"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1" t="s">
        <v>5236</v>
      </c>
      <c r="G379" s="59"/>
      <c r="H379" s="59"/>
      <c r="I379" s="59"/>
      <c r="J379" s="100"/>
      <c r="K379" s="109"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5.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100"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1" t="s">
        <v>5236</v>
      </c>
      <c r="G380" s="59"/>
      <c r="H380" s="59"/>
      <c r="I380" s="59"/>
      <c r="J380" s="100"/>
      <c r="K380" s="109"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5.5" customHeight="1">
      <c r="A381" s="75" t="str">
        <f>IF(games!A381="", "", games!A381)</f>
        <v>矮人小酒館</v>
      </c>
      <c r="B381" s="59"/>
      <c r="C381" s="59" t="str">
        <f t="shared" si="16"/>
        <v>giftcodesbanner/矮人小酒館-禮包碼.jpg</v>
      </c>
      <c r="D381" s="59" t="str">
        <f t="shared" si="17"/>
        <v>https://www.ssbuy.tw/gift-codes.html?game=矮人小酒館</v>
      </c>
      <c r="E381" s="100"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1" t="s">
        <v>5236</v>
      </c>
      <c r="G381" s="59"/>
      <c r="H381" s="59"/>
      <c r="I381" s="59"/>
      <c r="J381" s="100"/>
      <c r="K381" s="109"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5.5" customHeight="1">
      <c r="A382" s="75" t="str">
        <f>IF(games!A382="", "", games!A382)</f>
        <v>星際守護者</v>
      </c>
      <c r="B382" s="59"/>
      <c r="C382" s="59" t="str">
        <f t="shared" si="16"/>
        <v>giftcodesbanner/星際守護者-禮包碼.jpg</v>
      </c>
      <c r="D382" s="59" t="str">
        <f t="shared" si="17"/>
        <v>https://www.ssbuy.tw/gift-codes.html?game=星際守護者</v>
      </c>
      <c r="E382" s="100"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1" t="s">
        <v>5236</v>
      </c>
      <c r="G382" s="59"/>
      <c r="H382" s="59"/>
      <c r="I382" s="59"/>
      <c r="J382" s="100"/>
      <c r="K382" s="109"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5.5" customHeight="1">
      <c r="A383" s="75" t="str">
        <f>IF(games!A383="", "", games!A383)</f>
        <v>霹靂蘑菇</v>
      </c>
      <c r="B383" s="59"/>
      <c r="C383" s="59" t="str">
        <f t="shared" si="16"/>
        <v>giftcodesbanner/霹靂蘑菇-禮包碼.jpg</v>
      </c>
      <c r="D383" s="59" t="str">
        <f t="shared" si="17"/>
        <v>https://www.ssbuy.tw/gift-codes.html?game=霹靂蘑菇</v>
      </c>
      <c r="E383" s="100"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1" t="s">
        <v>7072</v>
      </c>
      <c r="G383" s="59" t="s">
        <v>7073</v>
      </c>
      <c r="H383" s="59" t="s">
        <v>6999</v>
      </c>
      <c r="I383" s="59"/>
      <c r="J383" s="100"/>
      <c r="K383" s="109"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7386</v>
      </c>
      <c r="Z383" s="62"/>
      <c r="AA383" s="61" t="s">
        <v>7387</v>
      </c>
      <c r="AB383" s="62"/>
      <c r="AC383" s="61" t="s">
        <v>7388</v>
      </c>
      <c r="AD383" s="62"/>
      <c r="AE383" s="61" t="s">
        <v>7389</v>
      </c>
      <c r="AF383" s="62"/>
      <c r="AG383" s="61" t="s">
        <v>7390</v>
      </c>
      <c r="AH383" s="62"/>
      <c r="AI383" s="61" t="s">
        <v>7391</v>
      </c>
      <c r="AJ383" s="62"/>
      <c r="AK383" s="61" t="s">
        <v>7392</v>
      </c>
      <c r="AL383" s="62"/>
      <c r="AM383" s="61" t="s">
        <v>7393</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5.5" customHeight="1">
      <c r="A384" s="75" t="str">
        <f>IF(games!A384="", "", games!A384)</f>
        <v>小將超兇</v>
      </c>
      <c r="B384" s="59"/>
      <c r="C384" s="59" t="str">
        <f t="shared" si="16"/>
        <v>giftcodesbanner/小將超兇-禮包碼.jpg</v>
      </c>
      <c r="D384" s="59" t="str">
        <f t="shared" si="17"/>
        <v>https://www.ssbuy.tw/gift-codes.html?game=小將超兇</v>
      </c>
      <c r="E384" s="100"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8" t="s">
        <v>7071</v>
      </c>
      <c r="G384" s="59"/>
      <c r="H384" s="59" t="s">
        <v>6999</v>
      </c>
      <c r="I384" s="59"/>
      <c r="J384" s="100"/>
      <c r="K384" s="109"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5.5" customHeight="1">
      <c r="A385" s="75" t="str">
        <f>IF(games!A385="", "", games!A385)</f>
        <v>勇者逗逗龍</v>
      </c>
      <c r="B385" s="59"/>
      <c r="C385" s="59" t="str">
        <f t="shared" si="16"/>
        <v>giftcodesbanner/勇者逗逗龍-禮包碼.jpg</v>
      </c>
      <c r="D385" s="59" t="str">
        <f t="shared" si="17"/>
        <v>https://www.ssbuy.tw/gift-codes.html?game=勇者逗逗龍</v>
      </c>
      <c r="E385" s="100"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8" t="s">
        <v>5468</v>
      </c>
      <c r="G385" s="59" t="s">
        <v>7109</v>
      </c>
      <c r="H385" s="59" t="s">
        <v>6999</v>
      </c>
      <c r="I385" s="59"/>
      <c r="J385" s="100"/>
      <c r="K385" s="109"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5.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100"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8" t="s">
        <v>5468</v>
      </c>
      <c r="G386" s="59" t="s">
        <v>7109</v>
      </c>
      <c r="H386" s="59" t="s">
        <v>6999</v>
      </c>
      <c r="I386" s="59"/>
      <c r="J386" s="100"/>
      <c r="K386" s="109"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5.5" customHeight="1">
      <c r="A387" s="75" t="str">
        <f>IF(games!A387="", "", games!A387)</f>
        <v>集結啦！帕萌獸</v>
      </c>
      <c r="B387" s="59"/>
      <c r="C387" s="59" t="str">
        <f t="shared" si="16"/>
        <v>giftcodesbanner/集結啦！帕萌獸-禮包碼.jpg</v>
      </c>
      <c r="D387" s="59" t="str">
        <f t="shared" si="17"/>
        <v>https://www.ssbuy.tw/gift-codes.html?game=集結啦！帕萌獸</v>
      </c>
      <c r="E387" s="100"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8" t="s">
        <v>7111</v>
      </c>
      <c r="G387" s="59" t="s">
        <v>7195</v>
      </c>
      <c r="H387" s="59" t="s">
        <v>7196</v>
      </c>
      <c r="I387" s="59" t="s">
        <v>6999</v>
      </c>
      <c r="J387" s="100"/>
      <c r="K387" s="109"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5.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100"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8" t="s">
        <v>7111</v>
      </c>
      <c r="G388" s="134" t="s">
        <v>7112</v>
      </c>
      <c r="H388" s="59" t="s">
        <v>6999</v>
      </c>
      <c r="I388" s="59"/>
      <c r="J388" s="100"/>
      <c r="K388" s="109"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7424</v>
      </c>
      <c r="AV388" s="62"/>
      <c r="AW388" s="61" t="s">
        <v>7425</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5.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100"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8" t="s">
        <v>7246</v>
      </c>
      <c r="G389" s="59" t="s">
        <v>7247</v>
      </c>
      <c r="H389" s="59" t="s">
        <v>6999</v>
      </c>
      <c r="I389" s="59"/>
      <c r="J389" s="100"/>
      <c r="K389" s="109" t="s">
        <v>6354</v>
      </c>
      <c r="L389" s="59" t="s">
        <v>5507</v>
      </c>
      <c r="M389" s="61" t="s">
        <v>7238</v>
      </c>
      <c r="N389" s="62" t="s">
        <v>7239</v>
      </c>
      <c r="O389" s="61"/>
      <c r="P389" s="62"/>
      <c r="Q389" s="61"/>
      <c r="R389" s="62"/>
      <c r="S389" s="61"/>
      <c r="T389" s="62"/>
      <c r="U389" s="135"/>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5.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100"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8" t="s">
        <v>7111</v>
      </c>
      <c r="G390" s="59" t="s">
        <v>7220</v>
      </c>
      <c r="H390" s="59" t="s">
        <v>6999</v>
      </c>
      <c r="J390" s="100"/>
      <c r="K390" s="109"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5.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100"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8" t="s">
        <v>7111</v>
      </c>
      <c r="G391" s="59" t="s">
        <v>7160</v>
      </c>
      <c r="H391" s="59" t="s">
        <v>7161</v>
      </c>
      <c r="I391" s="59" t="s">
        <v>6999</v>
      </c>
      <c r="J391" s="100"/>
      <c r="K391" s="109"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5.5" customHeight="1">
      <c r="A392" s="75" t="str">
        <f>IF(games!A392="", "", games!A392)</f>
        <v>裝甲前線：戰區</v>
      </c>
      <c r="B392" s="59"/>
      <c r="C392" s="59" t="str">
        <f t="shared" si="16"/>
        <v>giftcodesbanner/裝甲前線：戰區-禮包碼.jpg</v>
      </c>
      <c r="D392" s="59" t="str">
        <f t="shared" si="17"/>
        <v>https://www.ssbuy.tw/gift-codes.html?game=裝甲前線：戰區</v>
      </c>
      <c r="E392" s="100"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1" t="s">
        <v>5236</v>
      </c>
      <c r="G392" s="59"/>
      <c r="H392" s="59"/>
      <c r="I392" s="59"/>
      <c r="J392" s="100"/>
      <c r="K392" s="109"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5.5" customHeight="1">
      <c r="A393" s="75" t="str">
        <f>IF(games!A393="", "", games!A393)</f>
        <v>星神世界</v>
      </c>
      <c r="B393" s="59"/>
      <c r="C393" s="59" t="str">
        <f t="shared" si="16"/>
        <v>giftcodesbanner/星神世界-禮包碼.jpg</v>
      </c>
      <c r="D393" s="59" t="str">
        <f t="shared" si="17"/>
        <v>https://www.ssbuy.tw/gift-codes.html?game=星神世界</v>
      </c>
      <c r="E393" s="100"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1" t="s">
        <v>5236</v>
      </c>
      <c r="G393" s="59"/>
      <c r="H393" s="59"/>
      <c r="I393" s="59"/>
      <c r="J393" s="100"/>
      <c r="K393" s="109"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5.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100"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8" t="s">
        <v>7111</v>
      </c>
      <c r="G394" s="59" t="s">
        <v>7209</v>
      </c>
      <c r="H394" s="59" t="s">
        <v>7161</v>
      </c>
      <c r="I394" s="59" t="s">
        <v>6999</v>
      </c>
      <c r="J394" s="100"/>
      <c r="K394" s="109"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5.5" customHeight="1">
      <c r="A395" s="75" t="str">
        <f>IF(games!A395="", "", games!A395)</f>
        <v>百鬼異聞錄</v>
      </c>
      <c r="B395" s="59"/>
      <c r="C395" s="59" t="str">
        <f t="shared" si="16"/>
        <v>giftcodesbanner/百鬼異聞錄-禮包碼.jpg</v>
      </c>
      <c r="D395" s="59" t="str">
        <f t="shared" si="17"/>
        <v>https://www.ssbuy.tw/gift-codes.html?game=百鬼異聞錄</v>
      </c>
      <c r="E395" s="100"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1" t="s">
        <v>5236</v>
      </c>
      <c r="G395" s="59"/>
      <c r="H395" s="59"/>
      <c r="I395" s="59"/>
      <c r="J395" s="100"/>
      <c r="K395" s="109"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5.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100"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1" t="s">
        <v>7270</v>
      </c>
      <c r="G396" s="59" t="s">
        <v>7271</v>
      </c>
      <c r="H396" s="59" t="s">
        <v>7272</v>
      </c>
      <c r="I396" s="59" t="s">
        <v>6999</v>
      </c>
      <c r="J396" s="100"/>
      <c r="K396" s="109"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5.5" customHeight="1">
      <c r="A397" s="75" t="str">
        <f>IF(games!A397="", "", games!A397)</f>
        <v>軟泥星球</v>
      </c>
      <c r="B397" s="59"/>
      <c r="C397" s="59" t="str">
        <f t="shared" si="16"/>
        <v>giftcodesbanner/軟泥星球-禮包碼.jpg</v>
      </c>
      <c r="D397" s="59" t="str">
        <f t="shared" si="17"/>
        <v>https://www.ssbuy.tw/gift-codes.html?game=軟泥星球</v>
      </c>
      <c r="E397" s="100"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8" t="s">
        <v>7111</v>
      </c>
      <c r="G397" s="59" t="s">
        <v>7263</v>
      </c>
      <c r="H397" s="59" t="s">
        <v>6999</v>
      </c>
      <c r="J397" s="100"/>
      <c r="K397" s="109" t="s">
        <v>6354</v>
      </c>
      <c r="L397" s="59" t="s">
        <v>5507</v>
      </c>
      <c r="M397" s="61" t="s">
        <v>7262</v>
      </c>
      <c r="N397" s="62"/>
      <c r="O397" s="61" t="s">
        <v>6065</v>
      </c>
      <c r="P397" s="62"/>
      <c r="Q397" s="61" t="s">
        <v>2056</v>
      </c>
      <c r="R397" s="62"/>
      <c r="S397" s="61" t="s">
        <v>6390</v>
      </c>
      <c r="T397" s="62"/>
      <c r="U397" s="61" t="s">
        <v>1933</v>
      </c>
      <c r="V397" s="62"/>
      <c r="W397" s="61" t="s">
        <v>7383</v>
      </c>
      <c r="X397" s="62"/>
      <c r="Y397" s="61" t="s">
        <v>7384</v>
      </c>
      <c r="Z397" s="62"/>
      <c r="AA397" s="61" t="s">
        <v>7385</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5.5" customHeight="1">
      <c r="A398" s="75" t="str">
        <f>IF(games!A398="", "", games!A398)</f>
        <v>K-Demon Hunter</v>
      </c>
      <c r="B398" s="59"/>
      <c r="C398" s="59" t="str">
        <f t="shared" si="16"/>
        <v>giftcodesbanner/K-Demon Hunter-禮包碼.jpg</v>
      </c>
      <c r="D398" s="59" t="str">
        <f t="shared" si="17"/>
        <v>https://www.ssbuy.tw/gift-codes.html?game=K-Demon Hunter</v>
      </c>
      <c r="E398" s="100"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1" t="s">
        <v>5236</v>
      </c>
      <c r="G398" s="59"/>
      <c r="H398" s="59"/>
      <c r="I398" s="59"/>
      <c r="J398" s="100"/>
      <c r="K398" s="109" t="s">
        <v>6354</v>
      </c>
      <c r="L398" s="59" t="s">
        <v>5507</v>
      </c>
      <c r="M398" s="61" t="s">
        <v>7394</v>
      </c>
      <c r="N398" s="62"/>
      <c r="O398" s="61" t="s">
        <v>7395</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5.5" customHeight="1">
      <c r="A399" s="75" t="str">
        <f>IF(games!A399="", "", games!A399)</f>
        <v>傾世仙姬</v>
      </c>
      <c r="B399" s="59"/>
      <c r="C399" s="59" t="str">
        <f t="shared" si="16"/>
        <v>giftcodesbanner/傾世仙姬-禮包碼.jpg</v>
      </c>
      <c r="D399" s="59" t="str">
        <f t="shared" si="17"/>
        <v>https://www.ssbuy.tw/gift-codes.html?game=傾世仙姬</v>
      </c>
      <c r="E399" s="100"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8" t="s">
        <v>7307</v>
      </c>
      <c r="G399" s="59" t="s">
        <v>7308</v>
      </c>
      <c r="H399" s="59" t="s">
        <v>6999</v>
      </c>
      <c r="I399" s="59"/>
      <c r="J399" s="100"/>
      <c r="K399" s="109"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7380</v>
      </c>
      <c r="AF399" s="62"/>
      <c r="AG399" s="61" t="s">
        <v>7381</v>
      </c>
      <c r="AH399" s="62"/>
      <c r="AI399" s="61" t="s">
        <v>7382</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5.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100"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1" t="s">
        <v>7358</v>
      </c>
      <c r="G400" s="59" t="s">
        <v>7359</v>
      </c>
      <c r="H400" s="59" t="s">
        <v>6999</v>
      </c>
      <c r="I400" s="59" t="s">
        <v>7368</v>
      </c>
      <c r="J400" s="100"/>
      <c r="K400" s="109" t="s">
        <v>6354</v>
      </c>
      <c r="L400" s="59" t="s">
        <v>5507</v>
      </c>
      <c r="M400" s="61" t="s">
        <v>7360</v>
      </c>
      <c r="N400" s="62"/>
      <c r="O400" s="61" t="s">
        <v>7361</v>
      </c>
      <c r="P400" s="62"/>
      <c r="Q400" s="61" t="s">
        <v>7362</v>
      </c>
      <c r="R400" s="62"/>
      <c r="S400" s="61" t="s">
        <v>7363</v>
      </c>
      <c r="T400" s="62"/>
      <c r="U400" s="61" t="s">
        <v>7364</v>
      </c>
      <c r="V400" s="62"/>
      <c r="W400" s="61" t="s">
        <v>7365</v>
      </c>
      <c r="X400" s="62"/>
      <c r="Y400" s="61" t="s">
        <v>7366</v>
      </c>
      <c r="Z400" s="62"/>
      <c r="AA400" s="61" t="s">
        <v>7367</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5.5" customHeight="1">
      <c r="A401" s="75" t="str">
        <f>IF(games!A401="", "", games!A401)</f>
        <v>魔法門：命運</v>
      </c>
      <c r="B401" s="59"/>
      <c r="C401" s="59" t="str">
        <f t="shared" si="16"/>
        <v>giftcodesbanner/魔法門：命運-禮包碼.jpg</v>
      </c>
      <c r="D401" s="59" t="str">
        <f t="shared" si="17"/>
        <v>https://www.ssbuy.tw/gift-codes.html?game=魔法門：命運</v>
      </c>
      <c r="E401" s="100"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1" t="s">
        <v>5236</v>
      </c>
      <c r="G401" s="59"/>
      <c r="H401" s="59"/>
      <c r="I401" s="59"/>
      <c r="J401" s="100"/>
      <c r="K401" s="109"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5.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100"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1" t="s">
        <v>5236</v>
      </c>
      <c r="G402" s="59"/>
      <c r="H402" s="59"/>
      <c r="I402" s="59"/>
      <c r="J402" s="100"/>
      <c r="K402" s="109"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5.5" customHeight="1">
      <c r="A403" s="75" t="str">
        <f>IF(games!A403="", "", games!A403)</f>
        <v>喵喵特工隊</v>
      </c>
      <c r="B403" s="59"/>
      <c r="C403" s="59" t="str">
        <f t="shared" si="16"/>
        <v>giftcodesbanner/喵喵特工隊-禮包碼.jpg</v>
      </c>
      <c r="D403" s="59" t="str">
        <f t="shared" si="17"/>
        <v>https://www.ssbuy.tw/gift-codes.html?game=喵喵特工隊</v>
      </c>
      <c r="E403" s="100"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8" t="s">
        <v>7297</v>
      </c>
      <c r="G403" s="59" t="s">
        <v>7298</v>
      </c>
      <c r="H403" s="59" t="s">
        <v>6999</v>
      </c>
      <c r="I403" s="59"/>
      <c r="J403" s="100"/>
      <c r="K403" s="109"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6" t="s">
        <v>7357</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5.5" customHeight="1">
      <c r="A404" s="75" t="str">
        <f>IF(games!A404="", "", games!A404)</f>
        <v>千年3D：經典重生</v>
      </c>
      <c r="B404" s="59"/>
      <c r="C404" s="59" t="str">
        <f t="shared" si="16"/>
        <v>giftcodesbanner/千年3D：經典重生-禮包碼.jpg</v>
      </c>
      <c r="D404" s="59" t="str">
        <f t="shared" si="17"/>
        <v>https://www.ssbuy.tw/gift-codes.html?game=千年3D：經典重生</v>
      </c>
      <c r="E404" s="100"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1" t="s">
        <v>7358</v>
      </c>
      <c r="G404" s="59" t="s">
        <v>7359</v>
      </c>
      <c r="H404" s="59" t="s">
        <v>6999</v>
      </c>
      <c r="I404" s="59"/>
      <c r="J404" s="100"/>
      <c r="K404" s="109" t="s">
        <v>6354</v>
      </c>
      <c r="L404" s="59" t="s">
        <v>5507</v>
      </c>
      <c r="M404" s="61" t="s">
        <v>7327</v>
      </c>
      <c r="N404" s="62"/>
      <c r="O404" s="61" t="s">
        <v>7369</v>
      </c>
      <c r="P404" s="62"/>
      <c r="Q404" s="61" t="s">
        <v>7370</v>
      </c>
      <c r="R404" s="62"/>
      <c r="S404" s="61" t="s">
        <v>7371</v>
      </c>
      <c r="T404" s="62"/>
      <c r="U404" s="61" t="s">
        <v>7372</v>
      </c>
      <c r="V404" s="62"/>
      <c r="W404" s="61" t="s">
        <v>7373</v>
      </c>
      <c r="X404" s="62"/>
      <c r="Y404" s="61" t="s">
        <v>7374</v>
      </c>
      <c r="Z404" s="62"/>
      <c r="AA404" s="76" t="s">
        <v>7376</v>
      </c>
      <c r="AB404" s="62"/>
      <c r="AC404" s="61" t="s">
        <v>7375</v>
      </c>
      <c r="AD404" s="62"/>
      <c r="AE404" s="61" t="s">
        <v>7377</v>
      </c>
      <c r="AF404" s="62"/>
      <c r="AG404" s="61" t="s">
        <v>7378</v>
      </c>
      <c r="AH404" s="62"/>
      <c r="AI404" s="61" t="s">
        <v>7379</v>
      </c>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5.5" customHeight="1">
      <c r="A405" s="75" t="str">
        <f>IF(games!A405="", "", games!A405)</f>
        <v>虹彩六號M</v>
      </c>
      <c r="B405" s="59"/>
      <c r="C405" s="59" t="str">
        <f t="shared" si="16"/>
        <v>giftcodesbanner/虹彩六號M-禮包碼.jpg</v>
      </c>
      <c r="D405" s="59" t="str">
        <f t="shared" si="17"/>
        <v>https://www.ssbuy.tw/gift-codes.html?game=虹彩六號M</v>
      </c>
      <c r="E405" s="100"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1" t="s">
        <v>7421</v>
      </c>
      <c r="G405" s="59" t="s">
        <v>7422</v>
      </c>
      <c r="H405" s="59" t="s">
        <v>7423</v>
      </c>
      <c r="I405" s="59"/>
      <c r="J405" s="100"/>
      <c r="K405" s="109" t="s">
        <v>6354</v>
      </c>
      <c r="L405" s="59" t="s">
        <v>5507</v>
      </c>
      <c r="M405" s="61"/>
      <c r="N405" s="62" t="s">
        <v>7420</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5.5" customHeight="1">
      <c r="A406" s="75" t="str">
        <f>IF(games!A406="", "", games!A406)</f>
        <v>勇者來開團</v>
      </c>
      <c r="B406" s="59"/>
      <c r="C406" s="59" t="str">
        <f t="shared" si="16"/>
        <v>giftcodesbanner/勇者來開團-禮包碼.jpg</v>
      </c>
      <c r="D406" s="59" t="str">
        <f t="shared" si="17"/>
        <v>https://www.ssbuy.tw/gift-codes.html?game=勇者來開團</v>
      </c>
      <c r="E406" s="100"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1" t="s">
        <v>7478</v>
      </c>
      <c r="G406" s="59" t="s">
        <v>7479</v>
      </c>
      <c r="H406" s="59" t="s">
        <v>6999</v>
      </c>
      <c r="I406" s="59"/>
      <c r="J406" s="100"/>
      <c r="K406" s="109" t="s">
        <v>6354</v>
      </c>
      <c r="L406" s="59" t="s">
        <v>5507</v>
      </c>
      <c r="M406" s="61" t="s">
        <v>7434</v>
      </c>
      <c r="N406" s="62"/>
      <c r="O406" s="61" t="s">
        <v>7435</v>
      </c>
      <c r="P406" s="62"/>
      <c r="Q406" s="61" t="s">
        <v>7436</v>
      </c>
      <c r="R406" s="62"/>
      <c r="S406" s="61"/>
      <c r="T406" s="62"/>
      <c r="U406" s="61"/>
      <c r="V406" s="62"/>
      <c r="W406" s="61"/>
      <c r="X406" s="62"/>
      <c r="Y406" s="61"/>
      <c r="Z406" s="62"/>
      <c r="AA406" s="61"/>
      <c r="AB406" s="62"/>
      <c r="AC406" s="61"/>
      <c r="AD406" s="62"/>
      <c r="AE406" s="61"/>
      <c r="AF406" s="62"/>
      <c r="AG406" s="61"/>
      <c r="AH406" s="62"/>
      <c r="AI406" s="61"/>
      <c r="AJ406" s="62"/>
      <c r="AK406" s="61"/>
      <c r="AL406" s="62"/>
      <c r="AM406" s="61"/>
      <c r="AN406" s="62"/>
      <c r="AO406" s="61"/>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5.5" customHeight="1">
      <c r="A407" s="75" t="str">
        <f>IF(games!A407="", "", games!A407)</f>
        <v>Medabots Survivors</v>
      </c>
      <c r="B407" s="59"/>
      <c r="C407" s="59" t="str">
        <f t="shared" si="16"/>
        <v>giftcodesbanner/Medabots Survivors-禮包碼.jpg</v>
      </c>
      <c r="D407" s="59" t="str">
        <f t="shared" si="17"/>
        <v>https://www.ssbuy.tw/gift-codes.html?game=Medabots Survivors</v>
      </c>
      <c r="E407" s="100"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1" t="s">
        <v>5236</v>
      </c>
      <c r="G407" s="59"/>
      <c r="H407" s="59"/>
      <c r="I407" s="59"/>
      <c r="J407" s="100"/>
      <c r="K407" s="109"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5.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100"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1" t="s">
        <v>5236</v>
      </c>
      <c r="G408" s="59"/>
      <c r="H408" s="59"/>
      <c r="I408" s="59"/>
      <c r="J408" s="100"/>
      <c r="K408" s="109"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5.5" customHeight="1">
      <c r="A409" s="75" t="str">
        <f>IF(games!A409="", "", games!A409)</f>
        <v>物華彌新</v>
      </c>
      <c r="B409" s="59"/>
      <c r="C409" s="59" t="str">
        <f t="shared" si="16"/>
        <v>giftcodesbanner/物華彌新-禮包碼.jpg</v>
      </c>
      <c r="D409" s="59" t="str">
        <f t="shared" si="17"/>
        <v>https://www.ssbuy.tw/gift-codes.html?game=物華彌新</v>
      </c>
      <c r="E409" s="100"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1" t="s">
        <v>7478</v>
      </c>
      <c r="G409" s="59" t="s">
        <v>7494</v>
      </c>
      <c r="H409" s="59" t="s">
        <v>6999</v>
      </c>
      <c r="I409" s="59"/>
      <c r="J409" s="100"/>
      <c r="K409" s="109" t="s">
        <v>6354</v>
      </c>
      <c r="L409" s="59" t="s">
        <v>5507</v>
      </c>
      <c r="M409" s="61" t="s">
        <v>7487</v>
      </c>
      <c r="N409" s="62" t="s">
        <v>7491</v>
      </c>
      <c r="O409" s="61" t="s">
        <v>7488</v>
      </c>
      <c r="P409" s="62" t="s">
        <v>7492</v>
      </c>
      <c r="Q409" s="61" t="s">
        <v>7489</v>
      </c>
      <c r="R409" s="62" t="s">
        <v>7491</v>
      </c>
      <c r="S409" s="61" t="s">
        <v>7490</v>
      </c>
      <c r="T409" s="62" t="s">
        <v>7493</v>
      </c>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5.5" customHeight="1">
      <c r="A410" s="75" t="str">
        <f>IF(games!A410="", "", games!A410)</f>
        <v>進擊的喵喵</v>
      </c>
      <c r="B410" s="59"/>
      <c r="C410" s="59" t="str">
        <f t="shared" si="16"/>
        <v>giftcodesbanner/進擊的喵喵-禮包碼.jpg</v>
      </c>
      <c r="D410" s="59" t="str">
        <f t="shared" si="17"/>
        <v>https://www.ssbuy.tw/gift-codes.html?game=進擊的喵喵</v>
      </c>
      <c r="E410" s="100"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1" t="s">
        <v>5236</v>
      </c>
      <c r="G410" s="59"/>
      <c r="H410" s="59"/>
      <c r="I410" s="59"/>
      <c r="J410" s="100"/>
      <c r="K410" s="109"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5.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100"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8" t="s">
        <v>7505</v>
      </c>
      <c r="G411" s="59" t="s">
        <v>7511</v>
      </c>
      <c r="H411" s="4" t="s">
        <v>7512</v>
      </c>
      <c r="I411" s="59" t="s">
        <v>6999</v>
      </c>
      <c r="J411" s="100"/>
      <c r="K411" s="109" t="s">
        <v>6354</v>
      </c>
      <c r="L411" s="59" t="s">
        <v>5507</v>
      </c>
      <c r="M411" s="61" t="s">
        <v>7504</v>
      </c>
      <c r="N411" s="62"/>
      <c r="O411" s="61" t="s">
        <v>7506</v>
      </c>
      <c r="P411" s="62"/>
      <c r="Q411" s="61" t="s">
        <v>7507</v>
      </c>
      <c r="R411" s="62"/>
      <c r="S411" s="61" t="s">
        <v>7508</v>
      </c>
      <c r="T411" s="62"/>
      <c r="U411" s="61" t="s">
        <v>7509</v>
      </c>
      <c r="V411" s="62"/>
      <c r="W411" s="61" t="s">
        <v>7510</v>
      </c>
      <c r="X411" s="62"/>
      <c r="Y411" s="61" t="s">
        <v>7513</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5.5" customHeight="1">
      <c r="A412" s="75" t="str">
        <f>IF(games!A412="", "", games!A412)</f>
        <v/>
      </c>
      <c r="B412" s="59"/>
      <c r="C412" s="59" t="str">
        <f t="shared" si="16"/>
        <v/>
      </c>
      <c r="D412" s="59" t="str">
        <f t="shared" si="17"/>
        <v/>
      </c>
      <c r="E412" s="100" t="str">
        <f>IF(games!I412&lt;&gt;"", games!I412, "")</f>
        <v/>
      </c>
      <c r="F412" s="118"/>
      <c r="G412" s="59"/>
      <c r="H412" s="59"/>
      <c r="I412" s="59"/>
      <c r="J412" s="100"/>
      <c r="K412" s="101"/>
      <c r="L412" s="59"/>
      <c r="M412" s="61"/>
      <c r="N412" s="62"/>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5.5" customHeight="1">
      <c r="A413" s="75" t="str">
        <f>IF(games!A413="", "", games!A413)</f>
        <v/>
      </c>
      <c r="B413" s="59"/>
      <c r="C413" s="59" t="str">
        <f t="shared" si="16"/>
        <v/>
      </c>
      <c r="D413" s="59" t="str">
        <f t="shared" si="17"/>
        <v/>
      </c>
      <c r="E413" s="100" t="str">
        <f>IF(games!I413&lt;&gt;"", games!I413, "")</f>
        <v/>
      </c>
      <c r="F413" s="118"/>
      <c r="G413" s="59"/>
      <c r="H413" s="59"/>
      <c r="I413" s="59"/>
      <c r="J413" s="100"/>
      <c r="K413" s="101"/>
      <c r="L413" s="59"/>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5.5" customHeight="1">
      <c r="A414" s="75" t="str">
        <f>IF(games!A414="", "", games!A414)</f>
        <v/>
      </c>
      <c r="B414" s="59"/>
      <c r="C414" s="59" t="str">
        <f t="shared" si="16"/>
        <v/>
      </c>
      <c r="D414" s="59" t="str">
        <f t="shared" si="17"/>
        <v/>
      </c>
      <c r="E414" s="100" t="str">
        <f>IF(games!I414&lt;&gt;"", games!I414, "")</f>
        <v/>
      </c>
      <c r="F414" s="118"/>
      <c r="G414" s="59"/>
      <c r="H414" s="59"/>
      <c r="I414" s="59"/>
      <c r="J414" s="100"/>
      <c r="K414" s="101"/>
      <c r="L414" s="59"/>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5.5" customHeight="1">
      <c r="A415" s="75" t="str">
        <f>IF(games!A415="", "", games!A415)</f>
        <v/>
      </c>
      <c r="B415" s="59"/>
      <c r="C415" s="59" t="str">
        <f t="shared" si="16"/>
        <v/>
      </c>
      <c r="D415" s="59" t="str">
        <f t="shared" si="17"/>
        <v/>
      </c>
      <c r="E415" s="100" t="str">
        <f>IF(games!I415&lt;&gt;"", games!I415, "")</f>
        <v/>
      </c>
      <c r="F415" s="118"/>
      <c r="G415" s="59"/>
      <c r="H415" s="59"/>
      <c r="I415" s="59"/>
      <c r="J415" s="100"/>
      <c r="K415" s="101"/>
      <c r="L415" s="59"/>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5.5" customHeight="1">
      <c r="A416" s="75" t="str">
        <f>IF(games!A416="", "", games!A416)</f>
        <v/>
      </c>
      <c r="B416" s="59"/>
      <c r="C416" s="59" t="str">
        <f t="shared" si="16"/>
        <v/>
      </c>
      <c r="D416" s="59" t="str">
        <f t="shared" si="17"/>
        <v/>
      </c>
      <c r="E416" s="100" t="str">
        <f>IF(games!I416&lt;&gt;"", games!I416, "")</f>
        <v/>
      </c>
      <c r="F416" s="118"/>
      <c r="G416" s="59"/>
      <c r="H416" s="59"/>
      <c r="I416" s="59"/>
      <c r="J416" s="100"/>
      <c r="K416" s="101"/>
      <c r="L416" s="59"/>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5.5" customHeight="1">
      <c r="A417" s="75" t="str">
        <f>IF(games!A417="", "", games!A417)</f>
        <v/>
      </c>
      <c r="B417" s="59"/>
      <c r="C417" s="59" t="str">
        <f t="shared" si="16"/>
        <v/>
      </c>
      <c r="D417" s="59" t="str">
        <f t="shared" si="17"/>
        <v/>
      </c>
      <c r="E417" s="100" t="str">
        <f>IF(games!I417&lt;&gt;"", games!I417, "")</f>
        <v/>
      </c>
      <c r="F417" s="118"/>
      <c r="G417" s="59"/>
      <c r="H417" s="59"/>
      <c r="I417" s="59"/>
      <c r="J417" s="100"/>
      <c r="K417" s="101"/>
      <c r="L417" s="59"/>
      <c r="M417" s="61"/>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5.5" customHeight="1">
      <c r="A418" s="75" t="str">
        <f>IF(games!A418="", "", games!A418)</f>
        <v/>
      </c>
      <c r="B418" s="59"/>
      <c r="C418" s="59" t="str">
        <f t="shared" si="16"/>
        <v/>
      </c>
      <c r="D418" s="59" t="str">
        <f t="shared" si="17"/>
        <v/>
      </c>
      <c r="E418" s="100" t="str">
        <f>IF(games!I418&lt;&gt;"", games!I418, "")</f>
        <v/>
      </c>
      <c r="F418" s="118"/>
      <c r="G418" s="59"/>
      <c r="H418" s="59"/>
      <c r="I418" s="59"/>
      <c r="J418" s="100"/>
      <c r="K418" s="101"/>
      <c r="L418" s="59"/>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5.5" customHeight="1">
      <c r="A419" s="75"/>
      <c r="B419" s="59"/>
      <c r="C419" s="59" t="str">
        <f t="shared" si="16"/>
        <v/>
      </c>
      <c r="D419" s="59" t="str">
        <f t="shared" si="17"/>
        <v/>
      </c>
      <c r="E419" s="100" t="str">
        <f>IF(games!I419&lt;&gt;"", games!I419, "")</f>
        <v/>
      </c>
      <c r="F419" s="118"/>
      <c r="G419" s="59"/>
      <c r="H419" s="59"/>
      <c r="I419" s="59"/>
      <c r="J419" s="100"/>
      <c r="K419" s="101"/>
      <c r="L419" s="59"/>
      <c r="M419" s="61"/>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c r="A420" s="75"/>
      <c r="B420" s="59"/>
      <c r="C420" s="59" t="str">
        <f t="shared" si="16"/>
        <v/>
      </c>
      <c r="D420" s="59" t="str">
        <f t="shared" si="17"/>
        <v/>
      </c>
      <c r="E420" s="100"/>
      <c r="F420" s="118"/>
      <c r="G420" s="59"/>
      <c r="H420" s="59"/>
      <c r="I420" s="59"/>
      <c r="J420" s="100"/>
      <c r="K420" s="101"/>
      <c r="L420" s="59"/>
      <c r="M420" s="61"/>
      <c r="N420" s="62"/>
      <c r="O420" s="61"/>
      <c r="P420" s="62"/>
      <c r="Q420" s="61"/>
      <c r="R420" s="62"/>
      <c r="S420" s="61"/>
      <c r="T420" s="62"/>
      <c r="U420" s="61"/>
      <c r="V420" s="62"/>
      <c r="W420" s="61"/>
      <c r="X420" s="62"/>
      <c r="Y420" s="61"/>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c r="A421" s="75"/>
      <c r="B421" s="59"/>
      <c r="C421" s="59" t="str">
        <f t="shared" si="16"/>
        <v/>
      </c>
      <c r="D421" s="59" t="str">
        <f t="shared" si="17"/>
        <v/>
      </c>
      <c r="E421" s="100"/>
      <c r="F421" s="118"/>
      <c r="G421" s="59"/>
      <c r="H421" s="59"/>
      <c r="I421" s="59"/>
      <c r="J421" s="100"/>
      <c r="K421" s="101"/>
      <c r="L421" s="59"/>
      <c r="M421" s="61"/>
      <c r="N421" s="62"/>
      <c r="O421" s="61"/>
      <c r="P421" s="62"/>
      <c r="Q421" s="61"/>
      <c r="R421" s="62"/>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c r="A422" s="75"/>
      <c r="B422" s="59"/>
      <c r="C422" s="59" t="str">
        <f t="shared" si="16"/>
        <v/>
      </c>
      <c r="D422" s="59" t="str">
        <f t="shared" si="17"/>
        <v/>
      </c>
      <c r="E422" s="100"/>
      <c r="F422" s="118"/>
      <c r="G422" s="59"/>
      <c r="H422" s="59"/>
      <c r="I422" s="59"/>
      <c r="J422" s="100"/>
      <c r="K422" s="101"/>
      <c r="L422" s="59"/>
      <c r="M422" s="61"/>
      <c r="N422" s="62"/>
      <c r="O422" s="61"/>
      <c r="P422" s="62"/>
      <c r="Q422" s="61"/>
      <c r="R422" s="62"/>
      <c r="S422" s="61"/>
      <c r="T422" s="62"/>
      <c r="U422" s="61"/>
      <c r="V422" s="62"/>
      <c r="W422" s="61"/>
      <c r="X422" s="62"/>
      <c r="Y422" s="61"/>
      <c r="Z422" s="62"/>
      <c r="AA422" s="61"/>
      <c r="AB422" s="62"/>
      <c r="AC422" s="61"/>
      <c r="AD422" s="62"/>
      <c r="AE422" s="61"/>
      <c r="AF422" s="62"/>
      <c r="AG422" s="61"/>
      <c r="AH422" s="62"/>
      <c r="AI422" s="61"/>
      <c r="AJ422" s="62"/>
      <c r="AK422" s="61"/>
      <c r="AL422" s="62"/>
      <c r="AM422" s="61"/>
      <c r="AN422" s="62"/>
      <c r="AO422" s="61"/>
      <c r="AP422" s="62"/>
      <c r="AQ422" s="61"/>
      <c r="AR422" s="62"/>
      <c r="AS422" s="61"/>
      <c r="AT422" s="62"/>
      <c r="AU422" s="61"/>
      <c r="AV422" s="62"/>
      <c r="AW422" s="61"/>
      <c r="AX422" s="62"/>
      <c r="AY422" s="61"/>
      <c r="AZ422" s="62"/>
      <c r="BA422" s="61"/>
      <c r="BB422" s="59"/>
      <c r="BC422" s="61"/>
      <c r="BD422" s="59"/>
      <c r="BE422" s="61"/>
      <c r="BF422" s="59"/>
      <c r="BG422" s="61"/>
      <c r="BH422" s="59"/>
      <c r="BI422" s="61"/>
      <c r="BJ422" s="59"/>
      <c r="BK422" s="61"/>
      <c r="BL422" s="59"/>
      <c r="BM422" s="61"/>
      <c r="BN422" s="59"/>
      <c r="BO422" s="61"/>
      <c r="BP422" s="59"/>
      <c r="BQ422" s="61"/>
      <c r="BR422" s="63"/>
    </row>
    <row r="423" spans="1:70">
      <c r="A423" s="93"/>
      <c r="B423" s="94"/>
      <c r="C423" s="94" t="str">
        <f t="shared" si="16"/>
        <v/>
      </c>
      <c r="D423" s="94" t="str">
        <f t="shared" si="17"/>
        <v/>
      </c>
      <c r="E423" s="111"/>
      <c r="F423" s="122"/>
      <c r="G423" s="94"/>
      <c r="H423" s="94"/>
      <c r="I423" s="94"/>
      <c r="J423" s="111"/>
      <c r="K423" s="112"/>
      <c r="L423" s="94"/>
      <c r="M423" s="95"/>
      <c r="N423" s="96"/>
      <c r="O423" s="95"/>
      <c r="P423" s="96"/>
      <c r="Q423" s="95"/>
      <c r="R423" s="96"/>
      <c r="S423" s="95"/>
      <c r="T423" s="96"/>
      <c r="U423" s="95"/>
      <c r="V423" s="96"/>
      <c r="W423" s="95"/>
      <c r="X423" s="96"/>
      <c r="Y423" s="95"/>
      <c r="Z423" s="96"/>
      <c r="AA423" s="95"/>
      <c r="AB423" s="96"/>
      <c r="AC423" s="95"/>
      <c r="AD423" s="96"/>
      <c r="AE423" s="95"/>
      <c r="AF423" s="96"/>
      <c r="AG423" s="95"/>
      <c r="AH423" s="96"/>
      <c r="AI423" s="95"/>
      <c r="AJ423" s="96"/>
      <c r="AK423" s="95"/>
      <c r="AL423" s="96"/>
      <c r="AM423" s="95"/>
      <c r="AN423" s="96"/>
      <c r="AO423" s="95"/>
      <c r="AP423" s="96"/>
      <c r="AQ423" s="95"/>
      <c r="AR423" s="96"/>
      <c r="AS423" s="95"/>
      <c r="AT423" s="96"/>
      <c r="AU423" s="95"/>
      <c r="AV423" s="96"/>
      <c r="AW423" s="95"/>
      <c r="AX423" s="96"/>
      <c r="AY423" s="95"/>
      <c r="AZ423" s="96"/>
      <c r="BA423" s="95"/>
      <c r="BB423" s="94"/>
      <c r="BC423" s="95"/>
      <c r="BD423" s="94"/>
      <c r="BE423" s="95"/>
      <c r="BF423" s="94"/>
      <c r="BG423" s="95"/>
      <c r="BH423" s="94"/>
      <c r="BI423" s="95"/>
      <c r="BJ423" s="94"/>
      <c r="BK423" s="95"/>
      <c r="BL423" s="94"/>
      <c r="BM423" s="95"/>
      <c r="BN423" s="94"/>
      <c r="BO423" s="95"/>
      <c r="BP423" s="94"/>
      <c r="BQ423" s="95"/>
      <c r="BR423" s="97"/>
    </row>
    <row r="424" spans="1:70">
      <c r="A424" s="3"/>
      <c r="B424" s="3"/>
      <c r="C424" s="3"/>
      <c r="D424" s="3"/>
      <c r="E424" s="47"/>
      <c r="F424" s="48"/>
      <c r="G424" s="3"/>
      <c r="H424" s="3"/>
      <c r="I424" s="3"/>
      <c r="J424" s="47"/>
      <c r="K424" s="49"/>
      <c r="L424" s="3"/>
      <c r="M424" s="50"/>
      <c r="N424" s="51"/>
      <c r="O424" s="50"/>
      <c r="P424" s="51"/>
      <c r="Q424" s="50"/>
      <c r="R424" s="51"/>
      <c r="S424" s="50"/>
      <c r="T424" s="51"/>
      <c r="U424" s="50"/>
      <c r="V424" s="51"/>
      <c r="W424" s="50"/>
      <c r="X424" s="51"/>
      <c r="Y424" s="50"/>
      <c r="Z424" s="51"/>
      <c r="AA424" s="50"/>
      <c r="AB424" s="51"/>
      <c r="AC424" s="50"/>
      <c r="AD424" s="51"/>
      <c r="AE424" s="50"/>
      <c r="AF424" s="51"/>
      <c r="AG424" s="50"/>
      <c r="AH424" s="51"/>
      <c r="AI424" s="50"/>
      <c r="AJ424" s="51"/>
      <c r="AK424" s="50"/>
      <c r="AL424" s="51"/>
      <c r="AM424" s="50"/>
      <c r="AN424" s="51"/>
      <c r="AO424" s="50"/>
      <c r="AP424" s="51"/>
      <c r="AQ424" s="50"/>
      <c r="AR424" s="51"/>
      <c r="AS424" s="50"/>
      <c r="AT424" s="51"/>
      <c r="AU424" s="50"/>
      <c r="AV424" s="51"/>
      <c r="AW424" s="50"/>
      <c r="AX424" s="51"/>
      <c r="AY424" s="50"/>
      <c r="AZ424" s="51"/>
      <c r="BA424" s="50"/>
      <c r="BB424" s="3"/>
      <c r="BC424" s="50"/>
      <c r="BD424" s="3"/>
      <c r="BE424" s="50"/>
      <c r="BF424" s="3"/>
      <c r="BG424" s="50"/>
      <c r="BH424" s="3"/>
      <c r="BI424" s="50"/>
      <c r="BJ424" s="3"/>
      <c r="BK424" s="50"/>
      <c r="BL424" s="3"/>
      <c r="BM424" s="50"/>
      <c r="BN424" s="3"/>
      <c r="BO424" s="50"/>
      <c r="BP424" s="3"/>
      <c r="BQ424" s="50"/>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s>
  <pageMargins left="0.7" right="0.7" top="0.75" bottom="0.75" header="0.3" footer="0.3"/>
  <pageSetup paperSize="9" orientation="portrait" r:id="rId14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2026-03-02T12:48:54Z</dcterms:modified>
</cp:coreProperties>
</file>