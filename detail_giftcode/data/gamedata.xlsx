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568" i="3" l="1"/>
  <c r="F557" i="1" l="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A556" i="3"/>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D548" i="3" s="1"/>
  <c r="A549" i="3"/>
  <c r="C549" i="3" s="1"/>
  <c r="A550" i="3"/>
  <c r="D550" i="3" s="1"/>
  <c r="A551" i="3"/>
  <c r="C551" i="3" s="1"/>
  <c r="A552" i="3"/>
  <c r="C552" i="3" s="1"/>
  <c r="A553" i="3"/>
  <c r="C553" i="3" s="1"/>
  <c r="A554" i="3"/>
  <c r="C554" i="3" s="1"/>
  <c r="A555" i="3"/>
  <c r="C555" i="3" s="1"/>
  <c r="C556" i="3"/>
  <c r="A557" i="3"/>
  <c r="C557" i="3" s="1"/>
  <c r="A558" i="3"/>
  <c r="C558" i="3" s="1"/>
  <c r="A559" i="3"/>
  <c r="D559" i="3" s="1"/>
  <c r="A560" i="3"/>
  <c r="D560" i="3" s="1"/>
  <c r="A561" i="3"/>
  <c r="C561" i="3" s="1"/>
  <c r="A562" i="3"/>
  <c r="C562" i="3" s="1"/>
  <c r="A563" i="3"/>
  <c r="C563" i="3" s="1"/>
  <c r="A564" i="3"/>
  <c r="D564" i="3" s="1"/>
  <c r="A565" i="3"/>
  <c r="C565" i="3" s="1"/>
  <c r="A566" i="3"/>
  <c r="D566" i="3" s="1"/>
  <c r="A567" i="3"/>
  <c r="C567" i="3" s="1"/>
  <c r="C568" i="3"/>
  <c r="A569" i="3"/>
  <c r="C569" i="3" s="1"/>
  <c r="A570" i="3"/>
  <c r="C570" i="3" s="1"/>
  <c r="A571" i="3"/>
  <c r="C571" i="3" s="1"/>
  <c r="A572" i="3"/>
  <c r="C572" i="3" s="1"/>
  <c r="A573" i="3"/>
  <c r="C573" i="3" s="1"/>
  <c r="A574" i="3"/>
  <c r="C574" i="3" s="1"/>
  <c r="A575" i="3"/>
  <c r="D575" i="3" s="1"/>
  <c r="A576" i="3"/>
  <c r="C576" i="3" s="1"/>
  <c r="A577" i="3"/>
  <c r="C577" i="3" s="1"/>
  <c r="A578" i="3"/>
  <c r="C578" i="3" s="1"/>
  <c r="A579" i="3"/>
  <c r="C579" i="3" s="1"/>
  <c r="A580" i="3"/>
  <c r="A581" i="3"/>
  <c r="D540" i="3" l="1"/>
  <c r="D490" i="3"/>
  <c r="D563" i="3"/>
  <c r="C532" i="3"/>
  <c r="C465" i="3"/>
  <c r="C575" i="3"/>
  <c r="D475" i="3"/>
  <c r="D572" i="3"/>
  <c r="D555" i="3"/>
  <c r="C512" i="3"/>
  <c r="C559" i="3"/>
  <c r="C496" i="3"/>
  <c r="D553" i="3"/>
  <c r="C480" i="3"/>
  <c r="C508" i="3"/>
  <c r="D556" i="3"/>
  <c r="D524" i="3"/>
  <c r="D469" i="3"/>
  <c r="D445" i="3"/>
  <c r="C501" i="3"/>
  <c r="C533" i="3"/>
  <c r="D500" i="3"/>
  <c r="C544" i="3"/>
  <c r="D522" i="3"/>
  <c r="C454" i="3"/>
  <c r="D429" i="3"/>
  <c r="C564" i="3"/>
  <c r="D477" i="3"/>
  <c r="D453" i="3"/>
  <c r="D571" i="3"/>
  <c r="C517" i="3"/>
  <c r="D484" i="3"/>
  <c r="D437" i="3"/>
  <c r="C438" i="3"/>
  <c r="C528" i="3"/>
  <c r="D506" i="3"/>
  <c r="D461" i="3"/>
  <c r="C485" i="3"/>
  <c r="C548" i="3"/>
  <c r="D516" i="3"/>
  <c r="D538" i="3"/>
  <c r="D579" i="3"/>
  <c r="D569" i="3"/>
  <c r="D492" i="3"/>
  <c r="C470" i="3"/>
  <c r="D459" i="3"/>
  <c r="C519" i="3"/>
  <c r="C456" i="3"/>
  <c r="C440" i="3"/>
  <c r="D565" i="3"/>
  <c r="C560" i="3"/>
  <c r="D549" i="3"/>
  <c r="C513" i="3"/>
  <c r="C481" i="3"/>
  <c r="D471" i="3"/>
  <c r="C450" i="3"/>
  <c r="C434" i="3"/>
  <c r="D570" i="3"/>
  <c r="D554" i="3"/>
  <c r="D539" i="3"/>
  <c r="C534" i="3"/>
  <c r="D523" i="3"/>
  <c r="C518" i="3"/>
  <c r="D507" i="3"/>
  <c r="C502" i="3"/>
  <c r="D491" i="3"/>
  <c r="C486" i="3"/>
  <c r="D476" i="3"/>
  <c r="D460" i="3"/>
  <c r="C455" i="3"/>
  <c r="D444" i="3"/>
  <c r="C439" i="3"/>
  <c r="D428" i="3"/>
  <c r="C423" i="3"/>
  <c r="C503" i="3"/>
  <c r="D449" i="3"/>
  <c r="D433" i="3"/>
  <c r="C566" i="3"/>
  <c r="D422" i="3"/>
  <c r="D443" i="3"/>
  <c r="D427" i="3"/>
  <c r="D574" i="3"/>
  <c r="D558" i="3"/>
  <c r="D543" i="3"/>
  <c r="D527" i="3"/>
  <c r="D511" i="3"/>
  <c r="D495" i="3"/>
  <c r="D479" i="3"/>
  <c r="D464" i="3"/>
  <c r="D448" i="3"/>
  <c r="D432" i="3"/>
  <c r="D421" i="3"/>
  <c r="D552" i="3"/>
  <c r="D521" i="3"/>
  <c r="D505" i="3"/>
  <c r="D489" i="3"/>
  <c r="D474" i="3"/>
  <c r="D458" i="3"/>
  <c r="D442" i="3"/>
  <c r="D426" i="3"/>
  <c r="D568" i="3"/>
  <c r="D573" i="3"/>
  <c r="D557" i="3"/>
  <c r="D542" i="3"/>
  <c r="C537" i="3"/>
  <c r="D526" i="3"/>
  <c r="D510" i="3"/>
  <c r="D494" i="3"/>
  <c r="D463" i="3"/>
  <c r="D447" i="3"/>
  <c r="D431" i="3"/>
  <c r="C535" i="3"/>
  <c r="D578" i="3"/>
  <c r="D562" i="3"/>
  <c r="D547" i="3"/>
  <c r="D531" i="3"/>
  <c r="D515" i="3"/>
  <c r="D499" i="3"/>
  <c r="D483" i="3"/>
  <c r="D468" i="3"/>
  <c r="D452" i="3"/>
  <c r="D436" i="3"/>
  <c r="D420" i="3"/>
  <c r="D567" i="3"/>
  <c r="D551" i="3"/>
  <c r="D536" i="3"/>
  <c r="D520" i="3"/>
  <c r="D504" i="3"/>
  <c r="D488" i="3"/>
  <c r="D473" i="3"/>
  <c r="D457" i="3"/>
  <c r="D441" i="3"/>
  <c r="D425" i="3"/>
  <c r="C550" i="3"/>
  <c r="D541" i="3"/>
  <c r="D525" i="3"/>
  <c r="D509" i="3"/>
  <c r="D493" i="3"/>
  <c r="D478" i="3"/>
  <c r="D462" i="3"/>
  <c r="D446" i="3"/>
  <c r="D430" i="3"/>
  <c r="D577" i="3"/>
  <c r="D561" i="3"/>
  <c r="D546" i="3"/>
  <c r="D530" i="3"/>
  <c r="D514" i="3"/>
  <c r="D498" i="3"/>
  <c r="D482" i="3"/>
  <c r="D467" i="3"/>
  <c r="D451" i="3"/>
  <c r="D435" i="3"/>
  <c r="D419" i="3"/>
  <c r="D487" i="3"/>
  <c r="D472" i="3"/>
  <c r="D424" i="3"/>
  <c r="D576"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<sst xmlns="http://schemas.openxmlformats.org/spreadsheetml/2006/main" count="15478" uniqueCount="9754">
  <si>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</si>
  <si>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</si>
  <si>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</si>
  <si>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</si>
  <si>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</si>
  <si>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</si>
  <si>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</si>
  <si>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</si>
  <si>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</si>
  <si>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</si>
  <si>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</si>
  <si>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</si>
  <si>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</si>
  <si>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</si>
  <si>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</si>
  <si>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</si>
  <si>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</si>
  <si>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</si>
  <si>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</si>
  <si>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</si>
  <si>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</si>
  <si>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</si>
  <si>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</si>
  <si>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</si>
  <si>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</si>
  <si>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</si>
  <si>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</si>
  <si>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</si>
  <si>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</si>
  <si>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</si>
  <si>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</si>
  <si>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</si>
  <si>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</si>
  <si>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</si>
  <si>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</si>
  <si>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</si>
  <si>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</si>
  <si>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</si>
  <si>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</si>
  <si>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</si>
  <si>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</si>
  <si>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</si>
  <si>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</si>
  <si>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</si>
  <si>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</si>
  <si>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</si>
  <si>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</si>
  <si>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</si>
  <si>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</si>
  <si>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</si>
  <si>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</si>
  <si>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</si>
  <si>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</si>
  <si>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</si>
  <si>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</si>
  <si>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</si>
  <si>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</si>
  <si>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</si>
  <si>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</si>
  <si>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</si>
  <si>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</si>
  <si>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</si>
  <si>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</si>
  <si>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</si>
  <si>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</si>
  <si>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</si>
  <si>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</si>
  <si>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</si>
  <si>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</si>
  <si>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</si>
  <si>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</si>
  <si>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</si>
  <si>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</si>
  <si>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</si>
  <si>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</si>
  <si>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</si>
  <si>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</si>
  <si>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</si>
  <si>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</si>
  <si>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</si>
  <si>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</si>
  <si>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</si>
  <si>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</si>
  <si>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</si>
  <si>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</si>
  <si>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</si>
  <si>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</si>
  <si>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</si>
  <si>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</si>
  <si>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</si>
  <si>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</si>
  <si>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</si>
  <si>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</si>
  <si>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</si>
  <si>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</si>
  <si>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</si>
  <si>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</si>
  <si>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</si>
  <si>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</si>
  <si>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</si>
  <si>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</si>
  <si>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</si>
  <si>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</si>
  <si>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</si>
  <si>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</si>
  <si>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</si>
  <si>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</si>
  <si>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</si>
  <si>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</si>
  <si>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</si>
  <si>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</si>
  <si>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</si>
  <si>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</si>
  <si>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</si>
  <si>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</si>
  <si>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</si>
  <si>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</si>
  <si>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</si>
  <si>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</si>
  <si>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</si>
  <si>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</si>
  <si>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</si>
  <si>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</si>
  <si>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</si>
  <si>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</si>
  <si>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</si>
  <si>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</si>
  <si>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</si>
  <si>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</si>
  <si>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</si>
  <si>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</si>
  <si>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</si>
  <si>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</si>
  <si>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</si>
  <si>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</si>
  <si>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</si>
  <si>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</si>
  <si>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</si>
  <si>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</si>
  <si>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</si>
  <si>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</si>
  <si>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</si>
  <si>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</si>
  <si>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</si>
  <si>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</si>
  <si>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</si>
  <si>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</si>
  <si>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</si>
  <si>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</si>
  <si>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</si>
  <si>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</si>
  <si>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</si>
  <si>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</si>
  <si>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</si>
  <si>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</si>
  <si>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</si>
  <si>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</si>
  <si>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</si>
  <si>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</si>
  <si>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</si>
  <si>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</si>
  <si>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</si>
  <si>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</si>
  <si>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</si>
  <si>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</si>
  <si>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</si>
  <si>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</si>
  <si>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</si>
  <si>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</si>
  <si>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</si>
  <si>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</si>
  <si>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</si>
  <si>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</si>
  <si>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</si>
  <si>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</si>
  <si>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</si>
  <si>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</si>
  <si>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</si>
  <si>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</si>
  <si>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</si>
  <si>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</si>
  <si>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</si>
  <si>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</si>
  <si>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</si>
  <si>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</si>
  <si>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</si>
  <si>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</si>
  <si>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</si>
  <si>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</si>
  <si>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</si>
  <si>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</si>
  <si>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</si>
  <si>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</si>
  <si>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</si>
  <si>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</si>
  <si>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</si>
  <si>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</si>
  <si>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</si>
  <si>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</si>
  <si>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</si>
  <si>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</si>
  <si>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</si>
  <si>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</si>
  <si>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</si>
  <si>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</si>
  <si>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</si>
  <si>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</si>
  <si>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</si>
  <si>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</si>
  <si>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</si>
  <si>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</si>
  <si>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</si>
  <si>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</si>
  <si>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</si>
  <si>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</si>
  <si>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</si>
  <si>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</si>
  <si>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</si>
  <si>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</si>
  <si>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</si>
  <si>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</si>
  <si>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</si>
  <si>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</si>
  <si>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</si>
  <si>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</si>
  <si>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</si>
  <si>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</si>
  <si>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</si>
  <si>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</si>
  <si>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</si>
  <si>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</si>
  <si>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</si>
  <si>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</si>
  <si>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</si>
  <si>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</si>
  <si>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</si>
  <si>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</si>
  <si>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</si>
  <si>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</si>
  <si>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</si>
  <si>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</si>
  <si>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</si>
  <si>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</si>
  <si>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</si>
  <si>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</si>
  <si>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</si>
  <si>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</si>
  <si>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</si>
  <si>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</si>
  <si>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</si>
  <si>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</si>
  <si>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</si>
  <si>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</si>
  <si>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</si>
  <si>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</si>
  <si>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</si>
  <si>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</si>
  <si>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</si>
  <si>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</si>
  <si>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</si>
  <si>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</si>
  <si>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</si>
  <si>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</si>
  <si>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</si>
  <si>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</si>
  <si>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</si>
  <si>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</si>
  <si>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</si>
  <si>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</si>
  <si>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</si>
  <si>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</si>
  <si>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</si>
  <si>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</si>
  <si>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</si>
  <si>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</si>
  <si>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</si>
  <si>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</si>
  <si>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</si>
  <si>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</si>
  <si>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</si>
  <si>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</si>
  <si>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</si>
  <si>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</si>
  <si>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</si>
  <si>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</si>
  <si>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</si>
  <si>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</si>
  <si>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</si>
  <si>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</si>
  <si>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</si>
  <si>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</si>
  <si>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</si>
  <si>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</si>
  <si>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</si>
  <si>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</si>
  <si>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</si>
  <si>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</si>
  <si>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</si>
  <si>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</si>
  <si>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</si>
  <si>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</si>
  <si>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</si>
  <si>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</si>
  <si>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</si>
  <si>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</si>
  <si>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</si>
  <si>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</si>
  <si>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</si>
  <si>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</si>
  <si>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</si>
  <si>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</si>
  <si>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</si>
  <si>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</si>
  <si>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</si>
  <si>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</si>
  <si>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</si>
  <si>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</si>
  <si>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</si>
  <si>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</si>
  <si>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</si>
  <si>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</si>
  <si>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</si>
  <si>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</si>
  <si>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</si>
  <si>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</si>
  <si>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</si>
  <si>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</si>
  <si>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</si>
  <si>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</si>
  <si>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</si>
  <si>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</si>
  <si>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</si>
  <si>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</si>
  <si>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</si>
  <si>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</si>
  <si>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</si>
  <si>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</si>
  <si>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</si>
  <si>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</si>
  <si>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</si>
  <si>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</si>
  <si>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</si>
  <si>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</si>
  <si>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</si>
  <si>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</si>
  <si>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</si>
  <si>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</si>
  <si>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</si>
  <si>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</si>
  <si>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</si>
  <si>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</si>
  <si>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</si>
  <si>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</si>
  <si>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</si>
  <si>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</si>
  <si>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</si>
  <si>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</si>
  <si>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</si>
  <si>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</si>
  <si>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</si>
  <si>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</si>
  <si>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</si>
  <si>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</si>
  <si>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</si>
  <si>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</si>
  <si>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</si>
  <si>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</si>
  <si>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</si>
  <si>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</si>
  <si>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</si>
  <si>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</si>
  <si>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</si>
  <si>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</si>
  <si>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</si>
  <si>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</si>
  <si>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</si>
  <si>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</si>
  <si>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</si>
  <si>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</si>
  <si>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</si>
  <si>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</si>
  <si>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</si>
  <si>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</si>
  <si>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</si>
  <si>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</si>
  <si>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</si>
  <si>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</si>
  <si>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</si>
  <si>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</si>
  <si>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</si>
  <si>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</si>
  <si>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</si>
  <si>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</si>
  <si>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</si>
  <si>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</si>
  <si>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</si>
  <si>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</si>
  <si>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</si>
  <si>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</si>
  <si>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</si>
  <si>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</si>
  <si>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</si>
  <si>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</si>
  <si>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</si>
  <si>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</si>
  <si>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</si>
  <si>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</si>
  <si>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</si>
  <si>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</si>
  <si>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</si>
  <si>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</si>
  <si>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</si>
  <si>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</si>
  <si>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</si>
  <si>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</si>
  <si>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</si>
  <si>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</si>
  <si>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</si>
  <si>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</si>
  <si>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</si>
  <si>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</si>
  <si>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</si>
  <si>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</si>
  <si>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</si>
  <si>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</si>
  <si>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</si>
  <si>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</si>
  <si>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</si>
  <si>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</si>
  <si>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</si>
  <si>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</si>
  <si>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</si>
  <si>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</si>
  <si>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</si>
  <si>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</si>
  <si>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</si>
  <si>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</si>
  <si>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</si>
  <si>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</si>
  <si>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</si>
  <si>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</si>
  <si>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</si>
  <si>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</si>
  <si>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</si>
  <si>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</si>
  <si>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</si>
  <si>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</si>
  <si>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</si>
  <si>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</si>
  <si>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</si>
  <si>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</si>
  <si>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</si>
  <si>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</si>
  <si>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</si>
  <si>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</si>
  <si>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</si>
  <si>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</si>
  <si>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</si>
  <si>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</si>
  <si>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</si>
  <si>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</si>
  <si>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</si>
  <si>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</si>
  <si>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</si>
  <si>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</si>
  <si>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</si>
  <si>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</si>
  <si>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</si>
  <si>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</si>
  <si>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</si>
  <si>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</si>
  <si>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</si>
  <si>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</si>
  <si>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</si>
  <si>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</si>
  <si>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</si>
  <si>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</si>
  <si>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</si>
  <si>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</si>
  <si>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</si>
  <si>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</si>
  <si>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</si>
  <si>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</si>
  <si>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</si>
  <si>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</si>
  <si>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</si>
  <si>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</si>
  <si>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</si>
  <si>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</si>
  <si>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</si>
  <si>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</si>
  <si>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</si>
  <si>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</si>
  <si>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</si>
  <si>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</si>
  <si>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</si>
  <si>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</si>
  <si>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</si>
  <si>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</si>
  <si>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</si>
  <si>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</si>
  <si>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</si>
  <si>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</si>
  <si>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</si>
  <si>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</si>
  <si>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</si>
  <si>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</si>
  <si>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</si>
  <si>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</si>
  <si>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</si>
  <si>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</si>
  <si>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</si>
  <si>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</si>
  <si>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</si>
  <si>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</si>
  <si>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</si>
  <si>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</si>
  <si>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</si>
  <si>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</si>
  <si>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</si>
  <si>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</si>
  <si>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</si>
  <si>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</si>
  <si>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</si>
  <si>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</si>
  <si>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</si>
  <si>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</si>
  <si>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</si>
  <si>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</si>
  <si>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</si>
  <si>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</si>
  <si>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</si>
  <si>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</si>
  <si>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</si>
  <si>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</si>
  <si>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</si>
  <si>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</si>
  <si>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</si>
  <si>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</si>
  <si>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</si>
  <si>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</si>
  <si>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</si>
  <si>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</si>
  <si>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</si>
  <si>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</si>
  <si>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</si>
  <si>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</si>
  <si>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</si>
  <si>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</si>
  <si>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</si>
  <si>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</si>
  <si>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</si>
  <si>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</si>
  <si>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</si>
  <si>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</si>
  <si>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</si>
  <si>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</si>
  <si>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</si>
  <si>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</si>
  <si>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</si>
  <si>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</si>
  <si>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</si>
  <si>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</si>
  <si>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</si>
  <si>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</si>
  <si>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</si>
  <si>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</si>
  <si>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</si>
  <si>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</si>
  <si>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</si>
  <si>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</si>
  <si>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</si>
  <si>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</si>
  <si>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</si>
  <si>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</si>
  <si>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</si>
  <si>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</si>
  <si>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</si>
  <si>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</si>
  <si>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</si>
  <si>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</si>
  <si>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</si>
  <si>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</si>
  <si>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</si>
  <si>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</si>
  <si>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</si>
  <si>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</si>
  <si>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</si>
  <si>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</si>
  <si>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</si>
  <si>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</si>
  <si>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</si>
  <si>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</si>
  <si>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</si>
  <si>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</si>
  <si>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</si>
  <si>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</si>
  <si>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</si>
  <si>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</si>
  <si>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</si>
  <si>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</si>
  <si>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</si>
  <si>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</si>
  <si>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</si>
  <si>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</si>
  <si>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</si>
  <si>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</si>
  <si>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</si>
  <si>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</si>
  <si>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</si>
  <si>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</si>
  <si>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</si>
  <si>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</si>
  <si>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</si>
  <si>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</si>
  <si>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</si>
  <si>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</si>
  <si>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</si>
  <si>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</si>
  <si>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</si>
  <si>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</si>
  <si>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</si>
  <si>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</si>
  <si>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</si>
  <si>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</si>
  <si>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</si>
  <si>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</si>
  <si>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</si>
  <si>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</si>
  <si>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</si>
  <si>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</si>
  <si>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</si>
  <si>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</si>
  <si>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</si>
  <si>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</si>
  <si>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</si>
  <si>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</si>
  <si>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</si>
  <si>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</si>
  <si>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</si>
  <si>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</si>
  <si>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</si>
  <si>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</si>
  <si>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</si>
  <si>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</si>
  <si>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</si>
  <si>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</si>
  <si>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</si>
  <si>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</si>
  <si>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</si>
  <si>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</si>
  <si>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</si>
  <si>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</si>
  <si>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</si>
  <si>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</si>
  <si>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</si>
  <si>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</si>
  <si>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</si>
  <si>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</si>
  <si>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</si>
  <si>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</si>
  <si>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</si>
  <si>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</si>
  <si>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</si>
  <si>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</si>
  <si>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</si>
  <si>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</si>
  <si>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</si>
  <si>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</si>
  <si>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</si>
  <si>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</si>
  <si>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</si>
  <si>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</si>
  <si>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</si>
  <si>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</si>
  <si>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</si>
  <si>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</si>
  <si>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</si>
  <si>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</si>
  <si>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</si>
  <si>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</si>
  <si>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</si>
  <si>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</si>
  <si>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</si>
  <si>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</si>
  <si>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</si>
  <si>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</si>
  <si>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</si>
  <si>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</si>
  <si>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</si>
  <si>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</si>
  <si>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</si>
  <si>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</si>
  <si>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</si>
  <si>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</si>
  <si>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</si>
  <si>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</si>
  <si>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</si>
  <si>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</si>
  <si>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</si>
  <si>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</si>
  <si>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</si>
  <si>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</si>
  <si>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</si>
  <si>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</si>
  <si>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</si>
  <si>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</si>
  <si>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</si>
  <si>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</si>
  <si>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</si>
  <si>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</si>
  <si>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</si>
  <si>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</si>
  <si>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</si>
  <si>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</si>
  <si>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</si>
  <si>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</si>
  <si>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</si>
  <si>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</si>
  <si>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</si>
  <si>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</si>
  <si>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</si>
  <si>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</si>
  <si>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</si>
  <si>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</si>
  <si>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</si>
  <si>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</si>
  <si>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</si>
  <si>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</si>
  <si>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</si>
  <si>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</si>
  <si>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</si>
  <si>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</si>
  <si>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</si>
  <si>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</si>
  <si>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</si>
  <si>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</si>
  <si>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</si>
  <si>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</si>
  <si>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</si>
  <si>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</si>
  <si>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</si>
  <si>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</si>
  <si>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</si>
  <si>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</si>
  <si>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</si>
  <si>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</si>
  <si>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</si>
  <si>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</si>
  <si>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</si>
  <si>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</si>
  <si>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</si>
  <si>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</si>
  <si>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</si>
  <si>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</si>
  <si>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</si>
  <si>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</si>
  <si>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</si>
  <si>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</si>
  <si>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</si>
  <si>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</si>
  <si>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</si>
  <si>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</si>
  <si>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</si>
  <si>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</si>
  <si>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</si>
  <si>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</si>
  <si>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</si>
  <si>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</si>
  <si>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</si>
  <si>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</si>
  <si>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</si>
  <si>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</si>
  <si>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</si>
  <si>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</si>
  <si>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</si>
  <si>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</si>
  <si>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</si>
  <si>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</si>
  <si>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</si>
  <si>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</si>
  <si>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</si>
  <si>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</si>
  <si>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</si>
  <si>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</si>
  <si>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</si>
  <si>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</si>
  <si>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</si>
  <si>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</si>
  <si>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</si>
  <si>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</si>
  <si>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</si>
  <si>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</si>
  <si>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</si>
  <si>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</si>
  <si>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</si>
  <si>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</si>
  <si>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</si>
  <si>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</si>
  <si>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</si>
  <si>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</si>
  <si>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</si>
  <si>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</si>
  <si>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</si>
  <si>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</si>
  <si>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</si>
  <si>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</si>
  <si>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</si>
  <si>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</si>
  <si>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</si>
  <si>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</si>
  <si>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</si>
  <si>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</si>
  <si>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</si>
  <si>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</si>
  <si>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</si>
  <si>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</si>
  <si>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</si>
  <si>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</si>
  <si>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</si>
  <si>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</si>
  <si>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</si>
  <si>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</si>
  <si>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</si>
  <si>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</si>
  <si>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</si>
  <si>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</si>
  <si>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</si>
  <si>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</si>
  <si>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</si>
  <si>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</si>
  <si>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</si>
  <si>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</si>
  <si>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</si>
  <si>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</si>
  <si>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</si>
  <si>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</si>
  <si>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</si>
  <si>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</si>
  <si>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</si>
  <si>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</si>
  <si>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</si>
  <si>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</si>
  <si>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</si>
  <si>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</si>
  <si>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</si>
  <si>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</si>
  <si>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</si>
  <si>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</si>
  <si>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</si>
  <si>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</si>
  <si>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</si>
  <si>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</si>
  <si>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</si>
  <si>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</si>
  <si>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</si>
  <si>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</si>
  <si>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</si>
  <si>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</si>
  <si>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</si>
  <si>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</si>
  <si>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</si>
  <si>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</si>
  <si>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</si>
  <si>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</si>
  <si>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</si>
  <si>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</si>
  <si>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</si>
  <si>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</si>
  <si>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</si>
  <si>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</si>
  <si>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</si>
  <si>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</si>
  <si>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</si>
  <si>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</si>
  <si>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</si>
  <si>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</si>
  <si>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</si>
  <si>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</si>
  <si>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</si>
  <si>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</si>
  <si>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</si>
  <si>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</si>
  <si>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</si>
  <si>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</si>
  <si>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</si>
  <si>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</si>
  <si>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</si>
  <si>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</si>
  <si>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</si>
  <si>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</si>
  <si>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</si>
  <si>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</si>
  <si>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</si>
  <si>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</si>
  <si>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</si>
  <si>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</si>
  <si>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</si>
  <si>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</si>
  <si>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</si>
  <si>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</si>
  <si>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</si>
  <si>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</si>
  <si>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</si>
  <si>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</si>
  <si>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</si>
  <si>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</si>
  <si>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</si>
  <si>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</si>
  <si>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</si>
  <si>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</si>
  <si>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</si>
  <si>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</si>
  <si>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</si>
  <si>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</si>
  <si>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</si>
  <si>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</si>
  <si>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</si>
  <si>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</si>
  <si>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</si>
  <si>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</si>
  <si>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</si>
  <si>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</si>
  <si>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</si>
  <si>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</si>
  <si>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</si>
  <si>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</si>
  <si>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</si>
  <si>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</si>
  <si>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</si>
  <si>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</si>
  <si>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</si>
  <si>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</si>
  <si>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</si>
  <si>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</si>
  <si>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</si>
  <si>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</si>
  <si>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</si>
  <si>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</si>
  <si>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</si>
  <si>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</si>
  <si>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</si>
  <si>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</si>
  <si>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</si>
  <si>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</si>
  <si>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</si>
  <si>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</si>
  <si>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</si>
  <si>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</si>
  <si>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</si>
  <si>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</si>
  <si>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</si>
  <si>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</si>
  <si>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</si>
  <si>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</si>
  <si>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</si>
  <si>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</si>
  <si>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</si>
  <si>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</si>
  <si>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</si>
  <si>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</si>
  <si>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</si>
  <si>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</si>
  <si>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</si>
  <si>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</si>
  <si>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</si>
  <si>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</si>
  <si>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</si>
  <si>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</si>
  <si>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</si>
  <si>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</si>
  <si>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</si>
  <si>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</si>
  <si>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</si>
  <si>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</si>
  <si>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</si>
  <si>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</si>
  <si>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</si>
  <si>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</si>
  <si>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</si>
  <si>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</si>
  <si>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</si>
  <si>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</si>
  <si>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</si>
  <si>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</si>
  <si>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</si>
  <si>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</si>
  <si>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</si>
  <si>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</si>
  <si>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</si>
  <si>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</si>
  <si>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</si>
  <si>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</si>
  <si>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</si>
  <si>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</si>
  <si>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</si>
  <si>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</si>
  <si>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</si>
  <si>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</si>
  <si>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</si>
  <si>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</si>
  <si>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</si>
  <si>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</si>
  <si>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</si>
  <si>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</si>
  <si>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</si>
  <si>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</si>
  <si>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</si>
  <si>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</si>
  <si>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</si>
  <si>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</si>
  <si>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</si>
  <si>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</si>
  <si>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</si>
  <si>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</si>
  <si>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</si>
  <si>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</si>
  <si>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</si>
  <si>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</si>
  <si>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</si>
  <si>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</si>
  <si>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</si>
  <si>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</si>
  <si>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</si>
  <si>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</si>
  <si>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</si>
  <si>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</si>
  <si>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</si>
  <si>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</si>
  <si>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</si>
  <si>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</si>
  <si>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</si>
  <si>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</si>
  <si>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</si>
  <si>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</si>
  <si>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</si>
  <si>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</si>
  <si>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</si>
  <si>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</si>
  <si>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</si>
  <si>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</si>
  <si>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</si>
  <si>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</si>
  <si>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</si>
  <si>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</si>
  <si>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</si>
  <si>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</si>
  <si>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</si>
  <si>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</si>
  <si>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</si>
  <si>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</si>
  <si>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</si>
  <si>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</si>
  <si>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</si>
  <si>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</si>
  <si>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</si>
  <si>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</si>
  <si>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</si>
  <si>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</si>
  <si>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</si>
  <si>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</si>
  <si>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</si>
  <si>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</si>
  <si>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</si>
  <si>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</si>
  <si>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</si>
  <si>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</si>
  <si>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</si>
  <si>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</si>
  <si>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</si>
  <si>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</si>
  <si>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</si>
  <si>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</si>
  <si>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</si>
  <si>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</si>
  <si>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</si>
  <si>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</si>
  <si>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</si>
  <si>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</si>
  <si>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</si>
  <si>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</si>
  <si>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</si>
  <si>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</si>
  <si>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</si>
  <si>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</si>
  <si>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</si>
  <si>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</si>
  <si>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</si>
  <si>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</si>
  <si>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</si>
  <si>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</si>
  <si>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</si>
  <si>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</si>
  <si>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</si>
  <si>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</si>
  <si>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</si>
  <si>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</si>
  <si>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</si>
  <si>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</si>
  <si>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</si>
  <si>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</si>
  <si>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</si>
  <si>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</si>
  <si>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</si>
  <si>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</si>
  <si>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</si>
  <si>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</si>
  <si>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</si>
  <si>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</si>
  <si>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</si>
  <si>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</si>
  <si>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</si>
  <si>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</si>
  <si>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</si>
  <si>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</si>
  <si>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</si>
  <si>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</si>
  <si>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</si>
  <si>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</si>
  <si>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</si>
  <si>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</si>
  <si>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</si>
  <si>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</si>
  <si>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</si>
  <si>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</si>
  <si>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</si>
  <si>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</si>
  <si>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</si>
  <si>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</si>
  <si>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</si>
  <si>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</si>
  <si>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</si>
  <si>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</si>
  <si>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</si>
  <si>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</si>
  <si>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</si>
  <si>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</si>
  <si>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</si>
  <si>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</si>
  <si>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</si>
  <si>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</si>
  <si>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</si>
  <si>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</si>
  <si>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</si>
  <si>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</si>
  <si>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</si>
  <si>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</si>
  <si>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</si>
  <si>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</si>
  <si>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</si>
  <si>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</si>
  <si>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</si>
  <si>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</si>
  <si>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</si>
  <si>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</si>
  <si>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</si>
  <si>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</si>
  <si>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</si>
  <si>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</si>
  <si>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</si>
  <si>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</si>
  <si>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</si>
  <si>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</si>
  <si>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</si>
  <si>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</si>
  <si>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</si>
  <si>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</si>
  <si>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</si>
  <si>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</si>
  <si>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</si>
  <si>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</si>
  <si>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</si>
  <si>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</si>
  <si>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</si>
  <si>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</si>
  <si>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</si>
  <si>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</si>
  <si>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</si>
  <si>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</si>
  <si>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</si>
  <si>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</si>
  <si>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</si>
  <si>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</si>
  <si>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</si>
  <si>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</si>
  <si>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</si>
  <si>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</si>
  <si>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</si>
  <si>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</si>
  <si>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</si>
  <si>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</si>
  <si>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</si>
  <si>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</si>
  <si>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</si>
  <si>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</si>
  <si>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</si>
  <si>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</si>
  <si>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</si>
  <si>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</si>
  <si>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</si>
  <si>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</si>
  <si>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</si>
  <si>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</si>
  <si>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</si>
  <si>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</si>
  <si>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</si>
  <si>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</si>
  <si>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</si>
  <si>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</si>
  <si>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</si>
  <si>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</si>
  <si>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</si>
  <si>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</si>
  <si>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</si>
  <si>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</si>
  <si>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</si>
  <si>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</si>
  <si>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</si>
  <si>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</si>
  <si>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</si>
  <si>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</si>
  <si>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</si>
  <si>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</si>
  <si>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</si>
  <si>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</si>
  <si>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</si>
  <si>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</si>
  <si>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</si>
  <si>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</si>
  <si>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</si>
  <si>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</si>
  <si>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</si>
  <si>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</si>
  <si>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</si>
  <si>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</si>
  <si>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</si>
  <si>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</si>
  <si>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</si>
  <si>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</si>
  <si>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</si>
  <si>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</si>
  <si>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</si>
  <si>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</si>
  <si>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</si>
  <si>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</si>
  <si>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</si>
  <si>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</si>
  <si>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</si>
  <si>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</si>
  <si>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</si>
  <si>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</si>
  <si>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</si>
  <si>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</si>
  <si>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</si>
  <si>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</si>
  <si>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</si>
  <si>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</si>
  <si>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</si>
  <si>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</si>
  <si>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</si>
  <si>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</si>
  <si>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</si>
  <si>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</si>
  <si>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</si>
  <si>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</si>
  <si>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</si>
  <si>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</si>
  <si>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</si>
  <si>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</si>
  <si>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</si>
  <si>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</si>
  <si>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</si>
  <si>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</si>
  <si>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</si>
  <si>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</si>
  <si>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</si>
  <si>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</si>
  <si>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</si>
  <si>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</si>
  <si>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</si>
  <si>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</si>
  <si>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</si>
  <si>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</si>
  <si>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</si>
  <si>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</si>
  <si>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</si>
  <si>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</si>
  <si>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</si>
  <si>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</si>
  <si>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</si>
  <si>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</si>
  <si>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</si>
  <si>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</si>
  <si>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</si>
  <si>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</si>
  <si>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</si>
  <si>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</si>
  <si>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</si>
  <si>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</si>
  <si>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</si>
  <si>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</si>
  <si>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</si>
  <si>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</si>
  <si>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</si>
  <si>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</si>
  <si>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</si>
  <si>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</si>
  <si>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</si>
  <si>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</si>
  <si>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</si>
  <si>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</si>
  <si>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</si>
  <si>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</si>
  <si>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</si>
  <si>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</si>
  <si>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</si>
  <si>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</si>
  <si>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</si>
  <si>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</si>
  <si>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</si>
  <si>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</si>
  <si>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</si>
  <si>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</si>
  <si>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</si>
  <si>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</si>
  <si>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</si>
  <si>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</si>
  <si>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</si>
  <si>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</si>
  <si>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</si>
  <si>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</si>
  <si>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</si>
  <si>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</si>
  <si>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</si>
  <si>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</si>
  <si>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</si>
  <si>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</si>
  <si>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</si>
  <si>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</si>
  <si>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</si>
  <si>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</si>
  <si>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</si>
  <si>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</si>
  <si>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</si>
  <si>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</si>
  <si>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</si>
  <si>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</si>
  <si>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</si>
  <si>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</si>
  <si>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</si>
  <si>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</si>
  <si>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</si>
  <si>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</si>
  <si>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</si>
  <si>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</si>
  <si>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</si>
  <si>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</si>
  <si>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</si>
  <si>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</si>
  <si>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</si>
  <si>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</si>
  <si>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</si>
  <si>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</si>
  <si>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</si>
  <si>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</si>
  <si>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</si>
  <si>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</si>
  <si>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</si>
  <si>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</si>
  <si>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</si>
  <si>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</si>
  <si>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</si>
  <si>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</si>
  <si>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</si>
  <si>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</si>
  <si>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</si>
  <si>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</si>
  <si>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</si>
  <si>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</si>
  <si>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</si>
  <si>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</si>
  <si>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</si>
  <si>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</si>
  <si>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</si>
  <si>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</si>
  <si>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</si>
  <si>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</si>
  <si>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</si>
  <si>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</si>
  <si>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</si>
  <si>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</si>
  <si>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</si>
  <si>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</si>
  <si>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</si>
  <si>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</si>
  <si>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</si>
  <si>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</si>
  <si>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</si>
  <si>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</si>
  <si>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</si>
  <si>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</si>
  <si>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</si>
  <si>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</si>
  <si>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</si>
  <si>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</si>
  <si>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</si>
  <si>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</si>
  <si>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</si>
  <si>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</si>
  <si>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</si>
  <si>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</si>
  <si>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</si>
  <si>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</si>
  <si>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</si>
  <si>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</si>
  <si>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</si>
  <si>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</si>
  <si>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</si>
  <si>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</si>
  <si>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</si>
  <si>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</si>
  <si>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</si>
  <si>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</si>
  <si>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</si>
  <si>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</si>
  <si>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</si>
  <si>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</si>
  <si>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</si>
  <si>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</si>
  <si>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</si>
  <si>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</si>
  <si>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</si>
  <si>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</si>
  <si>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</si>
  <si>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</si>
  <si>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</si>
  <si>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</si>
  <si>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</si>
  <si>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</si>
  <si>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</si>
  <si>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</si>
  <si>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</si>
  <si>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</si>
  <si>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</si>
  <si>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</si>
  <si>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</si>
  <si>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</si>
  <si>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</si>
  <si>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</si>
  <si>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</si>
  <si>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</si>
  <si>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</si>
  <si>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</si>
  <si>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</si>
  <si>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</si>
  <si>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</si>
  <si>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</si>
  <si>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</si>
  <si>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</si>
  <si>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</si>
  <si>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</si>
  <si>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</si>
  <si>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</si>
  <si>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</si>
  <si>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</si>
  <si>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</si>
  <si>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</si>
  <si>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</si>
  <si>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</si>
  <si>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</si>
  <si>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</si>
  <si>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</si>
  <si>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</si>
  <si>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</si>
  <si>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</si>
  <si>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</si>
  <si>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</si>
  <si>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</si>
  <si>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</si>
  <si>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</si>
  <si>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</si>
  <si>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</si>
  <si>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</si>
  <si>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</si>
  <si>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</si>
  <si>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</si>
  <si>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</si>
  <si>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</si>
  <si>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</si>
  <si>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</si>
  <si>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</si>
  <si>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</si>
  <si>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</si>
  <si>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</si>
  <si>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</si>
  <si>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</si>
  <si>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</si>
  <si>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</si>
  <si>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</si>
  <si>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</si>
  <si>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</si>
  <si>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</si>
  <si>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</si>
  <si>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</si>
  <si>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</si>
  <si>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</si>
  <si>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</si>
  <si>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</si>
  <si>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</si>
  <si>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</si>
  <si>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</si>
  <si>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</si>
  <si>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</si>
  <si>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</si>
  <si>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</si>
  <si>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</si>
  <si>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</si>
  <si>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</si>
  <si>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</si>
  <si>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</si>
  <si>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</si>
  <si>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</si>
  <si>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</si>
  <si>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</si>
  <si>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</si>
  <si>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</si>
  <si>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</si>
  <si>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</si>
  <si>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</si>
  <si>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</si>
  <si>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</si>
  <si>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</si>
  <si>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</si>
  <si>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</si>
  <si>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</si>
  <si>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</si>
  <si>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</si>
  <si>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</si>
  <si>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</si>
  <si>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</si>
  <si>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</si>
  <si>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</si>
  <si>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</si>
  <si>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</si>
  <si>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</si>
  <si>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</si>
  <si>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</si>
  <si>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</si>
  <si>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</si>
  <si>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</si>
  <si>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</si>
  <si>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</si>
  <si>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</si>
  <si>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</si>
  <si>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</si>
  <si>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</si>
  <si>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</si>
  <si>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</si>
  <si>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</si>
  <si>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</si>
  <si>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</si>
  <si>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</si>
  <si>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</si>
  <si>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</si>
  <si>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</si>
  <si>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</si>
  <si>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</si>
  <si>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</si>
  <si>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</si>
  <si>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</si>
  <si>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</si>
  <si>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</si>
  <si>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</si>
  <si>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</si>
  <si>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</si>
  <si>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</si>
  <si>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</si>
  <si>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</si>
  <si>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</si>
  <si>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</si>
  <si>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</si>
  <si>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</si>
  <si>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</si>
  <si>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</si>
  <si>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</si>
  <si>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</si>
  <si>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</si>
  <si>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</si>
  <si>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</si>
  <si>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</si>
  <si>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</si>
  <si>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</si>
  <si>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</si>
  <si>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</si>
  <si>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</si>
  <si>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</si>
  <si>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</si>
  <si>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</si>
  <si>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</si>
  <si>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</si>
  <si>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</si>
  <si>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</si>
  <si>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</si>
  <si>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</si>
  <si>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</si>
  <si>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</si>
  <si>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</si>
  <si>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</si>
  <si>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</si>
  <si>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</si>
  <si>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</si>
  <si>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</si>
  <si>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</si>
  <si>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</si>
  <si>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</si>
  <si>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</si>
  <si>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</si>
  <si>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</si>
  <si>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</si>
  <si>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</si>
  <si>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</si>
  <si>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</si>
  <si>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</si>
  <si>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</si>
  <si>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</si>
  <si>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</si>
  <si>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</si>
  <si>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</si>
  <si>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</si>
  <si>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</si>
  <si>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</si>
  <si>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</si>
  <si>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</si>
  <si>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</si>
  <si>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</si>
  <si>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</si>
  <si>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</si>
  <si>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</si>
  <si>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</si>
  <si>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</si>
  <si>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</si>
  <si>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</si>
  <si>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</si>
  <si>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</si>
  <si>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</si>
  <si>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</si>
  <si>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</si>
  <si>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</si>
  <si>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</si>
  <si>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</si>
  <si>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</si>
  <si>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</si>
  <si>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</si>
  <si>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</si>
  <si>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</si>
  <si>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</si>
  <si>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</si>
  <si>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</si>
  <si>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</si>
  <si>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</si>
  <si>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</si>
  <si>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</si>
  <si>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</si>
  <si>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</si>
  <si>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</si>
  <si>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</si>
  <si>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</si>
  <si>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</si>
  <si>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</si>
  <si>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</si>
  <si>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</si>
  <si>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</si>
  <si>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</si>
  <si>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</si>
  <si>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</si>
  <si>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</si>
  <si>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</si>
  <si>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</si>
  <si>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</si>
  <si>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</si>
  <si>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</si>
  <si>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</si>
  <si>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</si>
  <si>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</si>
  <si>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</si>
  <si>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</si>
  <si>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</si>
  <si>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</si>
  <si>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</si>
  <si>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</si>
  <si>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</si>
  <si>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</si>
  <si>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</si>
  <si>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</si>
  <si>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</si>
  <si>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</si>
  <si>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</si>
  <si>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</si>
  <si>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</si>
  <si>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</si>
  <si>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</si>
  <si>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</si>
  <si>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</si>
  <si>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</si>
  <si>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</si>
  <si>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</si>
  <si>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</si>
  <si>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</si>
  <si>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</si>
  <si>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</si>
  <si>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</si>
  <si>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</si>
  <si>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</si>
  <si>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</si>
  <si>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</si>
  <si>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</si>
  <si>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</si>
  <si>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</si>
  <si>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</si>
  <si>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</si>
  <si>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</si>
  <si>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</si>
  <si>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</si>
  <si>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</si>
  <si>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</si>
  <si>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</si>
  <si>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</si>
  <si>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</si>
  <si>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</si>
  <si>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</si>
  <si>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</si>
  <si>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</si>
  <si>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</si>
  <si>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</si>
  <si>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</si>
  <si>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</si>
  <si>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</si>
  <si>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</si>
  <si>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</si>
  <si>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</si>
  <si>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</si>
  <si>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</si>
  <si>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</si>
  <si>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</si>
  <si>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</si>
  <si>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</si>
  <si>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</si>
  <si>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</si>
  <si>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</si>
  <si>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</si>
  <si>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</si>
  <si>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</si>
  <si>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</si>
  <si>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</si>
  <si>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</si>
  <si>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</si>
  <si>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</si>
  <si>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</si>
  <si>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</si>
  <si>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</si>
  <si>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</si>
  <si>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</si>
  <si>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</si>
  <si>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</si>
  <si>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</si>
  <si>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</si>
  <si>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</si>
  <si>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</si>
  <si>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</si>
  <si>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</si>
  <si>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</si>
  <si>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</si>
  <si>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</si>
  <si>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</si>
  <si>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</si>
  <si>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</si>
  <si>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</si>
  <si>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</si>
  <si>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</si>
  <si>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</si>
  <si>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</si>
  <si>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</si>
  <si>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</si>
  <si>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</si>
  <si>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</si>
  <si>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</si>
  <si>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</si>
  <si>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</si>
  <si>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</si>
  <si>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</si>
  <si>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</si>
  <si>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</si>
  <si>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</si>
  <si>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</si>
  <si>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</si>
  <si>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</si>
  <si>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</si>
  <si>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</si>
  <si>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</si>
  <si>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</si>
  <si>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</si>
  <si>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</si>
  <si>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</si>
  <si>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</si>
  <si>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</si>
  <si>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</si>
  <si>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</si>
  <si>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</si>
  <si>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</si>
  <si>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</si>
  <si>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</si>
  <si>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</si>
  <si>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</si>
  <si>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</si>
  <si>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</si>
  <si>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</si>
  <si>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</si>
  <si>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</si>
  <si>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</si>
  <si>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</si>
  <si>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</si>
  <si>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</si>
  <si>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</si>
  <si>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</si>
  <si>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</si>
  <si>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</si>
  <si>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</si>
  <si>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</si>
  <si>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</si>
  <si>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</si>
  <si>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</si>
  <si>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</si>
  <si>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</si>
  <si>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</si>
  <si>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</si>
  <si>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</si>
  <si>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</si>
  <si>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</si>
  <si>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</si>
  <si>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</si>
  <si>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</si>
  <si>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</si>
  <si>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</si>
  <si>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</si>
  <si>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</si>
  <si>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</si>
  <si>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</si>
  <si>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</si>
  <si>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</si>
  <si>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</si>
  <si>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</si>
  <si>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</si>
  <si>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</si>
  <si>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</si>
  <si>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</si>
  <si>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</si>
  <si>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</si>
  <si>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</si>
  <si>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</si>
  <si>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</si>
  <si>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</si>
  <si>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</si>
  <si>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</si>
  <si>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</si>
  <si>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</si>
  <si>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</si>
  <si>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</si>
  <si>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</si>
  <si>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</si>
  <si>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</si>
  <si>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</si>
  <si>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</si>
  <si>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</si>
  <si>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</si>
  <si>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</si>
  <si>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</si>
  <si>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</si>
  <si>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</si>
  <si>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</si>
  <si>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</si>
  <si>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</si>
  <si>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</si>
  <si>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</si>
  <si>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</si>
  <si>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</si>
  <si>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</si>
  <si>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</si>
  <si>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</si>
  <si>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</si>
  <si>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</si>
  <si>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</si>
  <si>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</si>
  <si>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</si>
  <si>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</si>
  <si>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</si>
  <si>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</si>
  <si>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</si>
  <si>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</si>
  <si>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</si>
  <si>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</si>
  <si>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</si>
  <si>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</si>
  <si>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</si>
  <si>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</si>
  <si>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</si>
  <si>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</si>
  <si>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</si>
  <si>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</si>
  <si>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</si>
  <si>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</si>
  <si>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</si>
  <si>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</si>
  <si>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</si>
  <si>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</si>
  <si>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</si>
  <si>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</si>
  <si>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</si>
  <si>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</si>
  <si>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</si>
  <si>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</si>
  <si>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</si>
  <si>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</si>
  <si>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</si>
  <si>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</si>
  <si>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</si>
  <si>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</si>
  <si>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</si>
  <si>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</si>
  <si>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</si>
  <si>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</si>
  <si>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</si>
  <si>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</si>
  <si>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</si>
  <si>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</si>
  <si>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</si>
  <si>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</si>
  <si>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</si>
  <si>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</si>
  <si>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</si>
  <si>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</si>
  <si>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</si>
  <si>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</si>
  <si>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</si>
  <si>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</si>
  <si>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</si>
  <si>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</si>
  <si>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</si>
  <si>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</si>
  <si>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</si>
  <si>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</si>
  <si>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</si>
  <si>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</si>
  <si>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</si>
  <si>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</si>
  <si>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</si>
  <si>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</si>
  <si>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</si>
  <si>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</si>
  <si>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</si>
  <si>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</si>
  <si>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</si>
  <si>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</si>
  <si>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</si>
  <si>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</si>
  <si>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</si>
  <si>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</si>
  <si>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</si>
  <si>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</si>
  <si>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</si>
  <si>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</si>
  <si>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</si>
  <si>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</si>
  <si>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</si>
  <si>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</si>
  <si>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</si>
  <si>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</si>
  <si>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</si>
  <si>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</si>
  <si>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</si>
  <si>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</si>
  <si>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</si>
  <si>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</si>
  <si>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</si>
  <si>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</si>
  <si>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</si>
  <si>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</si>
  <si>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</si>
  <si>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</si>
  <si>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</si>
  <si>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</si>
  <si>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</si>
  <si>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</si>
  <si>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</si>
  <si>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</si>
  <si>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</si>
  <si>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</si>
  <si>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</si>
  <si>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</si>
  <si>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</si>
  <si>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</si>
  <si>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</si>
  <si>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</si>
  <si>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</si>
  <si>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</si>
  <si>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</si>
  <si>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</si>
  <si>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</si>
  <si>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</si>
  <si>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</si>
  <si>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</si>
  <si>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</si>
  <si>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</si>
  <si>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</si>
  <si>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</si>
  <si>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</si>
  <si>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</si>
  <si>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</si>
  <si>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</si>
  <si>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</si>
  <si>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</si>
  <si>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</si>
  <si>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</si>
  <si>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</si>
  <si>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</si>
  <si>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</si>
  <si>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</si>
  <si>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</si>
  <si>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</si>
  <si>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</si>
  <si>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</si>
  <si>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</si>
  <si>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</si>
  <si>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</si>
  <si>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</si>
  <si>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</si>
  <si>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</si>
  <si>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</si>
  <si>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</si>
  <si>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</si>
  <si>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</si>
  <si>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</si>
  <si>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</si>
  <si>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</si>
  <si>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</si>
  <si>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</si>
  <si>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</si>
  <si>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</si>
  <si>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</si>
  <si>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</si>
  <si>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</si>
  <si>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</si>
  <si>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</si>
  <si>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</si>
  <si>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</si>
  <si>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</si>
  <si>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</si>
  <si>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</si>
  <si>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</si>
  <si>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</si>
  <si>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</si>
  <si>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</si>
  <si>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</si>
  <si>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</si>
  <si>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</si>
  <si>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</si>
  <si>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</si>
  <si>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</si>
  <si>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</si>
  <si>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</si>
  <si>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</si>
  <si>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</si>
  <si>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</si>
  <si>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</si>
  <si>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</si>
  <si>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</si>
  <si>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</si>
  <si>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</si>
  <si>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</si>
  <si>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</si>
  <si>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</si>
  <si>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</si>
  <si>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</si>
  <si>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</si>
  <si>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</si>
  <si>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</si>
  <si>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</si>
  <si>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</si>
  <si>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</si>
  <si>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</si>
  <si>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</si>
  <si>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</si>
  <si>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</si>
  <si>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</si>
  <si>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</si>
  <si>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</si>
  <si>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</si>
  <si>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</si>
  <si>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</si>
  <si>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</si>
  <si>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</si>
  <si>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</si>
  <si>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</si>
  <si>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</si>
  <si>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</si>
  <si>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</si>
  <si>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</si>
  <si>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</si>
  <si>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</si>
  <si>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</si>
  <si>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</si>
  <si>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</si>
  <si>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</si>
  <si>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</si>
  <si>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</si>
  <si>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</si>
  <si>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</si>
  <si>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</si>
  <si>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</si>
  <si>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</si>
  <si>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</si>
  <si>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</si>
  <si>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</si>
  <si>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</si>
  <si>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</si>
  <si>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</si>
  <si>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</si>
  <si>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</si>
  <si>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</si>
  <si>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</si>
  <si>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</si>
  <si>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</si>
  <si>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</si>
  <si>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</si>
  <si>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</si>
  <si>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</si>
  <si>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</si>
  <si>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</si>
  <si>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</si>
  <si>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</si>
  <si>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</si>
  <si>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</si>
  <si>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</si>
  <si>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</si>
  <si>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</si>
  <si>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</si>
  <si>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</si>
  <si>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</si>
  <si>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</si>
  <si>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</si>
  <si>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</si>
  <si>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</si>
  <si>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</si>
  <si>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</si>
  <si>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</si>
  <si>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</si>
  <si>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</si>
  <si>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</si>
  <si>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</si>
  <si>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</si>
  <si>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</si>
  <si>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</si>
  <si>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</si>
  <si>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</si>
  <si>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</si>
  <si>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</si>
  <si>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</si>
  <si>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</si>
  <si>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</si>
  <si>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</si>
  <si>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</si>
  <si>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</si>
  <si>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</si>
  <si>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</si>
  <si>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</si>
  <si>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</si>
  <si>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</si>
  <si>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</si>
  <si>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</si>
  <si>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</si>
  <si>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</si>
  <si>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</si>
  <si>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</si>
  <si>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</si>
  <si>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</si>
  <si>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</si>
  <si>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</si>
  <si>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</si>
  <si>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</si>
  <si>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</si>
  <si>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</si>
  <si>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</si>
  <si>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</si>
  <si>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</si>
  <si>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</si>
  <si>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</si>
  <si>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</si>
  <si>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</si>
  <si>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</si>
  <si>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</si>
  <si>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</si>
  <si>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</si>
  <si>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</si>
  <si>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</si>
  <si>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</si>
  <si>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</si>
  <si>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</si>
  <si>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</si>
  <si>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</si>
  <si>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</si>
  <si>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</si>
  <si>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</si>
  <si>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</si>
  <si>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</si>
  <si>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</si>
  <si>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</si>
  <si>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</si>
  <si>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</si>
  <si>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</si>
  <si>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</si>
  <si>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</si>
  <si>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</si>
  <si>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</si>
  <si>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</si>
  <si>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</si>
  <si>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</si>
  <si>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</si>
  <si>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</si>
  <si>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</si>
  <si>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</si>
  <si>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</si>
  <si>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</si>
  <si>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</si>
  <si>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</si>
  <si>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</si>
  <si>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</si>
  <si>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</si>
  <si>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</si>
  <si>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</si>
  <si>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</si>
  <si>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</si>
  <si>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</si>
  <si>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</si>
  <si>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</si>
  <si>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</si>
  <si>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</si>
  <si>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</si>
  <si>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</si>
  <si>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</si>
  <si>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</si>
  <si>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</si>
  <si>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</si>
  <si>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</si>
  <si>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</si>
  <si>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</si>
  <si>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</si>
  <si>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</si>
  <si>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</si>
  <si>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</si>
  <si>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</si>
  <si>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</si>
  <si>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</si>
  <si>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</si>
  <si>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</si>
  <si>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</si>
  <si>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</si>
  <si>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</si>
  <si>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</si>
  <si>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</si>
  <si>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</si>
  <si>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</si>
  <si>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</si>
  <si>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</si>
  <si>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</si>
  <si>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</si>
  <si>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</si>
  <si>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</si>
  <si>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</si>
  <si>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</si>
  <si>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</si>
  <si>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</si>
  <si>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</si>
  <si>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</si>
  <si>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</si>
  <si>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</si>
  <si>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</si>
  <si>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</si>
  <si>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</si>
  <si>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</si>
  <si>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</si>
  <si>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</si>
  <si>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</si>
  <si>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</si>
  <si>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</si>
  <si>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</si>
  <si>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</si>
  <si>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</si>
  <si>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</si>
  <si>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</si>
  <si>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</si>
  <si>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</si>
  <si>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</si>
  <si>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</si>
  <si>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</si>
  <si>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</si>
  <si>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</si>
  <si>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</si>
  <si>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</si>
  <si>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</si>
  <si>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</si>
  <si>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</si>
  <si>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</si>
  <si>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</si>
  <si>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</si>
  <si>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</si>
  <si>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</si>
  <si>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</si>
  <si>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</si>
  <si>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</si>
  <si>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</si>
  <si>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</si>
  <si>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</si>
  <si>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</si>
  <si>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</si>
  <si>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</si>
  <si>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</si>
  <si>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</si>
  <si>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</si>
  <si>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</si>
  <si>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</si>
  <si>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</si>
  <si>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</si>
  <si>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</si>
  <si>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</si>
  <si>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</si>
  <si>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</si>
  <si>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</si>
  <si>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</si>
  <si>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</si>
  <si>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</si>
  <si>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</si>
  <si>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</si>
  <si>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</si>
  <si>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</si>
  <si>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</si>
  <si>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</si>
  <si>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</si>
  <si>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</si>
  <si>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</si>
  <si>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</si>
  <si>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</si>
  <si>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</si>
  <si>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</si>
  <si>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</si>
  <si>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</si>
  <si>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</si>
  <si>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</si>
  <si>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</si>
  <si>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</si>
  <si>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</si>
  <si>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</si>
  <si>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</si>
  <si>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</si>
  <si>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</si>
  <si>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</si>
  <si>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</si>
  <si>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</si>
  <si>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</si>
  <si>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</si>
  <si>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</si>
  <si>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</si>
  <si>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</si>
  <si>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</si>
  <si>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</si>
  <si>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</si>
  <si>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</si>
  <si>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</si>
  <si>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</si>
  <si>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</si>
  <si>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</si>
  <si>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</si>
  <si>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</si>
  <si>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</si>
  <si>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</si>
  <si>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</si>
  <si>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</si>
  <si>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</si>
  <si>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</si>
  <si>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</si>
  <si>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</si>
  <si>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</si>
  <si>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</si>
  <si>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</si>
  <si>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</si>
  <si>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</si>
  <si>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</si>
  <si>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</si>
  <si>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</si>
  <si>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</si>
  <si>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</si>
  <si>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</si>
  <si>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</si>
  <si>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</si>
  <si>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</si>
  <si>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</si>
  <si>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</si>
  <si>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</si>
  <si>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</si>
  <si>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</si>
  <si>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</si>
  <si>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</si>
  <si>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</si>
  <si>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</si>
  <si>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</si>
  <si>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</si>
  <si>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</si>
  <si>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</si>
  <si>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</si>
  <si>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</si>
  <si>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</si>
  <si>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</si>
  <si>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</si>
  <si>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</si>
  <si>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</si>
  <si>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</si>
  <si>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</si>
  <si>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</si>
  <si>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</si>
  <si>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</si>
  <si>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</si>
  <si>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</si>
  <si>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</si>
  <si>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</si>
  <si>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</si>
  <si>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</si>
  <si>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</si>
  <si>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</si>
  <si>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</si>
  <si>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</si>
  <si>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</si>
  <si>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</si>
  <si>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</si>
  <si>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</si>
  <si>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</si>
  <si>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</si>
  <si>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</si>
  <si>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</si>
  <si>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</si>
  <si>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</si>
  <si>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</si>
  <si>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</si>
  <si>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</si>
  <si>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</si>
  <si>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</si>
  <si>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</si>
  <si>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</si>
  <si>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</si>
  <si>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</si>
  <si>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</si>
  <si>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</si>
  <si>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</si>
  <si>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</si>
  <si>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</si>
  <si>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</si>
  <si>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</si>
  <si>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</si>
  <si>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</si>
  <si>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</si>
  <si>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</si>
  <si>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</si>
  <si>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</si>
  <si>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</si>
  <si>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</si>
  <si>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</si>
  <si>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</si>
  <si>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</si>
  <si>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</si>
  <si>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</si>
  <si>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</si>
  <si>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</si>
  <si>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</si>
  <si>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</si>
  <si>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</si>
  <si>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</si>
  <si>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</si>
  <si>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</si>
  <si>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</si>
  <si>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</si>
  <si>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</si>
  <si>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</si>
  <si>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</si>
  <si>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</si>
  <si>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</si>
  <si>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</si>
  <si>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</si>
  <si>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</si>
  <si>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</si>
  <si>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</si>
  <si>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</si>
  <si>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</si>
  <si>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</si>
  <si>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</si>
  <si>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</si>
  <si>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</si>
  <si>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</si>
  <si>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</si>
  <si>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</si>
  <si>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</si>
  <si>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</si>
  <si>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</si>
  <si>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</si>
  <si>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</si>
  <si>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</si>
  <si>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</si>
  <si>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</si>
  <si>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</si>
  <si>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</si>
  <si>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</si>
  <si>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</si>
  <si>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</si>
  <si>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</si>
  <si>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</si>
  <si>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</si>
  <si>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</si>
  <si>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</si>
  <si>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</si>
  <si>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</si>
  <si>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</si>
  <si>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</si>
  <si>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</si>
  <si>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</si>
  <si>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</si>
  <si>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</si>
  <si>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</si>
  <si>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</si>
  <si>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</si>
  <si>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</si>
  <si>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</si>
  <si>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</si>
  <si>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</si>
  <si>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</si>
  <si>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</si>
  <si>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</si>
  <si>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</si>
  <si>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</si>
  <si>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</si>
  <si>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</si>
  <si>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</si>
  <si>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</si>
  <si>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</si>
  <si>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</si>
  <si>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</si>
  <si>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</si>
  <si>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</si>
  <si>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</si>
  <si>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</si>
  <si>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</si>
  <si>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</si>
  <si>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</si>
  <si>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</si>
  <si>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</si>
  <si>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</si>
  <si>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</si>
  <si>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</si>
  <si>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</si>
  <si>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</si>
  <si>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</si>
  <si>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</si>
  <si>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</si>
  <si>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</si>
  <si>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</si>
  <si>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</si>
  <si>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</si>
  <si>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</si>
  <si>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</si>
  <si>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</si>
  <si>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</si>
  <si>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</si>
  <si>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</si>
  <si>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</si>
  <si>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</si>
  <si>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</si>
  <si>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</si>
  <si>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</si>
  <si>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</si>
  <si>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</si>
  <si>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</si>
  <si>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</si>
  <si>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</si>
  <si>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</si>
  <si>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</si>
  <si>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</si>
  <si>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</si>
  <si>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</si>
  <si>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</si>
  <si>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</si>
  <si>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</si>
  <si>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</si>
  <si>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</si>
  <si>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</si>
  <si>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</si>
  <si>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</si>
  <si>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</si>
  <si>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</si>
  <si>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</si>
  <si>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</si>
  <si>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</si>
  <si>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</si>
  <si>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</si>
  <si>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</si>
  <si>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</si>
  <si>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</si>
  <si>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</si>
  <si>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</si>
  <si>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</si>
  <si>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</si>
  <si>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</si>
  <si>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</si>
  <si>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</si>
  <si>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</si>
  <si>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</si>
  <si>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</si>
  <si>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</si>
  <si>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</si>
  <si>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</si>
  <si>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</si>
  <si>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</si>
  <si>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</si>
  <si>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</si>
  <si>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</si>
  <si>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</si>
  <si>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</si>
  <si>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</si>
  <si>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</si>
  <si>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</si>
  <si>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</si>
  <si>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</si>
  <si>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</si>
  <si>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</si>
  <si>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</si>
  <si>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</si>
  <si>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</si>
  <si>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</si>
  <si>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</si>
  <si>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</si>
  <si>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</si>
  <si>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</si>
  <si>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</si>
  <si>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</si>
  <si>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</si>
  <si>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</si>
  <si>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</si>
  <si>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</si>
  <si>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</si>
  <si>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</si>
  <si>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</si>
  <si>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</si>
  <si>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</si>
  <si>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</si>
  <si>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</si>
  <si>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</si>
  <si>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</si>
  <si>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</si>
  <si>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</si>
  <si>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</si>
  <si>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</si>
  <si>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</si>
  <si>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</si>
  <si>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</si>
  <si>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</si>
  <si>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</si>
  <si>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</si>
  <si>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</si>
  <si>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</si>
  <si>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</si>
  <si>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</si>
  <si>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</si>
  <si>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</si>
  <si>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</si>
  <si>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</si>
  <si>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</si>
  <si>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</si>
  <si>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</si>
  <si>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</si>
  <si>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</si>
  <si>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</si>
  <si>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</si>
  <si>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</si>
  <si>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</si>
  <si>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</si>
  <si>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</si>
  <si>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</si>
  <si>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</si>
  <si>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</si>
  <si>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</si>
  <si>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</si>
  <si>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</si>
  <si>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</si>
  <si>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</si>
  <si>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</si>
  <si>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</si>
  <si>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</si>
  <si>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</si>
  <si>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</si>
  <si>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</si>
  <si>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</si>
  <si>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</si>
  <si>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</si>
  <si>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</si>
  <si>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</si>
  <si>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</si>
  <si>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</si>
  <si>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</si>
  <si>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</si>
  <si>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</si>
  <si>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</si>
  <si>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</si>
  <si>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</si>
  <si>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</si>
  <si>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</si>
  <si>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</si>
  <si>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</si>
  <si>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</si>
  <si>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</si>
  <si>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</si>
  <si>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</si>
  <si>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</si>
  <si>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</si>
  <si>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</si>
  <si>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</si>
  <si>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</si>
  <si>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</si>
  <si>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</si>
  <si>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</si>
  <si>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</si>
  <si>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</si>
  <si>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</si>
  <si>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</si>
  <si>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</si>
  <si>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</si>
  <si>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</si>
  <si>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</si>
  <si>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</si>
  <si>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</si>
  <si>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</si>
  <si>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</si>
  <si>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</si>
  <si>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</si>
  <si>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</si>
  <si>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</si>
  <si>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</si>
  <si>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</si>
  <si>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</si>
  <si>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</si>
  <si>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</si>
  <si>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</si>
  <si>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</si>
  <si>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</si>
  <si>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</si>
  <si>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</si>
  <si>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</si>
  <si>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</si>
  <si>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</si>
  <si>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</si>
  <si>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</si>
  <si>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</si>
  <si>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</si>
  <si>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</si>
  <si>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</si>
  <si>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</si>
  <si>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</si>
  <si>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</si>
  <si>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</si>
  <si>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</si>
  <si>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</si>
  <si>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</si>
  <si>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</si>
  <si>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</si>
  <si>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</si>
  <si>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</si>
  <si>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</si>
  <si>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</si>
  <si>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</si>
  <si>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</si>
  <si>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</si>
  <si>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</si>
  <si>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</si>
  <si>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</si>
  <si>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</si>
  <si>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</si>
  <si>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</si>
  <si>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</si>
  <si>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</si>
  <si>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</si>
  <si>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</si>
  <si>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</si>
  <si>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</si>
  <si>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</si>
  <si>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</si>
  <si>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</si>
  <si>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</si>
  <si>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</si>
  <si>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</si>
  <si>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</si>
  <si>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</si>
  <si>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</si>
  <si>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</si>
  <si>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</si>
  <si>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</si>
  <si>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</si>
  <si>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</si>
  <si>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</si>
  <si>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</si>
  <si>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</si>
  <si>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</si>
  <si>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</si>
  <si>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</si>
  <si>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</si>
  <si>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</si>
  <si>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</si>
  <si>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</si>
  <si>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</si>
  <si>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</si>
  <si>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</si>
  <si>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</si>
  <si>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</si>
  <si>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</si>
  <si>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</si>
  <si>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</si>
  <si>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</si>
  <si>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</si>
  <si>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</si>
  <si>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</si>
  <si>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</si>
  <si>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</si>
  <si>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</si>
  <si>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</si>
  <si>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</si>
  <si>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</si>
  <si>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</si>
  <si>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</si>
  <si>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</si>
  <si>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</si>
  <si>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</si>
  <si>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</si>
  <si>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</si>
  <si>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</si>
  <si>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</si>
  <si>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</si>
  <si>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</si>
  <si>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</si>
  <si>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</si>
  <si>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</si>
  <si>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</si>
  <si>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</si>
  <si>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</si>
  <si>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</si>
  <si>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</si>
  <si>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</si>
  <si>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</si>
  <si>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</si>
  <si>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</si>
  <si>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</si>
  <si>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</si>
  <si>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</si>
  <si>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</si>
  <si>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</si>
  <si>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</si>
  <si>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</si>
  <si>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</si>
  <si>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</si>
  <si>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</si>
  <si>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</si>
  <si>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</si>
  <si>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</si>
  <si>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</si>
  <si>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</si>
  <si>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</si>
  <si>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</si>
  <si>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</si>
  <si>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</si>
  <si>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</si>
  <si>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</si>
  <si>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</si>
  <si>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</si>
  <si>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</si>
  <si>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</si>
  <si>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</si>
  <si>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</si>
  <si>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</si>
  <si>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</si>
  <si>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</si>
  <si>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</si>
  <si>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</si>
  <si>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</si>
  <si>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</si>
  <si>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</si>
  <si>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</si>
  <si>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</si>
  <si>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</si>
  <si>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</si>
  <si>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</si>
  <si>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</si>
  <si>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</si>
  <si>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</si>
  <si>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</si>
  <si>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</si>
  <si>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</si>
  <si>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</si>
  <si>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</si>
  <si>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</si>
  <si>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</si>
  <si>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</si>
  <si>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</si>
  <si>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</si>
  <si>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</si>
  <si>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</si>
  <si>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</si>
  <si>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</si>
  <si>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</si>
  <si>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</si>
  <si>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</si>
  <si>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</si>
  <si>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</si>
  <si>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</si>
  <si>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</si>
  <si>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</si>
  <si>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</si>
  <si>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</si>
  <si>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</si>
  <si>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</si>
  <si>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</si>
  <si>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</si>
  <si>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</si>
  <si>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</si>
  <si>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</si>
  <si>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</si>
  <si>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</si>
  <si>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</si>
  <si>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</si>
  <si>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</si>
  <si>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</si>
  <si>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</si>
  <si>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</si>
  <si>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</si>
  <si>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</si>
  <si>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</si>
  <si>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</si>
  <si>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</si>
  <si>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</si>
  <si>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</si>
  <si>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</si>
  <si>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</si>
  <si>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</si>
  <si>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</si>
  <si>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</si>
  <si>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</si>
  <si>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</si>
  <si>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</si>
  <si>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</si>
  <si>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</si>
  <si>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</si>
  <si>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</si>
  <si>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</si>
  <si>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</si>
  <si>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</si>
  <si>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</si>
  <si>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</si>
  <si>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</si>
  <si>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</si>
  <si>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</si>
  <si>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</si>
  <si>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</si>
  <si>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</si>
  <si>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</si>
  <si>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</si>
  <si>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</si>
  <si>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</si>
  <si>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</si>
  <si>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</si>
  <si>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</si>
  <si>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</si>
  <si>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</si>
  <si>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</si>
  <si>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</si>
  <si>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</si>
  <si>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</si>
  <si>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</si>
  <si>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</si>
  <si>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</si>
  <si>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</si>
  <si>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</si>
  <si>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</si>
  <si>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</si>
  <si>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</si>
  <si>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</si>
  <si>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</si>
  <si>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</si>
  <si>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</si>
  <si>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</si>
  <si>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</si>
  <si>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</si>
  <si>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</si>
  <si>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</si>
  <si>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</si>
  <si>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</si>
  <si>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</si>
  <si>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</si>
  <si>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</si>
  <si>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</si>
  <si>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</si>
  <si>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</si>
  <si>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</si>
  <si>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</si>
  <si>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</si>
  <si>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</si>
  <si>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</si>
  <si>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</si>
  <si>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</si>
  <si>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</si>
  <si>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</si>
  <si>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</si>
  <si>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</si>
  <si>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</si>
  <si>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</si>
  <si>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</si>
  <si>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</si>
  <si>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</si>
  <si>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</si>
  <si>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</si>
  <si>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</si>
  <si>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</si>
  <si>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</si>
  <si>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</si>
  <si>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</si>
  <si>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</si>
  <si>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</si>
  <si>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</si>
  <si>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</si>
  <si>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</si>
  <si>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</si>
  <si>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</si>
  <si>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</si>
  <si>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</si>
  <si>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</si>
  <si>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</si>
  <si>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</si>
  <si>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</si>
  <si>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</si>
  <si>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</si>
  <si>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</si>
  <si>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</si>
  <si>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</si>
  <si>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</si>
  <si>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</si>
  <si>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</si>
  <si>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</si>
  <si>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</si>
  <si>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</si>
  <si>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</si>
  <si>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</si>
  <si>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</si>
  <si>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</si>
  <si>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</si>
  <si>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</si>
  <si>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</si>
  <si>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</si>
  <si>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</si>
  <si>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</si>
  <si>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</si>
  <si>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</si>
  <si>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</si>
  <si>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</si>
  <si>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</si>
  <si>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</si>
  <si>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</si>
  <si>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</si>
  <si>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</si>
  <si>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</si>
  <si>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</si>
  <si>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</si>
  <si>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</si>
  <si>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</si>
  <si>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</si>
  <si>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</si>
  <si>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</si>
  <si>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</si>
  <si>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</si>
  <si>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</si>
  <si>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</si>
  <si>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</si>
  <si>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</si>
  <si>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</si>
  <si>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</si>
  <si>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</si>
  <si>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</si>
  <si>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</si>
  <si>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</si>
  <si>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</si>
  <si>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</si>
  <si>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</si>
  <si>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</si>
  <si>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</si>
  <si>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</si>
  <si>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</si>
  <si>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</si>
  <si>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</si>
  <si>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</si>
  <si>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</si>
  <si>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</si>
  <si>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</si>
  <si>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</si>
  <si>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</si>
  <si>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</si>
  <si>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</si>
  <si>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</si>
  <si>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</si>
  <si>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</si>
  <si>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</si>
  <si>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</si>
  <si>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</si>
  <si>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</si>
  <si>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</si>
  <si>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</si>
  <si>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</si>
  <si>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</si>
  <si>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</si>
  <si>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</si>
  <si>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</si>
  <si>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</si>
  <si>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</si>
  <si>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</si>
  <si>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</si>
  <si>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</si>
  <si>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</si>
  <si>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</si>
  <si>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</si>
  <si>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</si>
  <si>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</si>
  <si>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</si>
  <si>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</si>
  <si>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</si>
  <si>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</si>
  <si>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</si>
  <si>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</si>
  <si>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</si>
  <si>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</si>
  <si>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</si>
  <si>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</si>
  <si>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</si>
  <si>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</si>
  <si>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</si>
  <si>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</si>
  <si>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</si>
  <si>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</si>
  <si>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</si>
  <si>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</si>
  <si>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</si>
  <si>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</si>
  <si>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</si>
  <si>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</si>
  <si>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</si>
  <si>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</si>
  <si>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</si>
  <si>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</si>
  <si>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</si>
  <si>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</si>
  <si>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</si>
  <si>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</si>
  <si>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</si>
  <si>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</si>
  <si>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</si>
  <si>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</si>
  <si>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</si>
  <si>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</si>
  <si>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</si>
  <si>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</si>
  <si>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</si>
  <si>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</si>
  <si>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</si>
  <si>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</si>
  <si>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</si>
  <si>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</si>
  <si>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</si>
  <si>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</si>
  <si>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</si>
  <si>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</si>
  <si>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</si>
  <si>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</si>
  <si>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</si>
  <si>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</si>
  <si>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</si>
  <si>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</si>
  <si>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</si>
  <si>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</si>
  <si>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</si>
  <si>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</si>
  <si>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</si>
  <si>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</si>
  <si>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</si>
  <si>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</si>
  <si>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</si>
  <si>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</si>
  <si>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</si>
  <si>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</si>
  <si>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</si>
  <si>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</si>
  <si>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</si>
  <si>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</si>
  <si>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</si>
  <si>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</si>
  <si>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</si>
  <si>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</si>
  <si>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</si>
  <si>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</si>
  <si>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</si>
  <si>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</si>
  <si>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</si>
  <si>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</si>
  <si>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</si>
  <si>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</si>
  <si>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</si>
  <si>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</si>
  <si>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</si>
  <si>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</si>
  <si>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</si>
  <si>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</si>
  <si>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</si>
  <si>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</si>
  <si>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</si>
  <si>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</si>
  <si>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</si>
  <si>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</si>
  <si>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</si>
  <si>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</si>
  <si>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</si>
  <si>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</si>
  <si>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</si>
  <si>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</si>
  <si>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</si>
  <si>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</si>
  <si>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</si>
  <si>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</si>
  <si>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</si>
  <si>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</si>
  <si>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</si>
  <si>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</si>
  <si>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</si>
  <si>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</si>
  <si>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</si>
  <si>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</si>
  <si>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</si>
  <si>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</si>
  <si>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</si>
  <si>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</si>
  <si>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</si>
  <si>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</si>
  <si>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</si>
  <si>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</si>
  <si>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</si>
  <si>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</si>
  <si>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</si>
  <si>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</si>
  <si>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</si>
  <si>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</si>
  <si>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</si>
  <si>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</si>
  <si>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</si>
  <si>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</si>
  <si>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</si>
  <si>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</si>
  <si>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</si>
  <si>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</si>
  <si>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</si>
  <si>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</si>
  <si>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</si>
  <si>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</si>
  <si>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</si>
  <si>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</si>
  <si>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</si>
  <si>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</si>
  <si>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</si>
  <si>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</si>
  <si>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</si>
  <si>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</si>
  <si>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</si>
  <si>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</si>
  <si>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</si>
  <si>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</si>
  <si>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</si>
  <si>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</si>
  <si>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</si>
  <si>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</si>
  <si>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</si>
  <si>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</si>
  <si>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</si>
  <si>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</si>
  <si>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</si>
  <si>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</si>
  <si>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</si>
  <si>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</si>
  <si>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</si>
  <si>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</si>
  <si>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</si>
  <si>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</si>
  <si>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</si>
  <si>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</si>
  <si>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</si>
  <si>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</si>
  <si>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</si>
  <si>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</si>
  <si>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</si>
  <si>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</si>
  <si>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</si>
  <si>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</si>
  <si>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</si>
  <si>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</si>
  <si>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</si>
  <si>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</si>
  <si>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</si>
  <si>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</si>
  <si>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</si>
  <si>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</si>
  <si>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</si>
  <si>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</si>
  <si>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</si>
  <si>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</si>
  <si>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</si>
  <si>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</si>
  <si>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</si>
  <si>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</si>
  <si>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</si>
  <si>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</si>
  <si>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</si>
  <si>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</si>
  <si>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</si>
  <si>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</si>
  <si>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</si>
  <si>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</si>
  <si>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</si>
  <si>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</si>
  <si>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</si>
  <si>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</si>
  <si>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</si>
  <si>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</si>
  <si>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</si>
  <si>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</si>
  <si>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</si>
  <si>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</si>
  <si>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</si>
  <si>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</si>
  <si>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</si>
  <si>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</si>
  <si>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</si>
  <si>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</si>
  <si>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</si>
  <si>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</si>
  <si>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</si>
  <si>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</si>
  <si>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</si>
  <si>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</si>
  <si>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</si>
  <si>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</si>
  <si>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</si>
  <si>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</si>
  <si>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</si>
  <si>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</si>
  <si>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</si>
  <si>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</si>
  <si>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</si>
  <si>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</si>
  <si>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</si>
  <si>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</si>
  <si>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</si>
  <si>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</si>
  <si>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</si>
  <si>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</si>
  <si>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</si>
  <si>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</si>
  <si>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</si>
  <si>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</si>
  <si>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</si>
  <si>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</si>
  <si>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</si>
  <si>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</si>
  <si>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</si>
  <si>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</si>
  <si>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</si>
  <si>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</si>
  <si>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</si>
  <si>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</si>
  <si>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</si>
  <si>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</si>
  <si>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</si>
  <si>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</si>
  <si>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</si>
  <si>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</si>
  <si>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</si>
  <si>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</si>
  <si>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</si>
  <si>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</si>
  <si>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</si>
  <si>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</si>
  <si>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</si>
  <si>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</si>
  <si>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</si>
  <si>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</si>
  <si>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</si>
  <si>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</si>
  <si>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</si>
  <si>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</si>
  <si>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</si>
  <si>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</si>
  <si>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</si>
  <si>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</si>
  <si>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</si>
  <si>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</si>
  <si>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</si>
  <si>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</si>
  <si>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</si>
  <si>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</si>
  <si>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</si>
  <si>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</si>
  <si>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</si>
  <si>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</si>
  <si>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</si>
  <si>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</si>
  <si>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</si>
  <si>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</si>
  <si>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</si>
  <si>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</si>
  <si>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</si>
  <si>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</si>
  <si>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</si>
  <si>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</si>
  <si>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</si>
  <si>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</si>
  <si>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</si>
  <si>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</si>
  <si>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</si>
  <si>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</si>
  <si>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</si>
  <si>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</si>
  <si>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</si>
  <si>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</si>
  <si>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</si>
  <si>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</si>
  <si>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</si>
  <si>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</si>
  <si>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</si>
  <si>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</si>
  <si>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</si>
  <si>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</si>
  <si>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</si>
  <si>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</si>
  <si>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</si>
  <si>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</si>
  <si>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</si>
  <si>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</si>
  <si>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</si>
  <si>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</si>
  <si>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</si>
  <si>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</si>
  <si>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</si>
  <si>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</si>
  <si>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</si>
  <si>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</si>
  <si>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</si>
  <si>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</si>
  <si>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</si>
  <si>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</si>
  <si>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</si>
  <si>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</si>
  <si>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</si>
  <si>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</si>
  <si>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</si>
  <si>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</si>
  <si>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</si>
  <si>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</si>
  <si>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</si>
  <si>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</si>
  <si>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</si>
  <si>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</si>
  <si>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</si>
  <si>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</si>
  <si>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</si>
  <si>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</si>
  <si>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</si>
  <si>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</si>
  <si>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</si>
  <si>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</si>
  <si>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</si>
  <si>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</si>
  <si>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</si>
  <si>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</si>
  <si>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</si>
  <si>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</si>
  <si>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</si>
  <si>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</si>
  <si>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</si>
  <si>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</si>
  <si>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</si>
  <si>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</si>
  <si>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</si>
  <si>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</si>
  <si>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</si>
  <si>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</si>
  <si>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</si>
  <si>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</si>
  <si>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</si>
  <si>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</si>
  <si>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</si>
  <si>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</si>
  <si>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</si>
  <si>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</si>
  <si>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</si>
  <si>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</si>
  <si>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</si>
  <si>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</si>
  <si>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</si>
  <si>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</si>
  <si>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</si>
  <si>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</si>
  <si>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</si>
  <si>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</si>
  <si>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</si>
  <si>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</si>
  <si>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</si>
  <si>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</si>
  <si>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</si>
  <si>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</si>
  <si>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</si>
  <si>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</si>
  <si>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</si>
  <si>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</si>
  <si>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</si>
  <si>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</si>
  <si>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</si>
  <si>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</si>
  <si>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</si>
  <si>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</si>
  <si>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</si>
  <si>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</si>
  <si>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</si>
  <si>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</si>
  <si>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</si>
  <si>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</si>
  <si>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</si>
  <si>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</si>
  <si>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</si>
  <si>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</si>
  <si>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</si>
  <si>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</si>
  <si>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</si>
  <si>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</si>
  <si>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</si>
  <si>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</si>
  <si>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</si>
  <si>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</si>
  <si>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</si>
  <si>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</si>
  <si>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</si>
  <si>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</si>
  <si>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</si>
  <si>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</si>
  <si>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</si>
  <si>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</si>
  <si>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</si>
  <si>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</si>
  <si>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</si>
  <si>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</si>
  <si>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</si>
  <si>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</si>
  <si>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</si>
  <si>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</si>
  <si>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</si>
  <si>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</si>
  <si>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</si>
  <si>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</si>
  <si>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</si>
  <si>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</si>
  <si>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</si>
  <si>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</si>
  <si>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</si>
  <si>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</si>
  <si>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</si>
  <si>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</si>
  <si>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</si>
  <si>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</si>
  <si>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</si>
  <si>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</si>
  <si>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</si>
  <si>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</si>
  <si>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</si>
  <si>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</si>
  <si>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</si>
  <si>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</si>
  <si>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</si>
  <si>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</si>
  <si>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</si>
  <si>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</si>
  <si>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</si>
  <si>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</si>
  <si>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</si>
  <si>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</si>
  <si>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</si>
  <si>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</si>
  <si>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</si>
  <si>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</si>
  <si>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</si>
  <si>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</si>
  <si>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</si>
  <si>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</si>
  <si>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</si>
  <si>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</si>
  <si>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</si>
  <si>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</si>
  <si>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</si>
  <si>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</si>
  <si>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</si>
  <si>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</si>
  <si>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</si>
  <si>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</si>
  <si>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</si>
  <si>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</si>
  <si>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</si>
  <si>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</si>
  <si>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</si>
  <si>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</si>
  <si>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</si>
  <si>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</si>
  <si>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</si>
  <si>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</si>
  <si>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</si>
  <si>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</si>
  <si>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</si>
  <si>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</si>
  <si>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</si>
  <si>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</si>
  <si>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</si>
  <si>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</si>
  <si>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</si>
  <si>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</si>
  <si>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</si>
  <si>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</si>
  <si>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</si>
  <si>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</si>
  <si>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</si>
  <si>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</si>
  <si>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</si>
  <si>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</si>
  <si>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</si>
  <si>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</si>
  <si>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</si>
  <si>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</si>
  <si>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</si>
  <si>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</si>
  <si>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</si>
  <si>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</si>
  <si>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</si>
  <si>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</si>
  <si>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</si>
  <si>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</si>
  <si>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</si>
  <si>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</si>
  <si>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</si>
  <si>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</si>
  <si>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</si>
  <si>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</si>
  <si>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</si>
  <si>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</si>
  <si>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</si>
  <si>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</si>
  <si>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</si>
  <si>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</si>
  <si>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</si>
  <si>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</si>
  <si>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</si>
  <si>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</si>
  <si>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</si>
  <si>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</si>
  <si>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</si>
  <si>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</si>
  <si>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</si>
  <si>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</si>
  <si>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</si>
  <si>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</si>
  <si>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</si>
  <si>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</si>
  <si>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</si>
  <si>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</si>
  <si>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</si>
  <si>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</si>
  <si>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</si>
  <si>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</si>
  <si>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</si>
  <si>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</si>
  <si>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</si>
  <si>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</si>
  <si>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</si>
  <si>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</si>
  <si>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</si>
  <si>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</si>
  <si>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</si>
  <si>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</si>
  <si>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</si>
  <si>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</si>
  <si>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</si>
  <si>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</si>
  <si>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</si>
  <si>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</si>
  <si>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</si>
  <si>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</si>
  <si>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</si>
  <si>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</si>
  <si>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</si>
  <si>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</si>
  <si>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</si>
  <si>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</si>
  <si>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</si>
  <si>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</si>
  <si>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</si>
  <si>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</si>
  <si>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</si>
  <si>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</si>
  <si>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</si>
  <si>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</si>
  <si>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</si>
  <si>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</si>
  <si>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</si>
  <si>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</si>
  <si>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</si>
  <si>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</si>
  <si>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</si>
  <si>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</si>
  <si>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</si>
  <si>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</si>
  <si>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</si>
  <si>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</si>
  <si>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</si>
  <si>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</si>
  <si>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</si>
  <si>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</si>
  <si>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</si>
  <si>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</si>
  <si>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</si>
  <si>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</si>
  <si>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</si>
  <si>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</si>
  <si>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</si>
  <si>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</si>
  <si>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</si>
  <si>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</si>
  <si>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</si>
  <si>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</si>
  <si>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</si>
  <si>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</si>
  <si>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</si>
  <si>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</si>
  <si>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</si>
  <si>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</si>
  <si>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</si>
  <si>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</si>
  <si>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</si>
  <si>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</si>
  <si>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</si>
  <si>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</si>
  <si>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</si>
  <si>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</si>
  <si>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</si>
  <si>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</si>
  <si>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</si>
  <si>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</si>
  <si>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</si>
  <si>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</si>
  <si>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</si>
  <si>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</si>
  <si>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</si>
  <si>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</si>
  <si>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</si>
  <si>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</si>
  <si>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</si>
  <si>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</si>
  <si>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</si>
  <si>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</si>
  <si>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</si>
  <si>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</si>
  <si>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</si>
  <si>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</si>
  <si>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</si>
  <si>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</si>
  <si>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</si>
  <si>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</si>
  <si>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</si>
  <si>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</si>
  <si>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</si>
  <si>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</si>
  <si>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</si>
  <si>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</si>
  <si>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</si>
  <si>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</si>
  <si>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</si>
  <si>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</si>
  <si>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</si>
  <si>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</si>
  <si>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</si>
  <si>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</si>
  <si>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</si>
  <si>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</si>
  <si>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</si>
  <si>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</si>
  <si>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</si>
  <si>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</si>
  <si>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</si>
  <si>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</si>
  <si>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</si>
  <si>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</si>
  <si>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</si>
  <si>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</si>
  <si>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</si>
  <si>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</si>
  <si>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</si>
  <si>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</si>
  <si>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</si>
  <si>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</si>
  <si>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</si>
  <si>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</si>
  <si>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</si>
  <si>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</si>
  <si>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</si>
  <si>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</si>
  <si>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</si>
  <si>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</si>
  <si>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</si>
  <si>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</si>
  <si>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</si>
  <si>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</si>
  <si>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</si>
  <si>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</si>
  <si>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</si>
  <si>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</si>
  <si>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</si>
  <si>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</si>
  <si>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</si>
  <si>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</si>
  <si>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</si>
  <si>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</si>
  <si>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</si>
  <si>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</si>
  <si>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</si>
  <si>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</si>
  <si>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</si>
  <si>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</si>
  <si>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</si>
  <si>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</si>
  <si>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</si>
  <si>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</si>
  <si>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</si>
  <si>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</si>
  <si>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</si>
  <si>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</si>
  <si>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</si>
  <si>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</si>
  <si>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</si>
  <si>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</si>
  <si>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</si>
  <si>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</si>
  <si>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</si>
  <si>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</si>
  <si>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</si>
  <si>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</si>
  <si>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</si>
  <si>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</si>
  <si>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</si>
  <si>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</si>
  <si>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</si>
  <si>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</si>
  <si>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</si>
  <si>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</si>
  <si>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</si>
  <si>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</si>
  <si>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</si>
  <si>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</si>
  <si>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</si>
  <si>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</si>
  <si>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</si>
  <si>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</si>
  <si>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</si>
  <si>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</si>
  <si>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</si>
  <si>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</si>
  <si>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</si>
  <si>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</si>
  <si>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</si>
  <si>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</si>
  <si>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</si>
  <si>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</si>
  <si>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</si>
  <si>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</si>
  <si>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</si>
  <si>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</si>
  <si>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</si>
  <si>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</si>
  <si>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</si>
  <si>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</si>
  <si>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</si>
  <si>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</si>
  <si>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</si>
  <si>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</si>
  <si>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</si>
  <si>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</si>
  <si>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</si>
  <si>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</si>
  <si>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</si>
  <si>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</si>
  <si>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</si>
  <si>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</si>
  <si>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</si>
  <si>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</si>
  <si>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</si>
  <si>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</si>
  <si>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</si>
  <si>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</si>
  <si>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</si>
  <si>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</si>
  <si>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</si>
  <si>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</si>
  <si>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</si>
  <si>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</si>
  <si>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</si>
  <si>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</si>
  <si>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</si>
  <si>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</si>
  <si>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</si>
  <si>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</si>
  <si>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</si>
  <si>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</si>
  <si>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</si>
  <si>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</si>
  <si>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</si>
  <si>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</si>
  <si>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</si>
  <si>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</si>
  <si>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</si>
  <si>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</si>
  <si>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</si>
  <si>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</si>
  <si>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</si>
  <si>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</si>
  <si>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</si>
  <si>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</si>
  <si>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</si>
  <si>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</si>
  <si>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</si>
  <si>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</si>
  <si>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</si>
  <si>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</si>
  <si>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</si>
  <si>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</si>
  <si>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</si>
  <si>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</si>
  <si>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</si>
  <si>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</si>
  <si>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</si>
  <si>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</si>
  <si>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</si>
  <si>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</si>
  <si>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</si>
  <si>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</si>
  <si>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</si>
  <si>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</si>
  <si>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</si>
  <si>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</si>
  <si>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</si>
  <si>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</si>
  <si>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</si>
  <si>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</si>
  <si>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</si>
  <si>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</si>
  <si>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</si>
  <si>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</si>
  <si>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</si>
  <si>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</si>
  <si>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</si>
  <si>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</si>
  <si>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</si>
  <si>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</si>
  <si>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</si>
  <si>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</si>
  <si>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</si>
  <si>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</si>
  <si>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</si>
  <si>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</si>
  <si>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</si>
  <si>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</si>
  <si>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</si>
  <si>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</si>
  <si>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</si>
  <si>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</si>
  <si>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</si>
  <si>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</si>
  <si>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</si>
  <si>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</si>
  <si>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</si>
  <si>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</si>
  <si>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</si>
  <si>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</si>
  <si>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</si>
  <si>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</si>
  <si>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</si>
  <si>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</si>
  <si>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</si>
  <si>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</si>
  <si>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</si>
  <si>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</si>
  <si>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</si>
  <si>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</si>
  <si>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</si>
  <si>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</si>
  <si>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</si>
  <si>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</si>
  <si>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</si>
  <si>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</si>
  <si>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</si>
  <si>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</si>
  <si>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</si>
  <si>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</si>
  <si>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</si>
  <si>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</si>
  <si>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</si>
  <si>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</si>
  <si>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</si>
  <si>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</si>
  <si>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</si>
  <si>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</si>
  <si>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</si>
  <si>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</si>
  <si>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</si>
  <si>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</si>
  <si>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</si>
  <si>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</si>
  <si>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</si>
  <si>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</si>
  <si>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</si>
  <si>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</si>
  <si>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</si>
  <si>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</si>
  <si>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</si>
  <si>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</si>
  <si>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</si>
  <si>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</si>
  <si>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</si>
  <si>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</si>
  <si>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</si>
  <si>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</si>
  <si>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</si>
  <si>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</si>
  <si>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</si>
  <si>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</si>
  <si>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</si>
  <si>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</si>
  <si>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</si>
  <si>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</si>
  <si>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</si>
  <si>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</si>
  <si>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</si>
  <si>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</si>
  <si>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</si>
  <si>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</si>
  <si>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</si>
  <si>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</si>
  <si>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</si>
  <si>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</si>
  <si>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</si>
  <si>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</si>
  <si>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</si>
  <si>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</si>
  <si>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</si>
  <si>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</si>
  <si>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</si>
  <si>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</si>
  <si>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</si>
  <si>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</si>
  <si>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</si>
  <si>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</si>
  <si>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</si>
  <si>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</si>
  <si>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</si>
  <si>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</si>
  <si>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</si>
  <si>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</si>
  <si>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</si>
  <si>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</si>
  <si>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</si>
  <si>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</si>
  <si>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</si>
  <si>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</si>
  <si>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</si>
  <si>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</si>
  <si>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</si>
  <si>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</si>
  <si>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</si>
  <si>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</si>
  <si>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</si>
  <si>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</si>
  <si>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</si>
  <si>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</si>
  <si>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</si>
  <si>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</si>
  <si>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</si>
  <si>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</si>
  <si>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</si>
  <si>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</si>
  <si>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</si>
  <si>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</si>
  <si>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</si>
  <si>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</si>
  <si>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</si>
  <si>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</si>
  <si>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</si>
  <si>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</si>
  <si>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</si>
  <si>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</si>
  <si>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</si>
  <si>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</si>
  <si>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</si>
  <si>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</si>
  <si>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</si>
  <si>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</si>
  <si>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</si>
  <si>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</si>
  <si>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</si>
  <si>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</si>
  <si>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</si>
  <si>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</si>
  <si>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</si>
  <si>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</si>
  <si>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</si>
  <si>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</si>
  <si>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</si>
  <si>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</si>
  <si>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</si>
  <si>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</si>
  <si>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</si>
  <si>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</si>
  <si>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</si>
  <si>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</si>
  <si>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</si>
  <si>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</si>
  <si>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</si>
  <si>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</si>
  <si>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</si>
  <si>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</si>
  <si>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</si>
  <si>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</si>
  <si>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</si>
  <si>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</si>
  <si>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</si>
  <si>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</si>
  <si>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</si>
  <si>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</si>
  <si>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</si>
  <si>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</si>
  <si>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</si>
  <si>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</si>
  <si>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</si>
  <si>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</si>
  <si>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</si>
  <si>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</si>
  <si>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</si>
  <si>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</si>
  <si>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</si>
  <si>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</si>
  <si>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</si>
  <si>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</si>
  <si>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</si>
  <si>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</si>
  <si>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</si>
  <si>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</si>
  <si>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</si>
  <si>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</si>
  <si>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</si>
  <si>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</si>
  <si>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</si>
  <si>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</si>
  <si>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</si>
  <si>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</si>
  <si>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</si>
  <si>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</si>
  <si>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</si>
  <si>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</si>
  <si>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</si>
  <si>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</si>
  <si>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</si>
  <si>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</si>
  <si>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</si>
  <si>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</si>
  <si>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</si>
  <si>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</si>
  <si>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</si>
  <si>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</si>
  <si>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</si>
  <si>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</si>
  <si>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</si>
  <si>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</si>
  <si>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</si>
  <si>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</si>
  <si>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</si>
  <si>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</si>
  <si>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</si>
  <si>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</si>
  <si>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</si>
  <si>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</si>
  <si>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</si>
  <si>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</si>
  <si>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</si>
  <si>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</si>
  <si>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</si>
  <si>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</si>
  <si>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</si>
  <si>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</si>
  <si>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</si>
  <si>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</si>
  <si>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</si>
  <si>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</si>
  <si>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</si>
  <si>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</si>
  <si>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</si>
  <si>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</si>
  <si>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</si>
  <si>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</si>
  <si>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</si>
  <si>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</si>
  <si>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</si>
  <si>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</si>
  <si>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</si>
  <si>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</si>
  <si>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</si>
  <si>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</si>
  <si>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</si>
  <si>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</si>
  <si>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</si>
  <si>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</si>
  <si>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</si>
  <si>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</si>
  <si>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</si>
  <si>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</si>
  <si>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</si>
  <si>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</si>
  <si>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</si>
  <si>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</si>
  <si>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</si>
  <si>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</si>
  <si>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</si>
  <si>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</si>
  <si>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</si>
  <si>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</si>
  <si>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</si>
  <si>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</si>
  <si>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</si>
  <si>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</si>
  <si>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</si>
  <si>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</si>
  <si>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</si>
  <si>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</si>
  <si>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</si>
  <si>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</si>
  <si>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</si>
  <si>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</si>
  <si>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</si>
  <si>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</si>
  <si>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</si>
  <si>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</si>
  <si>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</si>
  <si>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</si>
  <si>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</si>
  <si>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</si>
  <si>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</si>
  <si>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</si>
  <si>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</si>
  <si>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</si>
  <si>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</si>
  <si>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</si>
  <si>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</si>
  <si>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</si>
  <si>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</si>
  <si>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</si>
  <si>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</si>
  <si>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</si>
  <si>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</si>
  <si>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</si>
  <si>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</si>
  <si>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</si>
  <si>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</si>
  <si>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</si>
  <si>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</si>
  <si>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</si>
  <si>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</si>
  <si>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</si>
  <si>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</si>
  <si>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</si>
  <si>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</si>
  <si>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</si>
  <si>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</si>
  <si>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</si>
  <si>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</si>
  <si>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</si>
  <si>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</si>
  <si>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</si>
  <si>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</si>
  <si>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</si>
  <si>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</si>
  <si>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</si>
  <si>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</si>
  <si>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</si>
  <si>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</si>
  <si>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</si>
  <si>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</si>
  <si>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</si>
  <si>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</si>
  <si>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</si>
  <si>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</si>
  <si>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</si>
  <si>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</si>
  <si>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</si>
  <si>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</si>
  <si>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</si>
  <si>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</si>
  <si>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</si>
  <si>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</si>
  <si>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</si>
  <si>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</si>
  <si>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</si>
  <si>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</si>
  <si>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</si>
  <si>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</si>
  <si>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</si>
  <si>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</si>
  <si>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</si>
  <si>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</si>
  <si>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</si>
  <si>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</si>
  <si>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</si>
  <si>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</si>
  <si>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</si>
  <si>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</si>
  <si>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</si>
  <si>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</si>
  <si>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</si>
  <si>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</si>
  <si>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</si>
  <si>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</si>
  <si>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</si>
  <si>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</si>
  <si>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</si>
  <si>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</si>
  <si>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</si>
  <si>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</si>
  <si>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</si>
  <si>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</si>
  <si>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</si>
  <si>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</si>
  <si>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</si>
  <si>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</si>
  <si>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</si>
  <si>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</si>
  <si>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</si>
  <si>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</si>
  <si>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</si>
  <si>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</si>
  <si>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</si>
  <si>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</si>
  <si>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</si>
  <si>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</si>
  <si>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</si>
  <si>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</si>
  <si>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</si>
  <si>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</si>
  <si>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</si>
  <si>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</si>
  <si>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</si>
  <si>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</si>
  <si>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</si>
  <si>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</si>
  <si>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</si>
  <si>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</si>
  <si>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</si>
  <si>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</si>
  <si>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</si>
  <si>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</si>
  <si>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</si>
  <si>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</si>
  <si>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</si>
  <si>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</si>
  <si>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</si>
  <si>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</si>
  <si>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</si>
  <si>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</si>
  <si>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</si>
  <si>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</si>
  <si>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</si>
  <si>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</si>
  <si>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</si>
  <si>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</si>
  <si>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</si>
  <si>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</si>
  <si>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</si>
  <si>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</si>
  <si>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</si>
  <si>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</si>
  <si>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</si>
  <si>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</si>
  <si>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</si>
  <si>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</si>
  <si>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</si>
  <si>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</si>
  <si>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</si>
  <si>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</si>
  <si>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</si>
  <si>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</si>
  <si>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</si>
  <si>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</si>
  <si>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</si>
  <si>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</si>
  <si>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</si>
  <si>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</si>
  <si>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</si>
  <si>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</si>
  <si>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</si>
  <si>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</si>
  <si>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</si>
  <si>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</si>
  <si>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</si>
  <si>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</si>
  <si>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</si>
  <si>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</si>
  <si>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</si>
  <si>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</si>
  <si>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</si>
  <si>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</si>
  <si>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</si>
  <si>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</si>
  <si>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</si>
  <si>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</si>
  <si>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</si>
  <si>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</si>
  <si>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</si>
  <si>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</si>
  <si>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</si>
  <si>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</si>
  <si>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</si>
  <si>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</si>
  <si>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</si>
  <si>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</si>
  <si>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</si>
  <si>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</si>
  <si>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</si>
  <si>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</si>
  <si>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</si>
  <si>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</si>
  <si>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</si>
  <si>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</si>
  <si>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</si>
  <si>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</si>
  <si>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</si>
  <si>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</si>
  <si>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</si>
  <si>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</si>
  <si>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</si>
  <si>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</si>
  <si>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</si>
  <si>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</si>
  <si>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</si>
  <si>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</si>
  <si>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</si>
  <si>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</si>
  <si>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</si>
  <si>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</si>
  <si>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</si>
  <si>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</si>
  <si>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</si>
  <si>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</si>
  <si>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</si>
  <si>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</si>
  <si>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</si>
  <si>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</si>
  <si>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</si>
  <si>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</si>
  <si>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</si>
  <si>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</si>
  <si>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</si>
  <si>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</si>
  <si>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</si>
  <si>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</si>
  <si>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</si>
  <si>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</si>
  <si>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</si>
  <si>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</si>
  <si>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</si>
  <si>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</si>
  <si>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</si>
  <si>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</si>
  <si>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</si>
  <si>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</si>
  <si>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</si>
  <si>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</si>
  <si>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</si>
  <si>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</si>
  <si>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</si>
  <si>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</si>
  <si>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</si>
  <si>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</si>
  <si>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</si>
  <si>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</si>
  <si>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</si>
  <si>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</si>
  <si>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</si>
  <si>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</si>
  <si>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</si>
  <si>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</si>
  <si>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</si>
  <si>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</si>
  <si>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</si>
  <si>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</si>
  <si>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</si>
  <si>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</si>
  <si>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</si>
  <si>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</si>
  <si>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</si>
  <si>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</si>
  <si>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</si>
  <si>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</si>
  <si>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</si>
  <si>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</si>
  <si>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</si>
  <si>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</si>
  <si>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</si>
  <si>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</si>
  <si>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</si>
  <si>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</si>
  <si>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</si>
  <si>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</si>
  <si>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</si>
  <si>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</si>
  <si>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</si>
  <si>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</si>
  <si>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</si>
  <si>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</si>
  <si>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</si>
  <si>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</si>
  <si>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</si>
  <si>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</si>
  <si>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</si>
  <si>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</si>
  <si>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</si>
  <si>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</si>
  <si>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</si>
  <si>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</si>
  <si>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</si>
  <si>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</si>
  <si>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</si>
  <si>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</si>
  <si>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</si>
  <si>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</si>
  <si>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</si>
  <si>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</si>
  <si>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</si>
  <si>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</si>
  <si>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</si>
  <si>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</si>
  <si>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</si>
  <si>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</si>
  <si>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</si>
  <si>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</si>
  <si>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</si>
  <si>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</si>
  <si>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</si>
  <si>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</si>
  <si>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</si>
  <si>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</si>
  <si>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</si>
  <si>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</si>
  <si>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</si>
  <si>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</si>
  <si>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</si>
  <si>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</si>
  <si>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</si>
  <si>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</si>
  <si>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</si>
  <si>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</si>
  <si>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</si>
  <si>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</si>
  <si>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</si>
  <si>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</si>
  <si>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</si>
  <si>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</si>
  <si>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</si>
  <si>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</si>
  <si>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</si>
  <si>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</si>
  <si>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</si>
  <si>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</si>
  <si>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</si>
  <si>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</si>
  <si>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</si>
  <si>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</si>
  <si>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</si>
  <si>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</si>
  <si>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</si>
  <si>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</si>
  <si>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</si>
  <si>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</si>
  <si>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</si>
  <si>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</si>
  <si>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</si>
  <si>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</si>
  <si>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</si>
  <si>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</si>
  <si>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</si>
  <si>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</si>
  <si>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</si>
  <si>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</si>
  <si>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</si>
  <si>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</si>
  <si>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</si>
  <si>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</si>
  <si>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</si>
  <si>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</si>
  <si>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</si>
  <si>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</si>
  <si>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</si>
  <si>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</si>
  <si>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</si>
  <si>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</si>
  <si>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</si>
  <si>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</si>
  <si>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</si>
  <si>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</si>
  <si>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</si>
  <si>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</si>
  <si>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</si>
  <si>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</si>
  <si>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</si>
  <si>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</si>
  <si>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</si>
  <si>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</si>
  <si>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</si>
  <si>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</si>
  <si>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</si>
  <si>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</si>
  <si>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</si>
  <si>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</si>
  <si>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</si>
  <si>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</si>
  <si>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</si>
  <si>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</si>
  <si>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</si>
  <si>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</si>
  <si>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</si>
  <si>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</si>
  <si>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</si>
  <si>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</si>
  <si>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</si>
  <si>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</si>
  <si>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</si>
  <si>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</si>
  <si>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</si>
  <si>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</si>
  <si>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</si>
  <si>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</si>
  <si>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</si>
  <si>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</si>
  <si>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</si>
  <si>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</si>
  <si>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</si>
  <si>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</si>
  <si>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</si>
  <si>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</si>
  <si>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</si>
  <si>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</si>
  <si>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</si>
  <si>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</si>
  <si>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</si>
  <si>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</si>
  <si>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</si>
  <si>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</si>
  <si>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</si>
  <si>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</si>
  <si>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</si>
  <si>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</si>
  <si>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</si>
  <si>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</si>
  <si>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</si>
  <si>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</si>
  <si>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</si>
  <si>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</si>
  <si>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</si>
  <si>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</si>
  <si>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</si>
  <si>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</si>
  <si>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</si>
  <si>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</si>
  <si>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</si>
  <si>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</si>
  <si>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</si>
  <si>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</si>
  <si>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</si>
  <si>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</si>
  <si>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</si>
  <si>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</si>
  <si>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</si>
  <si>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</si>
  <si>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</si>
  <si>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</si>
  <si>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</si>
  <si>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</si>
  <si>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</si>
  <si>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</si>
  <si>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</si>
  <si>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</si>
  <si>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</si>
  <si>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</si>
  <si>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</si>
  <si>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</si>
  <si>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</si>
  <si>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</si>
  <si>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</si>
  <si>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</si>
  <si>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</si>
  <si>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</si>
  <si>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</si>
  <si>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</si>
  <si>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</si>
  <si>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</si>
  <si>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</si>
  <si>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</si>
  <si>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</si>
  <si>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</si>
  <si>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</si>
  <si>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</si>
  <si>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</si>
  <si>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</si>
  <si>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</si>
  <si>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</si>
  <si>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</si>
  <si>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</si>
  <si>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</si>
  <si>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</si>
  <si>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</si>
  <si>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</si>
  <si>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</si>
  <si>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</si>
  <si>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</si>
  <si>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</si>
  <si>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</si>
  <si>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</si>
  <si>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</si>
  <si>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</si>
  <si>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</si>
  <si>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</si>
  <si>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</si>
  <si>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</si>
  <si>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</si>
  <si>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</si>
  <si>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</si>
  <si>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</si>
  <si>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</si>
  <si>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</si>
  <si>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</si>
  <si>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</si>
  <si>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</si>
  <si>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</si>
  <si>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</si>
  <si>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</si>
  <si>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</si>
  <si>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</si>
  <si>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</si>
  <si>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</si>
  <si>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</si>
  <si>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</si>
  <si>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</si>
  <si>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</si>
  <si>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</si>
  <si>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</si>
  <si>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</si>
  <si>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</si>
  <si>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</si>
  <si>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</si>
  <si>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</si>
  <si>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</si>
  <si>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</si>
  <si>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</si>
  <si>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</si>
  <si>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</si>
  <si>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</si>
  <si>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</si>
  <si>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</si>
  <si>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</si>
  <si>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</si>
  <si>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</si>
  <si>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</si>
  <si>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</si>
  <si>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</si>
  <si>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</si>
  <si>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</si>
  <si>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</si>
  <si>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</si>
  <si>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</si>
  <si>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</si>
  <si>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</si>
  <si>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</si>
  <si>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</si>
  <si>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</si>
  <si>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</si>
  <si>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</si>
  <si>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</si>
  <si>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</si>
  <si>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</si>
  <si>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</si>
  <si>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</si>
  <si>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</si>
  <si>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</si>
  <si>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</si>
  <si>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</si>
  <si>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</si>
  <si>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</si>
  <si>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</si>
  <si>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</si>
  <si>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</si>
  <si>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</si>
  <si>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</si>
  <si>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</si>
  <si>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</si>
  <si>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</si>
  <si>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</si>
  <si>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</si>
  <si>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</si>
  <si>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</si>
  <si>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</si>
  <si>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</si>
  <si>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</si>
  <si>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</si>
  <si>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</si>
  <si>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</si>
  <si>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</si>
  <si>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</si>
  <si>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</si>
  <si>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</si>
  <si>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</si>
  <si>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</si>
  <si>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</si>
  <si>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</si>
  <si>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</si>
  <si>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</si>
  <si>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</si>
  <si>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</si>
  <si>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</si>
  <si>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</si>
  <si>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</si>
  <si>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</si>
  <si>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</si>
  <si>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</si>
  <si>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</si>
  <si>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</si>
  <si>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</si>
  <si>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</si>
  <si>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</si>
  <si>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</si>
  <si>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</si>
  <si>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</si>
  <si>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</si>
  <si>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</si>
  <si>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</si>
  <si>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</si>
  <si>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</si>
  <si>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</si>
  <si>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</si>
  <si>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</si>
  <si>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</si>
  <si>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</si>
  <si>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</si>
  <si>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</si>
  <si>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</si>
  <si>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</si>
  <si>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</si>
  <si>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</si>
  <si>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</si>
  <si>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</si>
  <si>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</si>
  <si>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</si>
  <si>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</si>
  <si>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</si>
  <si>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</si>
  <si>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</si>
  <si>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</si>
  <si>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</si>
  <si>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</si>
  <si>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</si>
  <si>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</si>
  <si>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</si>
  <si>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</si>
  <si>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</si>
  <si>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</si>
  <si>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</si>
  <si>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</si>
  <si>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</si>
  <si>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</si>
  <si>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</si>
  <si>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</si>
  <si>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</si>
  <si>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</si>
  <si>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</si>
  <si>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</si>
  <si>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</si>
  <si>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</si>
  <si>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</si>
  <si>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</si>
  <si>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</si>
  <si>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</si>
  <si>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</si>
  <si>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</si>
  <si>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</si>
  <si>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</si>
  <si>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</si>
  <si>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</si>
  <si>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</si>
  <si>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</si>
  <si>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</si>
  <si>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</si>
  <si>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</si>
  <si>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</si>
  <si>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</si>
  <si>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</si>
  <si>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</si>
  <si>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</si>
  <si>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</si>
  <si>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</si>
  <si>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</si>
  <si>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</si>
  <si>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</si>
  <si>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</si>
  <si>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</si>
  <si>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</si>
  <si>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</si>
  <si>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</si>
  <si>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</si>
  <si>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</si>
  <si>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</si>
  <si>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</si>
  <si>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</si>
  <si>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</si>
  <si>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</si>
  <si>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</si>
  <si>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</si>
  <si>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</si>
  <si>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</si>
  <si>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</si>
  <si>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</si>
  <si>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</si>
  <si>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</si>
  <si>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</si>
  <si>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</si>
  <si>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</si>
  <si>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</si>
  <si>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</si>
  <si>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</si>
  <si>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</si>
  <si>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</si>
  <si>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</si>
  <si>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</si>
  <si>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</si>
  <si>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</si>
  <si>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</si>
  <si>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</si>
  <si>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</si>
  <si>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</si>
  <si>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</si>
  <si>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</si>
  <si>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</si>
  <si>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</si>
  <si>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</si>
  <si>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</si>
  <si>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</si>
  <si>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</si>
  <si>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</si>
  <si>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</si>
  <si>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</si>
  <si>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</si>
  <si>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</si>
  <si>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</si>
  <si>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</si>
  <si>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</si>
  <si>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</si>
  <si>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</si>
  <si>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</si>
  <si>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</si>
  <si>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</si>
  <si>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</si>
  <si>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</si>
  <si>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</si>
  <si>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</si>
  <si>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</si>
  <si>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</si>
  <si>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</si>
  <si>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</si>
  <si>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</si>
  <si>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</si>
  <si>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</si>
  <si>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</si>
  <si>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</si>
  <si>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</si>
  <si>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</si>
  <si>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</si>
  <si>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</si>
  <si>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</si>
  <si>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</si>
  <si>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</si>
  <si>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</si>
  <si>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</si>
  <si>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</si>
  <si>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</si>
  <si>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</si>
  <si>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</si>
  <si>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</si>
  <si>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</si>
  <si>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</si>
  <si>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</si>
  <si>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</si>
  <si>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</si>
  <si>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</si>
  <si>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</si>
  <si>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</si>
  <si>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</si>
  <si>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</si>
  <si>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</si>
  <si>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</si>
  <si>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</si>
  <si>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</si>
  <si>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</si>
  <si>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</si>
  <si>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</si>
  <si>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</si>
  <si>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</si>
  <si>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</si>
  <si>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</si>
  <si>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</si>
  <si>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</si>
  <si>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</si>
  <si>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</si>
  <si>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</si>
  <si>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</si>
  <si>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</si>
  <si>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</si>
  <si>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</si>
  <si>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</si>
  <si>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</si>
  <si>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</si>
  <si>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</si>
  <si>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</si>
  <si>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</si>
  <si>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</si>
  <si>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</si>
  <si>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</si>
  <si>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</si>
  <si>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</si>
  <si>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</si>
  <si>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</si>
  <si>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</si>
  <si>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</si>
  <si>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</si>
  <si>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</si>
  <si>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</si>
  <si>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</si>
  <si>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</si>
  <si>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</si>
  <si>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</si>
  <si>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</si>
  <si>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</si>
  <si>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</si>
  <si>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</si>
  <si>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</si>
  <si>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</si>
  <si>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</si>
  <si>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</si>
  <si>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</si>
  <si>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</si>
  <si>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</si>
  <si>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</si>
  <si>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</si>
  <si>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</si>
  <si>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</si>
  <si>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</si>
  <si>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</si>
  <si>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</si>
  <si>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</si>
  <si>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</si>
  <si>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</si>
  <si>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</si>
  <si>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</si>
  <si>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</si>
  <si>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</si>
  <si>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</si>
  <si>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</si>
  <si>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</si>
  <si>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</si>
  <si>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</si>
  <si>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</si>
  <si>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</si>
  <si>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</si>
  <si>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</si>
  <si>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</si>
  <si>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</si>
  <si>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</si>
  <si>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</si>
  <si>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</si>
  <si>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</si>
  <si>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</si>
  <si>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</si>
  <si>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</si>
  <si>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</si>
  <si>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</si>
  <si>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</si>
  <si>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</si>
  <si>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</si>
  <si>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</si>
  <si>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</si>
  <si>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</si>
  <si>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</si>
  <si>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</si>
  <si>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</si>
  <si>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</si>
  <si>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</si>
  <si>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</si>
  <si>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</si>
  <si>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</si>
  <si>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</si>
  <si>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</si>
  <si>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</si>
  <si>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</si>
  <si>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</si>
  <si>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</si>
  <si>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</si>
  <si>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</si>
  <si>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</si>
  <si>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</si>
  <si>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</si>
  <si>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</si>
  <si>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</si>
  <si>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</si>
  <si>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</si>
  <si>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</si>
  <si>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</si>
  <si>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</si>
  <si>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</si>
  <si>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</si>
  <si>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</si>
  <si>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</si>
  <si>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</si>
  <si>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</si>
  <si>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</si>
  <si>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</si>
  <si>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</si>
  <si>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</si>
  <si>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</si>
  <si>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</si>
  <si>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</si>
  <si>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</si>
  <si>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</si>
  <si>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</si>
  <si>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</si>
  <si>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</si>
  <si>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</si>
  <si>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</si>
  <si>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</si>
  <si>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</si>
  <si>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</si>
  <si>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</si>
  <si>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</si>
  <si>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</si>
  <si>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</si>
  <si>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</si>
  <si>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</si>
  <si>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</si>
  <si>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</si>
  <si>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</si>
  <si>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</si>
  <si>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</si>
  <si>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</si>
  <si>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</si>
  <si>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</si>
  <si>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</si>
  <si>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</si>
  <si>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</si>
  <si>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</si>
  <si>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</si>
  <si>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</si>
  <si>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</si>
  <si>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</si>
  <si>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</si>
  <si>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</si>
  <si>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</si>
  <si>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</si>
  <si>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</si>
  <si>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</si>
  <si>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</si>
  <si>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</si>
  <si>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</si>
  <si>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</si>
  <si>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</si>
  <si>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</si>
  <si>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</si>
  <si>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</si>
  <si>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</si>
  <si>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</si>
  <si>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</si>
  <si>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</si>
  <si>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</si>
  <si>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</si>
  <si>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</si>
  <si>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</si>
  <si>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</si>
  <si>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</si>
  <si>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</si>
  <si>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</si>
  <si>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</si>
  <si>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</si>
  <si>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</si>
  <si>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</si>
  <si>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</si>
  <si>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</si>
  <si>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</si>
  <si>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</si>
  <si>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</si>
  <si>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</si>
  <si>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</si>
  <si>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</si>
  <si>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</si>
  <si>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</si>
  <si>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</si>
  <si>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</si>
  <si>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</si>
  <si>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</si>
  <si>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</si>
  <si>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</si>
  <si>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</si>
  <si>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</si>
  <si>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</si>
  <si>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</si>
  <si>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</si>
  <si>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</si>
  <si>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</si>
  <si>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</si>
  <si>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</si>
  <si>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</si>
  <si>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</si>
  <si>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</si>
  <si>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</si>
  <si>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</si>
  <si>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</si>
  <si>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</si>
  <si>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</si>
  <si>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</si>
  <si>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</si>
  <si>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</si>
  <si>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</si>
  <si>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</si>
  <si>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</si>
  <si>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</si>
  <si>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</si>
  <si>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</si>
  <si>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</si>
  <si>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</si>
  <si>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</si>
  <si>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</si>
  <si>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</si>
  <si>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</si>
  <si>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</si>
  <si>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</si>
  <si>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</si>
  <si>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</si>
  <si>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</si>
  <si>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</si>
  <si>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</si>
  <si>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</si>
  <si>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</si>
  <si>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</si>
  <si>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</si>
  <si>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</si>
  <si>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</si>
  <si>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</si>
  <si>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</si>
  <si>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</si>
  <si>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</si>
  <si>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</si>
  <si>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</si>
  <si>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</si>
  <si>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</si>
  <si>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</si>
  <si>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</si>
  <si>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</si>
  <si>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</si>
  <si>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</si>
  <si>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</si>
  <si>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</si>
  <si>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</si>
  <si>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</si>
  <si>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</si>
  <si>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</si>
  <si>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</si>
  <si>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</si>
  <si>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</si>
  <si>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</si>
  <si>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</si>
  <si>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</si>
  <si>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</si>
  <si>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</si>
  <si>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</si>
  <si>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</si>
  <si>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</si>
  <si>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</si>
  <si>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</si>
  <si>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</si>
  <si>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</si>
  <si>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</si>
  <si>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</si>
  <si>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</si>
  <si>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</si>
  <si>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</si>
  <si>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</si>
  <si>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</si>
  <si>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</si>
  <si>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</si>
  <si>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</si>
  <si>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</si>
  <si>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</si>
  <si>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</si>
  <si>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</si>
  <si>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</si>
  <si>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</si>
  <si>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</si>
  <si>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</si>
  <si>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</si>
  <si>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</si>
  <si>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</si>
  <si>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</si>
  <si>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</si>
  <si>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</si>
  <si>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</si>
  <si>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</si>
  <si>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</si>
  <si>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</si>
  <si>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</si>
  <si>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</si>
  <si>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</si>
  <si>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</si>
  <si>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</si>
  <si>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</si>
  <si>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</si>
  <si>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</si>
  <si>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</si>
  <si>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</si>
  <si>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</si>
  <si>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</si>
  <si>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</si>
  <si>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</si>
  <si>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</si>
  <si>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</si>
  <si>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</si>
  <si>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</si>
  <si>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</si>
  <si>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</si>
  <si>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</si>
  <si>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</si>
  <si>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</si>
  <si>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</si>
  <si>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</si>
  <si>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</si>
  <si>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</si>
  <si>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</si>
  <si>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</si>
  <si>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</si>
  <si>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</si>
  <si>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</si>
  <si>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</si>
  <si>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</si>
  <si>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</si>
  <si>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</si>
  <si>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</si>
  <si>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</si>
  <si>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</si>
  <si>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</si>
  <si>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</si>
  <si>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</si>
  <si>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</si>
  <si>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</si>
  <si>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</si>
  <si>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</si>
  <si>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</si>
  <si>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</si>
  <si>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</si>
  <si>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</si>
  <si>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</si>
  <si>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</si>
  <si>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</si>
  <si>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</si>
  <si>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</si>
  <si>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</si>
  <si>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</si>
  <si>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</si>
  <si>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</si>
  <si>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</si>
  <si>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</si>
  <si>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</si>
  <si>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</si>
  <si>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</si>
  <si>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</si>
  <si>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</si>
  <si>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</si>
  <si>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</si>
  <si>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</si>
  <si>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</si>
  <si>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</si>
  <si>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</si>
  <si>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</si>
  <si>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</si>
  <si>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</si>
  <si>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</si>
  <si>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</si>
  <si>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</si>
  <si>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</si>
  <si>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</si>
  <si>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</si>
  <si>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</si>
  <si>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</si>
  <si>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</si>
  <si>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</si>
  <si>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</si>
  <si>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</si>
  <si>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</si>
  <si>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</si>
  <si>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</si>
  <si>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</si>
  <si>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</si>
  <si>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</si>
  <si>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</si>
  <si>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</si>
  <si>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</si>
  <si>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</si>
  <si>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</si>
  <si>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</si>
  <si>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</si>
  <si>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</si>
  <si>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</si>
  <si>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</si>
  <si>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</si>
  <si>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</si>
  <si>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</si>
  <si>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</si>
  <si>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</si>
  <si>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</si>
  <si>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</si>
  <si>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</si>
  <si>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</si>
  <si>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</si>
  <si>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</si>
  <si>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</si>
  <si>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</si>
  <si>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</si>
  <si>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</si>
  <si>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</si>
  <si>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</si>
  <si>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</si>
  <si>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</si>
  <si>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</si>
  <si>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</si>
  <si>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</si>
  <si>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</si>
  <si>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</si>
  <si>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</si>
  <si>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</si>
  <si>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</si>
  <si>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</si>
  <si>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</si>
  <si>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</si>
  <si>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</si>
  <si>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</si>
  <si>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</si>
  <si>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</si>
  <si>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</si>
  <si>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</si>
  <si>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</si>
  <si>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</si>
  <si>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</si>
  <si>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</si>
  <si>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</si>
  <si>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</si>
  <si>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</si>
  <si>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</si>
  <si>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</si>
  <si>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</si>
  <si>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</si>
  <si>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</si>
  <si>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</si>
  <si>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</si>
  <si>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</si>
  <si>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</si>
  <si>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</si>
  <si>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</si>
  <si>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</si>
  <si>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</si>
  <si>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</si>
  <si>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</si>
  <si>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</si>
  <si>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</si>
  <si>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</si>
  <si>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</si>
  <si>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</si>
  <si>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</si>
  <si>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</si>
  <si>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</si>
  <si>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</si>
  <si>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</si>
  <si>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</si>
  <si>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</si>
  <si>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</si>
  <si>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</si>
  <si>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</si>
  <si>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</si>
  <si>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</si>
  <si>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</si>
  <si>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</si>
  <si>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</si>
  <si>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</si>
  <si>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</si>
  <si>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</si>
  <si>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</si>
  <si>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</si>
  <si>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</si>
  <si>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</si>
  <si>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</si>
  <si>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</si>
  <si>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</si>
  <si>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</si>
  <si>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</si>
  <si>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</si>
  <si>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</si>
  <si>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</si>
  <si>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</si>
  <si>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</si>
  <si>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</si>
  <si>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</si>
  <si>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</si>
  <si>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</si>
  <si>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</si>
  <si>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</si>
  <si>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</si>
  <si>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</si>
  <si>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</si>
  <si>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</si>
  <si>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</si>
  <si>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</si>
  <si>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</si>
  <si>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</si>
  <si>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</si>
  <si>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</si>
  <si>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</si>
  <si>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</si>
  <si>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</si>
  <si>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</si>
  <si>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</si>
  <si>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</si>
  <si>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</si>
  <si>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</si>
  <si>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</si>
  <si>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</si>
  <si>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</si>
  <si>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</si>
  <si>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</si>
  <si>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</si>
  <si>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</si>
  <si>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</si>
  <si>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</si>
  <si>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</si>
  <si>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</si>
  <si>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</si>
  <si>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</si>
  <si>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</si>
  <si>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</si>
  <si>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</si>
  <si>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</si>
  <si>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</si>
  <si>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</si>
  <si>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</si>
  <si>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</si>
  <si>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</si>
  <si>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</si>
  <si>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</si>
  <si>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</si>
  <si>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</si>
  <si>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</si>
  <si>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</si>
  <si>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</si>
  <si>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</si>
  <si>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</si>
  <si>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</si>
  <si>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</si>
  <si>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</si>
  <si>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</si>
  <si>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</si>
  <si>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</si>
  <si>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</si>
  <si>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</si>
  <si>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</si>
  <si>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</si>
  <si>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</si>
  <si>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</si>
  <si>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</si>
  <si>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</si>
  <si>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</si>
  <si>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</si>
  <si>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</si>
  <si>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</si>
  <si>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</si>
  <si>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</si>
  <si>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</si>
  <si>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</si>
  <si>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</si>
  <si>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</si>
  <si>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</si>
  <si>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</si>
  <si>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</si>
  <si>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</si>
  <si>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</si>
  <si>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</si>
  <si>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</si>
  <si>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</si>
  <si>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</si>
  <si>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</si>
  <si>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</si>
  <si>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</si>
  <si>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</si>
  <si>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</si>
  <si>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</si>
  <si>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</si>
  <si>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</si>
  <si>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</si>
  <si>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</si>
  <si>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</si>
  <si>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</si>
  <si>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</si>
  <si>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</si>
  <si>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</si>
  <si>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</si>
  <si>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</si>
  <si>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</si>
  <si>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</si>
  <si>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</si>
  <si>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</si>
  <si>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</si>
  <si>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</si>
  <si>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</si>
  <si>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</si>
  <si>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</si>
  <si>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</si>
  <si>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</si>
  <si>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</si>
  <si>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</si>
  <si>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</si>
  <si>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</si>
  <si>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</si>
  <si>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</si>
  <si>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</si>
  <si>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</si>
  <si>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</si>
  <si>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</si>
  <si>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</si>
  <si>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</si>
  <si>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</si>
  <si>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</si>
  <si>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</si>
  <si>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</si>
  <si>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</si>
  <si>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</si>
  <si>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</si>
  <si>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</si>
  <si>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</si>
  <si>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</si>
  <si>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</si>
  <si>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</si>
  <si>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</si>
  <si>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</si>
  <si>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</si>
  <si>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</si>
  <si>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</si>
  <si>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</si>
  <si>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</si>
  <si>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</si>
  <si>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</si>
  <si>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</si>
  <si>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</si>
  <si>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</si>
  <si>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</si>
  <si>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</si>
  <si>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</si>
  <si>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</si>
  <si>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</si>
  <si>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</si>
  <si>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</si>
  <si>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</si>
  <si>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</si>
  <si>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</si>
  <si>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</si>
  <si>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</si>
  <si>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</si>
  <si>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</si>
  <si>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</si>
  <si>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</si>
  <si>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</si>
  <si>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</si>
  <si>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</si>
  <si>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</si>
  <si>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</si>
  <si>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</si>
  <si>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</si>
  <si>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</si>
  <si>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</si>
  <si>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</si>
  <si>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</si>
  <si>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</si>
  <si>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</si>
  <si>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</si>
  <si>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</si>
  <si>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</si>
  <si>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</si>
  <si>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</si>
  <si>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</si>
  <si>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</si>
  <si>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</si>
  <si>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</si>
  <si>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</si>
  <si>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</si>
  <si>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</si>
  <si>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</si>
  <si>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</si>
  <si>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</si>
  <si>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</si>
  <si>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</si>
  <si>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</si>
  <si>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</si>
  <si>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</si>
  <si>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</si>
  <si>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</si>
  <si>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</si>
  <si>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</si>
  <si>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</si>
  <si>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</si>
  <si>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</si>
  <si>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</si>
  <si>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</si>
  <si>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</si>
  <si>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</si>
  <si>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</si>
  <si>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</si>
  <si>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</si>
  <si>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</si>
  <si>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</si>
  <si>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</si>
  <si>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</si>
  <si>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</si>
  <si>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</si>
  <si>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</si>
  <si>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</si>
  <si>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</si>
  <si>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</si>
  <si>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</si>
  <si>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</si>
  <si>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</si>
  <si>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</si>
  <si>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</si>
  <si>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</si>
  <si>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</si>
  <si>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</si>
  <si>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</si>
  <si>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</si>
  <si>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</si>
  <si>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</si>
  <si>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</si>
  <si>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</si>
  <si>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</si>
  <si>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</si>
  <si>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</si>
  <si>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</si>
  <si>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</si>
  <si>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</si>
  <si>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</si>
  <si>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</si>
  <si>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</si>
  <si>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</si>
  <si>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</si>
  <si>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</si>
  <si>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</si>
  <si>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</si>
  <si>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</si>
  <si>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</si>
  <si>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</si>
  <si>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</si>
  <si>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</si>
  <si>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</si>
  <si>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</si>
  <si>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</si>
  <si>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</si>
  <si>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</si>
  <si>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</si>
  <si>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</si>
  <si>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</si>
  <si>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</si>
  <si>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</si>
  <si>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</si>
  <si>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</si>
  <si>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</si>
  <si>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</si>
  <si>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</si>
  <si>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</si>
  <si>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</si>
  <si>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</si>
  <si>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</si>
  <si>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</si>
  <si>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</si>
  <si>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</si>
  <si>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</si>
  <si>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</si>
  <si>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</si>
  <si>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</si>
  <si>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</si>
  <si>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</si>
  <si>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</si>
  <si>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</si>
  <si>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</si>
  <si>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</si>
  <si>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</si>
  <si>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</si>
  <si>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</si>
  <si>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</si>
  <si>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</si>
  <si>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</si>
  <si>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</si>
  <si>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</si>
  <si>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</si>
  <si>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</si>
  <si>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</si>
  <si>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</si>
  <si>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</si>
  <si>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</si>
  <si>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</si>
  <si>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</si>
  <si>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</si>
  <si>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</si>
  <si>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</si>
  <si>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</si>
  <si>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</si>
  <si>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</si>
  <si>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</si>
  <si>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</si>
  <si>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</si>
  <si>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</si>
  <si>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</si>
  <si>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</si>
  <si>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</si>
  <si>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</si>
  <si>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</si>
  <si>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</si>
  <si>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</si>
  <si>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</si>
  <si>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</si>
  <si>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</si>
  <si>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</si>
  <si>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</si>
  <si>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</si>
  <si>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</si>
  <si>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</si>
  <si>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</si>
  <si>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</si>
  <si>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</si>
  <si>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</si>
  <si>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</si>
  <si>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</si>
  <si>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</si>
  <si>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</si>
  <si>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</si>
  <si>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</si>
  <si>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</si>
  <si>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</si>
  <si>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</si>
  <si>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</si>
  <si>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</si>
  <si>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</si>
  <si>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</si>
  <si>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</si>
  <si>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</si>
  <si>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</si>
  <si>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</si>
  <si>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</si>
  <si>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</si>
  <si>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</si>
  <si>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</si>
  <si>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</si>
  <si>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</si>
  <si>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</si>
  <si>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</si>
  <si>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</si>
  <si>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</si>
  <si>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</si>
  <si>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</si>
  <si>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</si>
  <si>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</si>
  <si>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</si>
  <si>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</si>
  <si>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</si>
  <si>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</si>
  <si>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</si>
  <si>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</si>
  <si>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</si>
  <si>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</si>
  <si>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</si>
  <si>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</si>
  <si>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</si>
  <si>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</si>
  <si>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</si>
  <si>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</si>
  <si>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</si>
  <si>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</si>
  <si>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</si>
  <si>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</si>
  <si>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</si>
  <si>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</si>
  <si>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</si>
  <si>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</si>
  <si>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</si>
  <si>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</si>
  <si>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</si>
  <si>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</si>
  <si>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</si>
  <si>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</si>
  <si>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</si>
  <si>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</si>
  <si>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</si>
  <si>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</si>
  <si>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</si>
  <si>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</si>
  <si>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</si>
  <si>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</si>
  <si>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</si>
  <si>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</si>
  <si>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</si>
  <si>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</si>
  <si>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</si>
  <si>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</si>
  <si>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</si>
  <si>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</si>
  <si>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</si>
  <si>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</si>
  <si>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</si>
  <si>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</si>
  <si>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</si>
  <si>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</si>
  <si>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</si>
  <si>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</si>
  <si>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</si>
  <si>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</si>
  <si>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</si>
  <si>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</si>
  <si>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</si>
  <si>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</si>
  <si>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</si>
  <si>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</si>
  <si>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</si>
  <si>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</si>
  <si>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</si>
  <si>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</si>
  <si>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</si>
  <si>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</si>
  <si>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</si>
  <si>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</si>
  <si>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</si>
  <si>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</si>
  <si>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</si>
  <si>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</si>
  <si>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</si>
  <si>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</si>
  <si>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</si>
  <si>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</si>
  <si>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</si>
  <si>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</si>
  <si>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</si>
  <si>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</si>
  <si>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</si>
  <si>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</si>
  <si>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</si>
  <si>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</si>
  <si>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</si>
  <si>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</si>
  <si>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</si>
  <si>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</si>
  <si>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</si>
  <si>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</si>
  <si>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</si>
  <si>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</si>
  <si>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</si>
  <si>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</si>
  <si>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</si>
  <si>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</si>
  <si>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</si>
  <si>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</si>
  <si>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</si>
  <si>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</si>
  <si>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</si>
  <si>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</si>
  <si>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</si>
  <si>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</si>
  <si>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</si>
  <si>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</si>
  <si>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</si>
  <si>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</si>
  <si>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</si>
  <si>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</si>
  <si>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</si>
  <si>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</si>
  <si>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</si>
  <si>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</si>
  <si>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</si>
  <si>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</si>
  <si>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</si>
  <si>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</si>
  <si>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</si>
  <si>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</si>
  <si>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</si>
  <si>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</si>
  <si>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</si>
  <si>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</si>
  <si>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</si>
  <si>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</si>
  <si>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</si>
  <si>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</si>
  <si>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</si>
  <si>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</si>
  <si>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</si>
  <si>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</si>
  <si>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</si>
  <si>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</si>
  <si>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</si>
  <si>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</si>
  <si>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</si>
  <si>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</si>
  <si>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</si>
  <si>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</si>
  <si>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</si>
  <si>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</si>
  <si>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</si>
  <si>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</si>
  <si>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</si>
  <si>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</si>
  <si>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</si>
  <si>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</si>
  <si>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</si>
  <si>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</si>
  <si>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</si>
  <si>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</si>
  <si>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</si>
  <si>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</si>
  <si>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</si>
  <si>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</si>
  <si>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</si>
  <si>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</si>
  <si>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</si>
  <si>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</si>
  <si>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</si>
  <si>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</si>
  <si>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</si>
  <si>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</si>
  <si>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</si>
  <si>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</si>
  <si>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</si>
  <si>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</si>
  <si>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</si>
  <si>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</si>
  <si>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</si>
  <si>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</si>
  <si>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</si>
  <si>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</si>
  <si>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</si>
  <si>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</si>
  <si>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</si>
  <si>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</si>
  <si>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</si>
  <si>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</si>
  <si>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</si>
  <si>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</si>
  <si>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</si>
  <si>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</si>
  <si>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</si>
  <si>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</si>
  <si>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</si>
  <si>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</si>
  <si>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</si>
  <si>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</si>
  <si>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</si>
  <si>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</si>
  <si>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</si>
  <si>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</si>
  <si>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</si>
  <si>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</si>
  <si>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</si>
  <si>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</si>
  <si>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</si>
  <si>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</si>
  <si>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</si>
  <si>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</si>
  <si>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</si>
  <si>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</si>
  <si>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</si>
  <si>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</si>
  <si>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</si>
  <si>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</si>
  <si>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</si>
  <si>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</si>
  <si>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</si>
  <si>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</si>
  <si>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</si>
  <si>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</si>
  <si>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</si>
  <si>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</si>
  <si>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</si>
  <si>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</si>
  <si>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</si>
  <si>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</si>
  <si>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</si>
  <si>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</si>
  <si>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</si>
  <si>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</si>
  <si>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</si>
  <si>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</si>
  <si>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</si>
  <si>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</si>
  <si>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</si>
  <si>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</si>
  <si>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</si>
  <si>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</si>
  <si>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</si>
  <si>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</si>
  <si>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</si>
  <si>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</si>
  <si>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</si>
  <si>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</si>
  <si>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</si>
  <si>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</si>
  <si>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</si>
  <si>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</si>
  <si>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</si>
  <si>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</si>
  <si>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</si>
  <si>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</si>
  <si>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</si>
  <si>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</si>
  <si>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</si>
  <si>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</si>
  <si>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</si>
  <si>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</si>
  <si>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</si>
  <si>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</si>
  <si>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</si>
  <si>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</si>
  <si>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</si>
  <si>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</si>
  <si>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</si>
  <si>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</si>
  <si>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</si>
  <si>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</si>
  <si>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</si>
  <si>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</si>
  <si>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</si>
  <si>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</si>
  <si>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</si>
  <si>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</si>
  <si>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</si>
  <si>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</si>
  <si>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</si>
  <si>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</si>
  <si>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</si>
  <si>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</si>
  <si>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</si>
  <si>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</si>
  <si>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</si>
  <si>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</si>
  <si>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</si>
  <si>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</si>
  <si>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</si>
  <si>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</si>
  <si>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</si>
  <si>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</si>
  <si>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</si>
  <si>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</si>
  <si>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</si>
  <si>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</si>
  <si>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</si>
  <si>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</si>
  <si>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</si>
  <si>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</si>
  <si>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</si>
  <si>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</si>
  <si>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</si>
  <si>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</si>
  <si>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</si>
  <si>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</si>
  <si>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</si>
  <si>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</si>
  <si>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</si>
  <si>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</si>
  <si>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</si>
  <si>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</si>
  <si>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</si>
  <si>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</si>
  <si>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</si>
  <si>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</si>
  <si>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</si>
  <si>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</si>
  <si>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</si>
  <si>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</si>
  <si>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</si>
  <si>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</si>
  <si>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</si>
  <si>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</si>
  <si>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</si>
  <si>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</si>
  <si>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</si>
  <si>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</si>
  <si>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</si>
  <si>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</si>
  <si>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</si>
  <si>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</si>
  <si>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</si>
  <si>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</si>
  <si>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</si>
  <si>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</si>
  <si>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</si>
  <si>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</si>
  <si>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</si>
  <si>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</si>
  <si>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</si>
  <si>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</si>
  <si>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</si>
  <si>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</si>
  <si>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</si>
  <si>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</si>
  <si>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</si>
  <si>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</si>
  <si>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</si>
  <si>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</si>
  <si>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</si>
  <si>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</si>
  <si>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</si>
  <si>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</si>
  <si>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</si>
  <si>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</si>
  <si>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</si>
  <si>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</si>
  <si>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</si>
  <si>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</si>
  <si>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</si>
  <si>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</si>
  <si>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</si>
  <si>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</si>
  <si>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</si>
  <si>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</si>
  <si>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</si>
  <si>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</si>
  <si>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</si>
  <si>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</si>
  <si>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</si>
  <si>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</si>
  <si>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</si>
  <si>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</si>
  <si>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</si>
  <si>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</si>
  <si>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</si>
  <si>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</si>
  <si>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</si>
  <si>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</si>
  <si>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</si>
  <si>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</si>
  <si>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</si>
  <si>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</si>
  <si>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</si>
  <si>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</si>
  <si>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</si>
  <si>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</si>
  <si>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</si>
  <si>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</si>
  <si>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</si>
  <si>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</si>
  <si>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</si>
  <si>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</si>
  <si>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</si>
  <si>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</si>
  <si>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</si>
  <si>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</si>
  <si>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</si>
  <si>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</si>
  <si>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</si>
  <si>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</si>
  <si>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</si>
  <si>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</si>
  <si>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</si>
  <si>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</si>
  <si>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</si>
  <si>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</si>
  <si>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</si>
  <si>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</si>
  <si>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</si>
  <si>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</si>
  <si>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</si>
  <si>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</si>
  <si>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</si>
  <si>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</si>
  <si>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</si>
  <si>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</si>
  <si>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</si>
  <si>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</si>
  <si>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</si>
  <si>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</si>
  <si>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</si>
  <si>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</si>
  <si>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</si>
  <si>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</si>
  <si>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</si>
  <si>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</si>
  <si>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</si>
  <si>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</si>
  <si>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</si>
  <si>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</si>
  <si>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</si>
  <si>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</si>
  <si>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</si>
  <si>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</si>
  <si>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</si>
  <si>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</si>
  <si>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</si>
  <si>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</si>
  <si>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</si>
  <si>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</si>
  <si>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</si>
  <si>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</si>
  <si>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</si>
  <si>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</si>
  <si>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</si>
  <si>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</si>
  <si>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</si>
  <si>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</si>
  <si>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</si>
  <si>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</si>
  <si>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</si>
  <si>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</si>
  <si>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</si>
  <si>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</si>
  <si>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</si>
  <si>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</si>
  <si>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</si>
  <si>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</si>
  <si>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</si>
  <si>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</si>
  <si>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</si>
  <si>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</si>
  <si>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</si>
  <si>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</si>
  <si>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</si>
  <si>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</si>
  <si>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</si>
  <si>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</si>
  <si>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</si>
  <si>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</si>
  <si>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</si>
  <si>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</si>
  <si>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</si>
  <si>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</si>
  <si>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</si>
  <si>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</si>
  <si>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</si>
  <si>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</si>
  <si>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</si>
  <si>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</si>
  <si>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</si>
  <si>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</si>
  <si>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</si>
  <si>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</si>
  <si>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</si>
  <si>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</si>
  <si>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</si>
  <si>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</si>
  <si>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</si>
  <si>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</si>
  <si>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</si>
  <si>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</si>
  <si>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</si>
  <si>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</si>
  <si>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</si>
  <si>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</si>
  <si>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</si>
  <si>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</si>
  <si>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</si>
  <si>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</si>
  <si>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</si>
  <si>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</si>
  <si>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</si>
  <si>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</si>
  <si>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</si>
  <si>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</si>
  <si>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</si>
  <si>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</si>
  <si>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</si>
  <si>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</si>
  <si>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</si>
  <si>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</si>
  <si>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</si>
  <si>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</si>
  <si>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</si>
  <si>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</si>
  <si>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</si>
  <si>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</si>
  <si>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</si>
  <si>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</si>
  <si>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</si>
  <si>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</si>
  <si>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</si>
  <si>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</si>
  <si>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</si>
  <si>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</si>
  <si>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</si>
  <si>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</si>
  <si>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</si>
  <si>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</si>
  <si>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</si>
  <si>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</si>
  <si>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</si>
  <si>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</si>
  <si>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</si>
  <si>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</si>
  <si>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</si>
  <si>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</si>
  <si>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</si>
  <si>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</si>
  <si>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</si>
  <si>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</si>
  <si>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</si>
  <si>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</si>
  <si>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</si>
  <si>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</si>
  <si>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</si>
  <si>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</si>
  <si>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</si>
  <si>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</si>
  <si>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</si>
  <si>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</si>
  <si>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</si>
  <si>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</si>
  <si>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</si>
  <si>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</si>
  <si>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</si>
  <si>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</si>
  <si>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</si>
  <si>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</si>
  <si>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</si>
  <si>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</si>
  <si>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</si>
  <si>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</si>
  <si>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</si>
  <si>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</si>
  <si>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</si>
  <si>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</si>
  <si>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</si>
  <si>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</si>
  <si>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</si>
  <si>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</si>
  <si>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</si>
  <si>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</si>
  <si>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</si>
  <si>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</si>
  <si>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</si>
  <si>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</si>
  <si>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</si>
  <si>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</si>
  <si>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</si>
  <si>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</si>
  <si>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</si>
  <si>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</si>
  <si>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</si>
  <si>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</si>
  <si>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</si>
  <si>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</si>
  <si>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</si>
  <si>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</si>
  <si>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</si>
  <si>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</si>
  <si>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</si>
  <si>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</si>
  <si>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</si>
  <si>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</si>
  <si>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</si>
  <si>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</si>
  <si>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</si>
  <si>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</si>
  <si>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</si>
  <si>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</si>
  <si>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</si>
  <si>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</si>
  <si>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</si>
  <si>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</si>
  <si>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</si>
  <si>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</si>
  <si>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</si>
  <si>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</si>
  <si>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</si>
  <si>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</si>
  <si>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</si>
  <si>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</si>
  <si>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</si>
  <si>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</si>
  <si>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</si>
  <si>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</si>
  <si>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</si>
  <si>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</si>
  <si>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</si>
  <si>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</si>
  <si>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</si>
  <si>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</si>
  <si>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</si>
  <si>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</si>
  <si>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</si>
  <si>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</si>
  <si>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</si>
  <si>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</si>
  <si>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</si>
  <si>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</si>
  <si>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</si>
  <si>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</si>
  <si>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</si>
  <si>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</si>
  <si>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</si>
  <si>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</si>
  <si>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</si>
  <si>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</si>
  <si>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</si>
  <si>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</si>
  <si>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</si>
  <si>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</si>
  <si>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</si>
  <si>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</si>
  <si>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</si>
  <si>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</si>
  <si>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</si>
  <si>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</si>
  <si>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</si>
  <si>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</si>
  <si>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</si>
  <si>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</si>
  <si>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</si>
  <si>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</si>
  <si>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</si>
  <si>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</si>
  <si>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</si>
  <si>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</si>
  <si>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</si>
  <si>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</si>
  <si>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</si>
  <si>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</si>
  <si>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</si>
  <si>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</si>
  <si>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</si>
  <si>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</si>
  <si>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</si>
  <si>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</si>
  <si>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</si>
  <si>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</si>
  <si>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</si>
  <si>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</si>
  <si>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</si>
  <si>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</si>
  <si>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</si>
  <si>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</si>
  <si>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</si>
  <si>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</si>
  <si>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</si>
  <si>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</si>
  <si>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</si>
  <si>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</si>
  <si>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</si>
  <si>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</si>
  <si>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</si>
  <si>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</si>
  <si>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</si>
  <si>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</si>
  <si>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</si>
  <si>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</si>
  <si>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</si>
  <si>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</si>
  <si>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</si>
  <si>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</si>
  <si>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</si>
  <si>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</si>
  <si>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</si>
  <si>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</si>
  <si>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</si>
  <si>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</si>
  <si>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</si>
  <si>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</si>
  <si>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</si>
  <si>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</si>
  <si>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</si>
  <si>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</si>
  <si>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</si>
  <si>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</si>
  <si>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</si>
  <si>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</si>
  <si>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</si>
  <si>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</si>
  <si>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</si>
  <si>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</si>
  <si>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</si>
  <si>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</si>
  <si>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</si>
  <si>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</si>
  <si>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</si>
  <si>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</si>
  <si>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</si>
  <si>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</si>
  <si>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</si>
  <si>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</si>
  <si>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</si>
  <si>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</si>
  <si>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</si>
  <si>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</si>
  <si>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</si>
  <si>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</si>
  <si>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</si>
  <si>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</si>
  <si>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</si>
  <si>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</si>
  <si>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</si>
  <si>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</si>
  <si>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</si>
  <si>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</si>
  <si>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</si>
  <si>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</si>
  <si>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</si>
  <si>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</si>
  <si>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</si>
  <si>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</si>
  <si>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</si>
  <si>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</si>
  <si>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</si>
  <si>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</si>
  <si>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</si>
  <si>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</si>
  <si>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</si>
  <si>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</si>
  <si>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</si>
  <si>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</si>
  <si>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</si>
  <si>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</si>
  <si>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</si>
  <si>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</si>
  <si>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</si>
  <si>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</si>
  <si>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</si>
  <si>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</si>
  <si>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</si>
  <si>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</si>
  <si>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</si>
  <si>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</si>
  <si>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</si>
  <si>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</si>
  <si>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</si>
  <si>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</si>
  <si>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</si>
  <si>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</si>
  <si>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</si>
  <si>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</si>
  <si>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</si>
  <si>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</si>
  <si>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</si>
  <si>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</si>
  <si>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</si>
  <si>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</si>
  <si>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</si>
  <si>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</si>
  <si>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</si>
  <si>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</si>
  <si>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</si>
  <si>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</si>
  <si>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</si>
  <si>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</si>
  <si>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</si>
  <si>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</si>
  <si>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</si>
  <si>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</si>
  <si>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</si>
  <si>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</si>
  <si>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</si>
  <si>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</si>
  <si>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</si>
  <si>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</si>
  <si>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</si>
  <si>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</si>
  <si>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</si>
  <si>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</si>
  <si>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</si>
  <si>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</si>
  <si>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</si>
  <si>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</si>
  <si>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</si>
  <si>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</si>
  <si>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</si>
  <si>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</si>
  <si>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</si>
  <si>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</si>
  <si>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</si>
  <si>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</si>
  <si>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</si>
  <si>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</si>
  <si>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</si>
  <si>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</si>
  <si>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</si>
  <si>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</si>
  <si>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</si>
  <si>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</si>
  <si>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</si>
  <si>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</si>
  <si>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</si>
  <si>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</si>
  <si>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</si>
  <si>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</si>
  <si>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</si>
  <si>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</si>
  <si>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</si>
  <si>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</si>
  <si>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</si>
  <si>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</si>
  <si>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</si>
  <si>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</si>
  <si>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</si>
  <si>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</si>
  <si>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</si>
  <si>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</si>
  <si>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</si>
  <si>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</si>
  <si>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</si>
  <si>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</si>
  <si>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</si>
  <si>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</si>
  <si>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</si>
  <si>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</si>
  <si>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</si>
  <si>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</si>
  <si>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</si>
  <si>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</si>
  <si>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</si>
  <si>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</si>
  <si>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</si>
  <si>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</si>
  <si>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</si>
  <si>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</si>
  <si>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</si>
  <si>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</si>
  <si>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</si>
  <si>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</si>
  <si>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</si>
  <si>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</si>
  <si>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</si>
  <si>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</si>
  <si>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</si>
  <si>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</si>
  <si>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</si>
  <si>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</si>
  <si>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</si>
  <si>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</si>
  <si>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</si>
  <si>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</si>
  <si>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</si>
  <si>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</si>
  <si>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</si>
  <si>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</si>
  <si>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</si>
  <si>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</si>
  <si>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</si>
  <si>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</si>
  <si>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</si>
  <si>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</si>
  <si>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</si>
  <si>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</si>
  <si>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</si>
  <si>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</si>
  <si>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</si>
  <si>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</si>
  <si>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</si>
  <si>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</si>
  <si>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</si>
  <si>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</si>
  <si>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</si>
  <si>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</si>
  <si>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</si>
  <si>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</si>
  <si>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</si>
  <si>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</si>
  <si>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</si>
  <si>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</si>
  <si>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</si>
  <si>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</si>
  <si>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</si>
  <si>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</si>
  <si>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</si>
  <si>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</si>
  <si>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</si>
  <si>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</si>
  <si>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</si>
  <si>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</si>
  <si>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</si>
  <si>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</si>
  <si>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</si>
  <si>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</si>
  <si>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</si>
  <si>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</si>
  <si>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</si>
  <si>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</si>
  <si>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</si>
  <si>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</si>
  <si>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</si>
  <si>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</si>
  <si>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</si>
  <si>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</si>
  <si>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</si>
  <si>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</si>
  <si>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</si>
  <si>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</si>
  <si>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</si>
  <si>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</si>
  <si>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</si>
  <si>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</si>
  <si>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</si>
  <si>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</si>
  <si>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</si>
  <si>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</si>
  <si>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</si>
  <si>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</si>
  <si>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</si>
  <si>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</si>
  <si>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</si>
  <si>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</si>
  <si>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</si>
  <si>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</si>
  <si>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</si>
  <si>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</si>
  <si>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</si>
  <si>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</si>
  <si>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</si>
  <si>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</si>
  <si>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</si>
  <si>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</si>
  <si>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</si>
  <si>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</si>
  <si>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</si>
  <si>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</si>
  <si>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</si>
  <si>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</si>
  <si>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</si>
  <si>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</si>
  <si>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</si>
  <si>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</si>
  <si>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</si>
  <si>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</si>
  <si>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</si>
  <si>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</si>
  <si>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</si>
  <si>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</si>
  <si>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</si>
  <si>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</si>
  <si>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</si>
  <si>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</si>
  <si>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</si>
  <si>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</si>
  <si>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</si>
  <si>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</si>
  <si>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</si>
  <si>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</si>
  <si>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</si>
  <si>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</si>
  <si>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</si>
  <si>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</si>
  <si>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</si>
  <si>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</si>
  <si>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</si>
  <si>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</si>
  <si>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</si>
  <si>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</si>
  <si>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</si>
  <si>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</si>
  <si>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</si>
  <si>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</si>
  <si>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</si>
  <si>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</si>
  <si>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</si>
  <si>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</si>
  <si>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</si>
  <si>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</si>
  <si>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</si>
  <si>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</si>
  <si>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</si>
  <si>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</si>
  <si>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</si>
  <si>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</si>
  <si>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</si>
  <si>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</si>
  <si>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</si>
  <si>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</si>
  <si>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</si>
  <si>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</si>
  <si>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</si>
  <si>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</si>
  <si>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</si>
  <si>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</si>
  <si>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</si>
  <si>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</si>
  <si>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</si>
  <si>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</si>
  <si>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</si>
  <si>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</si>
  <si>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</si>
  <si>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</si>
  <si>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</si>
  <si>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</si>
  <si>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</si>
  <si>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</si>
  <si>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</si>
  <si>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</si>
  <si>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</si>
  <si>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</si>
  <si>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</si>
  <si>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</si>
  <si>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</si>
  <si>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</si>
  <si>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</si>
  <si>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</si>
  <si>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</si>
  <si>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</si>
  <si>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</si>
  <si>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</si>
  <si>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</si>
  <si>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</si>
  <si>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</si>
  <si>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</si>
  <si>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</si>
  <si>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</si>
  <si>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</si>
  <si>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</si>
  <si>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</si>
  <si>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</si>
  <si>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</si>
  <si>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</si>
  <si>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</si>
  <si>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</si>
  <si>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</si>
  <si>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</si>
  <si>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</si>
  <si>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</si>
  <si>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</si>
  <si>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</si>
  <si>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</si>
  <si>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</si>
  <si>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</si>
  <si>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</si>
  <si>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</si>
  <si>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</si>
  <si>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</si>
  <si>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</si>
  <si>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</si>
  <si>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</si>
  <si>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</si>
  <si>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</si>
  <si>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</si>
  <si>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</si>
  <si>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</si>
  <si>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</si>
  <si>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</si>
  <si>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</si>
  <si>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</si>
  <si>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</si>
  <si>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</si>
  <si>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</si>
  <si>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</si>
  <si>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</si>
  <si>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</si>
  <si>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</si>
  <si>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</si>
  <si>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</si>
  <si>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</si>
  <si>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</si>
  <si>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</si>
  <si>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</si>
  <si>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</si>
  <si>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</si>
  <si>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</si>
  <si>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</si>
  <si>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</si>
  <si>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</si>
  <si>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</si>
  <si>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</si>
  <si>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</si>
  <si>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</si>
  <si>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</si>
  <si>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</si>
  <si>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</si>
  <si>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</si>
  <si>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</si>
  <si>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</si>
  <si>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</si>
  <si>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</si>
  <si>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</si>
  <si>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</si>
  <si>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</si>
  <si>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</si>
  <si>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</si>
  <si>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</si>
  <si>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</si>
  <si>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</si>
  <si>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</si>
  <si>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</si>
  <si>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</si>
  <si>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</si>
  <si>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</si>
  <si>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</si>
  <si>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</si>
  <si>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</si>
  <si>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</si>
  <si>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</si>
  <si>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</si>
  <si>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</si>
  <si>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</si>
  <si>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</si>
  <si>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</si>
  <si>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</si>
  <si>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</si>
  <si>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</si>
  <si>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</si>
  <si>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</si>
  <si>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</si>
  <si>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</si>
  <si>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</si>
  <si>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</si>
  <si>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</si>
  <si>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</si>
  <si>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</si>
  <si>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</si>
  <si>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</si>
  <si>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</si>
  <si>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</si>
  <si>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</si>
  <si>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</si>
  <si>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</si>
  <si>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</si>
  <si>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</si>
  <si>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</si>
  <si>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</si>
  <si>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</si>
  <si>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</si>
  <si>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</si>
  <si>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</si>
  <si>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</si>
  <si>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</si>
  <si>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</si>
  <si>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</si>
  <si>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</si>
  <si>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</si>
  <si>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</si>
  <si>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</si>
  <si>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</si>
  <si>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</si>
  <si>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</si>
  <si>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</si>
  <si>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</si>
  <si>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</si>
  <si>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</si>
  <si>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</si>
  <si>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</si>
  <si>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</si>
  <si>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</si>
  <si>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</si>
  <si>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</si>
  <si>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</si>
  <si>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</si>
  <si>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</si>
  <si>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</si>
  <si>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</si>
  <si>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</si>
  <si>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</si>
  <si>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</si>
  <si>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</si>
  <si>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</si>
  <si>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</si>
  <si>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</si>
  <si>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</si>
  <si>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</si>
  <si>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</si>
  <si>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</si>
  <si>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</si>
  <si>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</si>
  <si>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</si>
  <si>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</si>
  <si>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</si>
  <si>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</si>
  <si>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</si>
  <si>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</si>
  <si>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</si>
  <si>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</si>
  <si>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</si>
  <si>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</si>
  <si>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</si>
  <si>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</si>
  <si>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</si>
  <si>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</si>
  <si>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</si>
  <si>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</si>
  <si>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</si>
  <si>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</si>
  <si>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</si>
  <si>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</si>
  <si>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</si>
  <si>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</si>
  <si>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</si>
  <si>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</si>
  <si>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</si>
  <si>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</si>
  <si>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</si>
  <si>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</si>
  <si>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</si>
  <si>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</si>
  <si>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</si>
  <si>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</si>
  <si>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</si>
  <si>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</si>
  <si>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</si>
  <si>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</si>
  <si>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</si>
  <si>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</si>
  <si>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</si>
  <si>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</si>
  <si>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</si>
  <si>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</si>
  <si>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</si>
  <si>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</si>
  <si>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</si>
  <si>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</si>
  <si>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</si>
  <si>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</si>
  <si>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</si>
  <si>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</si>
  <si>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</si>
  <si>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</si>
  <si>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</si>
  <si>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</si>
  <si>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</si>
  <si>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</si>
  <si>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</si>
  <si>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</si>
  <si>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</si>
  <si>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</si>
  <si>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</si>
  <si>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</si>
  <si>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</si>
  <si>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</si>
  <si>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</si>
  <si>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</si>
  <si>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</si>
  <si>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</si>
  <si>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</si>
  <si>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</si>
  <si>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</si>
  <si>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</si>
  <si>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</si>
  <si>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</si>
  <si>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</si>
  <si>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</si>
  <si>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</si>
  <si>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</si>
  <si>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</si>
  <si>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</si>
  <si>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</si>
  <si>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</si>
  <si>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</si>
  <si>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</si>
  <si>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</si>
  <si>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</si>
  <si>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</si>
  <si>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</si>
  <si>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</si>
  <si>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</si>
  <si>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</si>
  <si>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</si>
  <si>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</si>
  <si>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</si>
  <si>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</si>
  <si>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</si>
  <si>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</si>
  <si>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</si>
  <si>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</si>
  <si>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</si>
  <si>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</si>
  <si>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</si>
  <si>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</si>
  <si>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</si>
  <si>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</si>
  <si>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</si>
  <si>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</si>
  <si>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</si>
  <si>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</si>
  <si>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</si>
  <si>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</si>
  <si>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</si>
  <si>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</si>
  <si>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</si>
  <si>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</si>
  <si>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</si>
  <si>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</si>
  <si>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</si>
  <si>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</si>
  <si>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</si>
  <si>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</si>
  <si>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</si>
  <si>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</si>
  <si>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</si>
  <si>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</si>
  <si>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</si>
  <si>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</si>
  <si>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</si>
  <si>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</si>
  <si>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</si>
  <si>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</si>
  <si>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</si>
  <si>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</si>
  <si>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</si>
  <si>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</si>
  <si>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</si>
  <si>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</si>
  <si>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</si>
  <si>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</si>
  <si>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</si>
  <si>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</si>
  <si>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</si>
  <si>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</si>
  <si>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</si>
  <si>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</si>
  <si>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</si>
  <si>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</si>
  <si>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</si>
  <si>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</si>
  <si>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</si>
  <si>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</si>
  <si>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</si>
  <si>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</si>
  <si>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</si>
  <si>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</si>
  <si>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</si>
  <si>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</si>
  <si>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</si>
  <si>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</si>
  <si>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</si>
  <si>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</si>
  <si>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</si>
  <si>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</si>
  <si>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</si>
  <si>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</si>
  <si>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</si>
  <si>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</si>
  <si>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</si>
  <si>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</si>
  <si>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</si>
  <si>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</si>
  <si>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</si>
  <si>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</si>
  <si>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</si>
  <si>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</si>
  <si>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</si>
  <si>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</si>
  <si>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</si>
  <si>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</si>
  <si>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</si>
  <si>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</si>
  <si>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</si>
  <si>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</si>
  <si>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</si>
  <si>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</si>
  <si>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</si>
  <si>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</si>
  <si>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</si>
  <si>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</si>
  <si>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</si>
  <si>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</si>
  <si>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</si>
  <si>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</si>
  <si>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</si>
  <si>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</si>
  <si>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</si>
  <si>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</si>
  <si>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</si>
  <si>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</si>
  <si>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</si>
  <si>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</si>
  <si>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</si>
  <si>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</si>
  <si>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</si>
  <si>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</si>
  <si>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</si>
  <si>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</si>
  <si>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</si>
  <si>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</si>
  <si>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</si>
  <si>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</si>
  <si>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</si>
  <si>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</si>
  <si>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</si>
  <si>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</si>
  <si>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</si>
  <si>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</si>
  <si>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</si>
  <si>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</si>
  <si>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</si>
  <si>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</si>
  <si>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</si>
  <si>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</si>
  <si>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</si>
  <si>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</si>
  <si>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</si>
  <si>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</si>
  <si>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</si>
  <si>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</si>
  <si>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</si>
  <si>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</si>
  <si>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</si>
  <si>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</si>
  <si>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</si>
  <si>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</si>
  <si>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</si>
  <si>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</si>
  <si>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</si>
  <si>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</si>
  <si>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</si>
  <si>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</si>
  <si>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</si>
  <si>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</si>
  <si>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</si>
  <si>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</si>
  <si>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</si>
  <si>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</si>
  <si>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</si>
  <si>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</si>
  <si>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</si>
  <si>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</si>
  <si>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</si>
  <si>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</si>
  <si>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</si>
  <si>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</si>
  <si>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</si>
  <si>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</si>
  <si>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</si>
  <si>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</si>
  <si>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</si>
  <si>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</si>
  <si>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</si>
  <si>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</si>
  <si>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</si>
  <si>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</si>
  <si>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</si>
  <si>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</si>
  <si>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</si>
  <si>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</si>
  <si>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</si>
  <si>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</si>
  <si>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</si>
  <si>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</si>
  <si>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</si>
  <si>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</si>
  <si>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</si>
  <si>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</si>
  <si>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</si>
  <si>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</si>
  <si>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</si>
  <si>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</si>
  <si>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</si>
  <si>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</si>
  <si>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</si>
  <si>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</si>
  <si>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</si>
  <si>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</si>
  <si>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</si>
  <si>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</si>
  <si>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</si>
  <si>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</si>
  <si>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</si>
  <si>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</si>
  <si>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</si>
  <si>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</si>
  <si>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</si>
  <si>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</si>
  <si>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</si>
  <si>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</si>
  <si>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</si>
  <si>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</si>
  <si>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</si>
  <si>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</si>
  <si>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</si>
  <si>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</si>
  <si>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</si>
  <si>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</si>
  <si>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</si>
  <si>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</si>
  <si>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</si>
  <si>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</si>
  <si>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</si>
  <si>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</si>
  <si>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</si>
  <si>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</si>
  <si>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</si>
  <si>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</si>
  <si>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</si>
  <si>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</si>
  <si>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</si>
  <si>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</si>
  <si>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</si>
  <si>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</si>
  <si>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</si>
  <si>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</si>
  <si>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</si>
  <si>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</si>
  <si>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</si>
  <si>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</si>
  <si>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</si>
  <si>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</si>
  <si>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</si>
  <si>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</si>
  <si>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</si>
  <si>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</si>
  <si>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</si>
  <si>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</si>
  <si>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</si>
  <si>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</si>
  <si>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</si>
  <si>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</si>
  <si>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</si>
  <si>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</si>
  <si>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</si>
  <si>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</si>
  <si>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</si>
  <si>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</si>
  <si>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</si>
  <si>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</si>
  <si>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</si>
  <si>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</si>
  <si>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</si>
  <si>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</si>
  <si>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</si>
  <si>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</si>
  <si>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</si>
  <si>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</si>
  <si>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</si>
  <si>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</si>
  <si>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</si>
  <si>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</si>
  <si>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</si>
  <si>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</si>
  <si>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</si>
  <si>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</si>
  <si>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</si>
  <si>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</si>
  <si>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</si>
  <si>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</si>
  <si>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</si>
  <si>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</si>
  <si>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</si>
  <si>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</si>
  <si>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</si>
  <si>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</si>
  <si>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</si>
  <si>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</si>
  <si>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</si>
  <si>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</si>
  <si>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</si>
  <si>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</si>
  <si>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</si>
  <si>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</si>
  <si>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</si>
  <si>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</si>
  <si>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</si>
  <si>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</si>
  <si>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</si>
  <si>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</si>
  <si>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</si>
  <si>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</si>
  <si>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</si>
  <si>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</si>
  <si>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</si>
  <si>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</si>
  <si>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</si>
  <si>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</si>
  <si>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</si>
  <si>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</si>
  <si>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</si>
  <si>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</si>
  <si>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</si>
  <si>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</si>
  <si>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</si>
  <si>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</si>
  <si>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</si>
  <si>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</si>
  <si>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</si>
  <si>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</si>
  <si>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</si>
  <si>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</si>
  <si>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</si>
  <si>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</si>
  <si>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</si>
  <si>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</si>
  <si>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</si>
  <si>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</si>
  <si>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</si>
  <si>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</si>
  <si>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</si>
  <si>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</si>
  <si>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</si>
  <si>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</si>
  <si>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</si>
  <si>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</si>
  <si>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</si>
  <si>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</si>
  <si>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</si>
  <si>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</si>
  <si>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</si>
  <si>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</si>
  <si>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</si>
  <si>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</si>
  <si>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</si>
  <si>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</si>
  <si>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</si>
  <si>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</si>
  <si>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</si>
  <si>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</si>
  <si>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</si>
  <si>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</si>
  <si>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</si>
  <si>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</si>
  <si>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</si>
  <si>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</si>
  <si>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</si>
  <si>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</si>
  <si>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</si>
  <si>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</si>
  <si>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</si>
  <si>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</si>
  <si>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</si>
  <si>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</si>
  <si>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</si>
  <si>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</si>
  <si>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</si>
  <si>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</si>
  <si>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</si>
  <si>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</si>
  <si>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</si>
  <si>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</si>
  <si>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</si>
  <si>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</si>
  <si>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</si>
  <si>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</si>
  <si>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</si>
  <si>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</si>
  <si>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</si>
  <si>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</si>
  <si>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</si>
  <si>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</si>
  <si>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</si>
  <si>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</si>
  <si>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</si>
  <si>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</si>
  <si>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</si>
  <si>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</si>
  <si>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</si>
  <si>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</si>
  <si>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</si>
  <si>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</si>
  <si>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</si>
  <si>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</si>
  <si>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</si>
  <si>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</si>
  <si>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</si>
  <si>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</si>
  <si>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</si>
  <si>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</si>
  <si>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</si>
  <si>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</si>
  <si>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</si>
  <si>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</si>
  <si>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</si>
  <si>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</si>
  <si>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</si>
  <si>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</si>
  <si>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</si>
  <si>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</si>
  <si>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</si>
  <si>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</si>
  <si>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</si>
  <si>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</si>
  <si>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</si>
  <si>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</si>
  <si>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</si>
  <si>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</si>
  <si>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</si>
  <si>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</si>
  <si>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</si>
  <si>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</si>
  <si>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</si>
  <si>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</si>
  <si>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</si>
  <si>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</si>
  <si>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</si>
  <si>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</si>
  <si>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</si>
  <si>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</si>
  <si>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</si>
  <si>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</si>
  <si>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</si>
  <si>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</si>
  <si>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</si>
  <si>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</si>
  <si>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</si>
  <si>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</si>
  <si>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</si>
  <si>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</si>
  <si>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</si>
  <si>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</si>
  <si>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</si>
  <si>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</si>
  <si>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</si>
  <si>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</si>
  <si>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</si>
  <si>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</si>
  <si>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</si>
  <si>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</si>
  <si>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</si>
  <si>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</si>
  <si>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</si>
  <si>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</si>
  <si>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</si>
  <si>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</si>
  <si>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</si>
  <si>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</si>
  <si>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</si>
  <si>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</si>
  <si>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</si>
  <si>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</si>
  <si>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</si>
  <si>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</si>
  <si>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</si>
  <si>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</si>
  <si>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</si>
  <si>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</si>
  <si>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</si>
  <si>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</si>
  <si>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</si>
  <si>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</si>
  <si>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</si>
  <si>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</si>
  <si>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</si>
  <si>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</si>
  <si>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</si>
  <si>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</si>
  <si>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</si>
  <si>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</si>
  <si>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</si>
  <si>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</si>
  <si>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</si>
  <si>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</si>
  <si>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</si>
  <si>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</si>
  <si>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</si>
  <si>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</si>
  <si>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</si>
  <si>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</si>
  <si>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</si>
  <si>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</si>
  <si>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</si>
  <si>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</si>
  <si>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</si>
  <si>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</si>
  <si>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</si>
  <si>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</si>
  <si>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</si>
  <si>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</si>
  <si>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</si>
  <si>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</si>
  <si>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</si>
  <si>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</si>
  <si>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</si>
  <si>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</si>
  <si>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</si>
  <si>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</si>
  <si>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</si>
  <si>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</si>
  <si>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</si>
  <si>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</si>
  <si>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</si>
  <si>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</si>
  <si>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</si>
  <si>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</si>
  <si>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</si>
  <si>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</si>
  <si>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</si>
  <si>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</si>
  <si>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</si>
  <si>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</si>
  <si>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</si>
  <si>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</si>
  <si>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</si>
  <si>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</si>
  <si>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</si>
  <si>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</si>
  <si>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</si>
  <si>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</si>
  <si>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</si>
  <si>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</si>
  <si>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</si>
  <si>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</si>
  <si>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</si>
  <si>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</si>
  <si>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</si>
  <si>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</si>
  <si>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</si>
  <si>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</si>
  <si>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</si>
  <si>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</si>
  <si>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</si>
  <si>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</si>
  <si>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</si>
  <si>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</si>
  <si>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</si>
  <si>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</si>
  <si>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</si>
  <si>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</si>
  <si>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</si>
  <si>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</si>
  <si>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</si>
  <si>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</si>
  <si>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</si>
  <si>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</si>
  <si>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</si>
  <si>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</si>
  <si>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</si>
  <si>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</si>
  <si>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</si>
  <si>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</si>
  <si>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</si>
  <si>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</si>
  <si>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</si>
  <si>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</si>
  <si>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</si>
  <si>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</si>
  <si>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</si>
  <si>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</si>
  <si>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</si>
  <si>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</si>
  <si>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</si>
  <si>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</si>
  <si>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</si>
  <si>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</si>
  <si>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</si>
  <si>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</si>
  <si>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</si>
  <si>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</si>
  <si>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</si>
  <si>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</si>
  <si>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</si>
  <si>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</si>
  <si>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</si>
  <si>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</si>
  <si>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</si>
  <si>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</si>
  <si>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</si>
  <si>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</si>
  <si>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</si>
  <si>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</si>
  <si>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</si>
  <si>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</si>
  <si>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</si>
  <si>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</si>
  <si>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</si>
  <si>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</si>
  <si>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</si>
  <si>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</si>
  <si>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</si>
  <si>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</si>
  <si>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</si>
  <si>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</si>
  <si>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</si>
  <si>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</si>
  <si>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</si>
  <si>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</si>
  <si>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</si>
  <si>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</si>
  <si>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</si>
  <si>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</si>
  <si>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</si>
  <si>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</si>
  <si>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</si>
  <si>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</si>
  <si>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</si>
  <si>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</si>
  <si>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</si>
  <si>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</si>
  <si>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</si>
  <si>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</si>
  <si>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</si>
  <si>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</si>
  <si>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</si>
  <si>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</si>
  <si>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</si>
  <si>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</si>
  <si>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</si>
  <si>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</si>
  <si>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</si>
  <si>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</si>
  <si>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</si>
  <si>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</si>
  <si>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</si>
  <si>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</si>
  <si>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</si>
  <si>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</si>
  <si>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</si>
  <si>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</si>
  <si>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</si>
  <si>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</si>
  <si>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</si>
  <si>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</si>
  <si>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</si>
  <si>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</si>
  <si>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</si>
  <si>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</si>
  <si>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</si>
  <si>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</si>
  <si>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</si>
  <si>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</si>
  <si>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</si>
  <si>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</si>
  <si>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</si>
  <si>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</si>
  <si>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</si>
  <si>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</si>
  <si>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</si>
  <si>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</si>
  <si>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</si>
  <si>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</si>
  <si>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</si>
  <si>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</si>
  <si>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</si>
  <si>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</si>
  <si>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</si>
  <si>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</si>
  <si>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</si>
  <si>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</si>
  <si>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</si>
  <si>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</si>
  <si>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</si>
  <si>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</si>
  <si>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</si>
  <si>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</si>
  <si>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</si>
  <si>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</si>
  <si>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</si>
  <si>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</si>
  <si>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</si>
  <si>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</si>
  <si>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</si>
  <si>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</si>
  <si>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</si>
  <si>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</si>
  <si>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</si>
  <si>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</si>
  <si>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</si>
  <si>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</si>
  <si>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</si>
  <si>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</si>
  <si>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</si>
  <si>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</si>
  <si>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</si>
  <si>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</si>
  <si>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</si>
  <si>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</si>
  <si>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</si>
  <si>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</si>
  <si>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</si>
  <si>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</si>
  <si>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</si>
  <si>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</si>
  <si>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</si>
  <si>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</si>
  <si>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</si>
  <si>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</si>
  <si>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</si>
  <si>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</si>
  <si>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</si>
  <si>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</si>
  <si>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</si>
  <si>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</si>
  <si>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</si>
  <si>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</si>
  <si>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</si>
  <si>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</si>
  <si>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</si>
  <si>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</si>
  <si>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</si>
  <si>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</si>
  <si>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</si>
  <si>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</si>
  <si>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</si>
  <si>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</si>
  <si>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</si>
  <si>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</si>
  <si>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</si>
  <si>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</si>
  <si>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</si>
  <si>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</si>
  <si>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</si>
  <si>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</si>
  <si>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</si>
  <si>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</si>
  <si>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</si>
  <si>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</si>
  <si>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</si>
  <si>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</si>
  <si>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</si>
  <si>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</si>
  <si>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</si>
  <si>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</si>
  <si>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</si>
  <si>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</si>
  <si>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</si>
  <si>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</si>
  <si>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</si>
  <si>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</si>
  <si>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</si>
  <si>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</si>
  <si>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</si>
  <si>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</si>
  <si>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</si>
  <si>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</si>
  <si>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</si>
  <si>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</si>
  <si>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</si>
  <si>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</si>
  <si>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</si>
  <si>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</si>
  <si>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</si>
  <si>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</si>
  <si>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</si>
  <si>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</si>
  <si>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</si>
  <si>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</si>
  <si>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</si>
  <si>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</si>
  <si>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</si>
  <si>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</si>
  <si>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</si>
  <si>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</si>
  <si>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</si>
  <si>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</si>
  <si>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</si>
  <si>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</si>
  <si>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</si>
  <si>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</si>
  <si>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</si>
  <si>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</si>
  <si>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</si>
  <si>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</si>
  <si>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</si>
  <si>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</si>
  <si>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</si>
  <si>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</si>
  <si>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</si>
  <si>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</si>
  <si>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</si>
  <si>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</si>
  <si>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</si>
  <si>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</si>
  <si>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</si>
  <si>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</si>
  <si>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</si>
  <si>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</si>
  <si>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</si>
  <si>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</si>
  <si>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</si>
  <si>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</si>
  <si>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</si>
  <si>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</si>
  <si>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</si>
  <si>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</si>
  <si>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</si>
  <si>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</si>
  <si>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</si>
  <si>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</si>
  <si>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</si>
  <si>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</si>
  <si>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</si>
  <si>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</si>
  <si>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</si>
  <si>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</si>
  <si>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</si>
  <si>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</si>
  <si>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</si>
  <si>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</si>
  <si>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</si>
  <si>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</si>
  <si>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</si>
  <si>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</si>
  <si>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</si>
  <si>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</si>
  <si>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</si>
  <si>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</si>
  <si>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</si>
  <si>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</si>
  <si>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</si>
  <si>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</si>
  <si>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</si>
  <si>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</si>
  <si>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</si>
  <si>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</si>
  <si>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</si>
  <si>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</si>
  <si>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</si>
  <si>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</si>
  <si>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</si>
  <si>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</si>
  <si>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</si>
  <si>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</si>
  <si>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</si>
  <si>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</si>
  <si>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</si>
  <si>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</si>
  <si>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</si>
  <si>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</si>
  <si>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</si>
  <si>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</si>
  <si>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</si>
  <si>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</si>
  <si>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</si>
  <si>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</si>
  <si>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</si>
  <si>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</si>
  <si>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</si>
  <si>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</si>
  <si>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</si>
  <si>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</si>
  <si>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</si>
  <si>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</si>
  <si>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</si>
  <si>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</si>
  <si>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</si>
  <si>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</si>
  <si>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</si>
  <si>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</si>
  <si>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</si>
  <si>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</si>
  <si>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</si>
  <si>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</si>
  <si>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</si>
  <si>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</si>
  <si>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</si>
  <si>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</si>
  <si>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</si>
  <si>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</si>
  <si>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</si>
  <si>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</si>
  <si>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</si>
  <si>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</si>
  <si>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</si>
  <si>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</si>
  <si>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</si>
  <si>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</si>
  <si>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</si>
  <si>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</si>
  <si>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</si>
  <si>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</si>
  <si>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</si>
  <si>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</si>
  <si>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</si>
  <si>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</si>
  <si>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</si>
  <si>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</si>
  <si>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</si>
  <si>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</si>
  <si>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</si>
  <si>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</si>
  <si>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</si>
  <si>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</si>
  <si>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</si>
  <si>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</si>
  <si>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</si>
  <si>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</si>
  <si>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</si>
  <si>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</si>
  <si>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</si>
  <si>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</si>
  <si>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</si>
  <si>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</si>
  <si>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</si>
  <si>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</si>
  <si>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</si>
  <si>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</si>
  <si>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</si>
  <si>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</si>
  <si>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</si>
  <si>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</si>
  <si>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</si>
  <si>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</si>
  <si>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</si>
  <si>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</si>
  <si>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</si>
  <si>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</si>
  <si>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</si>
  <si>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</si>
  <si>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</si>
  <si>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</si>
  <si>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</si>
  <si>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</si>
  <si>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</si>
  <si>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</si>
  <si>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</si>
  <si>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</si>
  <si>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</si>
  <si>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</si>
  <si>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</si>
  <si>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</si>
  <si>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</si>
  <si>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</si>
  <si>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</si>
  <si>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</si>
  <si>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</si>
  <si>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</si>
  <si>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</si>
  <si>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</si>
  <si>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</si>
  <si>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</si>
  <si>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</si>
  <si>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</si>
  <si>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</si>
  <si>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</si>
  <si>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</si>
  <si>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</si>
  <si>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</si>
  <si>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</si>
  <si>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</si>
  <si>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</si>
  <si>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</si>
  <si>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</si>
  <si>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</si>
  <si>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</si>
  <si>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</si>
  <si>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</si>
  <si>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</si>
  <si>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</si>
  <si>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</si>
  <si>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</si>
  <si>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</si>
  <si>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</si>
  <si>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</si>
  <si>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</si>
  <si>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</si>
  <si>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</si>
  <si>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</si>
  <si>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</si>
  <si>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</si>
  <si>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</si>
  <si>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</si>
  <si>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</si>
  <si>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</si>
  <si>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</si>
  <si>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</si>
  <si>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</si>
  <si>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</si>
  <si>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</si>
  <si>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</si>
  <si>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</si>
  <si>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</si>
  <si>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</si>
  <si>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</si>
  <si>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</si>
  <si>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</si>
  <si>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</si>
  <si>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</si>
  <si>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</si>
  <si>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</si>
  <si>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</si>
  <si>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</si>
  <si>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</si>
  <si>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</si>
  <si>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</si>
  <si>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</si>
  <si>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</si>
  <si>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</si>
  <si>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</si>
  <si>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</si>
  <si>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</si>
  <si>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</si>
  <si>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</si>
  <si>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</si>
  <si>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</si>
  <si>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</si>
  <si>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</si>
  <si>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</si>
  <si>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</si>
  <si>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</si>
  <si>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</si>
  <si>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</si>
  <si>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</si>
  <si>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</si>
  <si>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</si>
  <si>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</si>
  <si>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</si>
  <si>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</si>
  <si>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</si>
  <si>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</si>
  <si>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</si>
  <si>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</si>
  <si>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</si>
  <si>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</si>
  <si>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</si>
  <si>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</si>
  <si>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</si>
  <si>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</si>
  <si>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</si>
  <si>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</si>
  <si>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</si>
  <si>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</si>
  <si>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</si>
  <si>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</si>
  <si>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</si>
  <si>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</si>
  <si>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</si>
  <si>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</si>
  <si>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</si>
  <si>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</si>
  <si>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</si>
  <si>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</si>
  <si>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</si>
  <si>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</si>
  <si>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</si>
  <si>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</si>
  <si>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</si>
  <si>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</si>
  <si>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</si>
  <si>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</si>
  <si>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</si>
  <si>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</si>
  <si>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</si>
  <si>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</si>
  <si>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</si>
  <si>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</si>
  <si>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</si>
  <si>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</si>
  <si>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</si>
  <si>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</si>
  <si>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</si>
  <si>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</si>
  <si>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</si>
  <si>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</si>
  <si>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</si>
  <si>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</si>
  <si>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</si>
  <si>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</si>
  <si>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</si>
  <si>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</si>
  <si>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</si>
  <si>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</si>
  <si>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</si>
  <si>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</si>
  <si>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</si>
  <si>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</si>
  <si>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</si>
  <si>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</si>
  <si>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</si>
  <si>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</si>
  <si>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</si>
  <si>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</si>
  <si>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</si>
  <si>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</si>
  <si>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</si>
  <si>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</si>
  <si>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</si>
  <si>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</si>
  <si>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</si>
  <si>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</si>
  <si>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</si>
  <si>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</si>
  <si>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</si>
  <si>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</si>
  <si>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</si>
  <si>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</si>
  <si>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</si>
  <si>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</si>
  <si>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</si>
  <si>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</si>
  <si>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</si>
  <si>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</si>
  <si>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</si>
  <si>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</si>
  <si>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</si>
  <si>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</si>
  <si>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</si>
  <si>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</si>
  <si>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</si>
  <si>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</si>
  <si>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</si>
  <si>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</si>
  <si>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</si>
  <si>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</si>
  <si>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</si>
  <si>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</si>
  <si>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</si>
  <si>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</si>
  <si>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</si>
  <si>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</si>
  <si>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</si>
  <si>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</si>
  <si>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</si>
  <si>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</si>
  <si>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</si>
  <si>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</si>
  <si>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</si>
  <si>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</si>
  <si>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</si>
  <si>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</si>
  <si>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</si>
  <si>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</si>
  <si>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</si>
  <si>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</si>
  <si>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</si>
  <si>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</si>
  <si>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</si>
  <si>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</si>
  <si>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</si>
  <si>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</si>
  <si>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</si>
  <si>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</si>
  <si>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</si>
  <si>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</si>
  <si>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</si>
  <si>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</si>
  <si>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</si>
  <si>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</si>
  <si>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</si>
  <si>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</si>
  <si>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</si>
  <si>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</si>
  <si>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</si>
  <si>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</si>
  <si>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</si>
  <si>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</si>
  <si>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</si>
  <si>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</si>
  <si>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</si>
  <si>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</si>
  <si>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</si>
  <si>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</si>
  <si>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</si>
  <si>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</si>
  <si>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</si>
  <si>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</si>
  <si>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</si>
  <si>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</si>
  <si>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</si>
  <si>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</si>
  <si>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</si>
  <si>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</si>
  <si>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</si>
  <si>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</si>
  <si>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</si>
  <si>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</si>
  <si>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</si>
  <si>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</si>
  <si>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</si>
  <si>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</si>
  <si>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</si>
  <si>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</si>
  <si>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</si>
  <si>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</si>
  <si>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</si>
  <si>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</si>
  <si>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</si>
  <si>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</si>
  <si>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</si>
  <si>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</si>
  <si>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</si>
  <si>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</si>
  <si>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</si>
  <si>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</si>
  <si>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</si>
  <si>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</si>
  <si>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</si>
  <si>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</si>
  <si>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</si>
  <si>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</si>
  <si>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</si>
  <si>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</si>
  <si>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</si>
  <si>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</si>
  <si>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</si>
  <si>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</si>
  <si>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</si>
  <si>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</si>
  <si>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</si>
  <si>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</si>
  <si>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</si>
  <si>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</si>
  <si>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</si>
  <si>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</si>
  <si>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</si>
  <si>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</si>
  <si>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</si>
  <si>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</si>
  <si>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</si>
  <si>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</si>
  <si>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</si>
  <si>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</si>
  <si>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</si>
  <si>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</si>
  <si>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</si>
  <si>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</si>
  <si>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</si>
  <si>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</si>
  <si>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</si>
  <si>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</si>
  <si>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</si>
  <si>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</si>
  <si>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</si>
  <si>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</si>
  <si>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</si>
  <si>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</si>
  <si>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</si>
  <si>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</si>
  <si>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</si>
  <si>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</si>
  <si>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</si>
  <si>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</si>
  <si>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</si>
  <si>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</si>
  <si>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</si>
  <si>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</si>
  <si>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</si>
  <si>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</si>
  <si>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</si>
  <si>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</si>
  <si>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</si>
  <si>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</si>
  <si>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</si>
  <si>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</si>
  <si>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</si>
  <si>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</si>
  <si>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</si>
  <si>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</si>
  <si>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</si>
  <si>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</si>
  <si>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</si>
  <si>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</si>
  <si>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</si>
  <si>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</si>
  <si>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</si>
  <si>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</si>
  <si>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</si>
  <si>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</si>
  <si>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</si>
  <si>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</si>
  <si>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</si>
  <si>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</si>
  <si>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</si>
  <si>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</si>
  <si>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</si>
  <si>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</si>
  <si>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</si>
  <si>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</si>
  <si>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</si>
  <si>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</si>
  <si>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</si>
  <si>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</si>
  <si>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</si>
  <si>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</si>
  <si>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</si>
  <si>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</si>
  <si>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</si>
  <si>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</si>
  <si>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</si>
  <si>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</si>
  <si>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</si>
  <si>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</si>
  <si>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</si>
  <si>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</si>
  <si>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</si>
  <si>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</si>
  <si>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</si>
  <si>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</si>
  <si>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</si>
  <si>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</si>
  <si>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</si>
  <si>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</si>
  <si>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</si>
  <si>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</si>
  <si>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</si>
  <si>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</si>
  <si>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</si>
  <si>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</si>
  <si>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</si>
  <si>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</si>
  <si>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</si>
  <si>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</si>
  <si>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</si>
  <si>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</si>
  <si>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</si>
  <si>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</si>
  <si>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</si>
  <si>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</si>
  <si>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</si>
  <si>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</si>
  <si>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</si>
  <si>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</si>
  <si>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</si>
  <si>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</si>
  <si>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</si>
  <si>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</si>
  <si>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</si>
  <si>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</si>
  <si>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</si>
  <si>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</si>
  <si>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</si>
  <si>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</si>
  <si>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</si>
  <si>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</si>
  <si>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</si>
  <si>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</si>
  <si>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</si>
  <si>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</si>
  <si>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</si>
  <si>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</si>
  <si>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</si>
  <si>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</si>
  <si>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</si>
  <si>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</si>
  <si>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</si>
  <si>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</si>
  <si>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</si>
  <si>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</si>
  <si>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</si>
  <si>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</si>
  <si>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</si>
  <si>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</si>
  <si>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</si>
  <si>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</si>
  <si>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</si>
  <si>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</si>
  <si>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</si>
  <si>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</si>
  <si>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</si>
  <si>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</si>
  <si>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</si>
  <si>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</si>
  <si>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</si>
  <si>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</si>
  <si>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</si>
  <si>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</si>
  <si>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</si>
  <si>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</si>
  <si>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</si>
  <si>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</si>
  <si>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</si>
  <si>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</si>
  <si>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</si>
  <si>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</si>
  <si>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</si>
  <si>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</si>
  <si>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</si>
  <si>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</si>
  <si>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</si>
  <si>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</si>
  <si>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</si>
  <si>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</si>
  <si>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</si>
  <si>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</si>
  <si>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</si>
  <si>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</si>
  <si>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</si>
  <si>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</si>
  <si>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</si>
  <si>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</si>
  <si>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</si>
  <si>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</si>
  <si>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</si>
  <si>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</si>
  <si>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</si>
  <si>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</si>
  <si>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</si>
  <si>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</si>
  <si>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</si>
  <si>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</si>
  <si>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</si>
  <si>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</si>
  <si>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</si>
  <si>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</si>
  <si>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</si>
  <si>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</si>
  <si>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</si>
  <si>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</si>
  <si>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</si>
  <si>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</si>
  <si>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</si>
  <si>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</si>
  <si>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</si>
  <si>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</si>
  <si>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</si>
  <si>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</si>
  <si>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</si>
  <si>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</si>
  <si>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</si>
  <si>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</si>
  <si>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</si>
  <si>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</si>
  <si>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</si>
  <si>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</si>
  <si>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</si>
  <si>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</si>
  <si>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</si>
  <si>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</si>
  <si>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</si>
  <si>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</si>
  <si>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</si>
  <si>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</si>
  <si>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</si>
  <si>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</si>
  <si>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</si>
  <si>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</si>
  <si>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</si>
  <si>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</si>
  <si>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</si>
  <si>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</si>
  <si>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</si>
  <si>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</si>
  <si>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</si>
  <si>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</si>
  <si>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</si>
  <si>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</si>
  <si>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</si>
  <si>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</si>
  <si>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</si>
  <si>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</si>
  <si>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</si>
  <si>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</si>
  <si>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</si>
  <si>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</si>
  <si>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</si>
  <si>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</si>
  <si>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</si>
  <si>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</si>
  <si>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</si>
  <si>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</si>
  <si>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</si>
  <si>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</si>
  <si>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</si>
  <si>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</si>
  <si>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</si>
  <si>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</si>
  <si>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</si>
  <si>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</si>
  <si>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</si>
  <si>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</si>
  <si>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</si>
  <si>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</si>
  <si>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</si>
  <si>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</si>
  <si>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</si>
  <si>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</si>
  <si>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</si>
  <si>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</si>
  <si>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</si>
  <si>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</si>
  <si>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</si>
  <si>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</si>
  <si>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</si>
  <si>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</si>
  <si>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</si>
  <si>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</si>
  <si>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</si>
  <si>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</si>
  <si>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</si>
  <si>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</si>
  <si>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</si>
  <si>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</si>
  <si>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</si>
  <si>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</si>
  <si>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</si>
  <si>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</si>
  <si>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</si>
  <si>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</si>
  <si>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</si>
  <si>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</si>
  <si>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</si>
  <si>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</si>
  <si>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</si>
  <si>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</si>
  <si>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</si>
  <si>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</si>
  <si>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</si>
  <si>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</si>
  <si>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</si>
  <si>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</si>
  <si>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</si>
  <si>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</si>
  <si>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</si>
  <si>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</si>
  <si>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</si>
  <si>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</si>
  <si>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</si>
  <si>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</si>
  <si>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</si>
  <si>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</si>
  <si>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</si>
  <si>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</si>
  <si>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</si>
  <si>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</si>
  <si>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</si>
  <si>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</si>
  <si>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</si>
  <si>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</si>
  <si>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</si>
  <si>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</si>
  <si>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</si>
  <si>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</si>
  <si>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</si>
  <si>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</si>
  <si>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</si>
  <si>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</si>
  <si>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</si>
  <si>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</si>
  <si>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</si>
  <si>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</si>
  <si>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</si>
  <si>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</si>
  <si>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</si>
  <si>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</si>
  <si>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</si>
  <si>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</si>
  <si>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</si>
  <si>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</si>
  <si>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</si>
  <si>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</si>
  <si>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</si>
  <si>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</si>
  <si>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</si>
  <si>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</si>
  <si>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</si>
  <si>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</si>
  <si>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</si>
  <si>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</si>
  <si>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</si>
  <si>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</si>
  <si>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</si>
  <si>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</si>
  <si>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</si>
  <si>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</si>
  <si>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</si>
  <si>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</si>
  <si>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</si>
  <si>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</si>
  <si>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</si>
  <si>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</si>
  <si>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</si>
  <si>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</si>
  <si>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</si>
  <si>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</si>
  <si>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</si>
  <si>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</si>
  <si>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</si>
  <si>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</si>
  <si>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</si>
  <si>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</si>
  <si>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</si>
  <si>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</si>
  <si>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</si>
  <si>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</si>
  <si>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</si>
  <si>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</si>
  <si>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</si>
  <si>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</si>
  <si>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</si>
  <si>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</si>
  <si>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</si>
  <si>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</si>
  <si>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</si>
  <si>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</si>
  <si>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</si>
  <si>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</si>
  <si>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</si>
  <si>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</si>
  <si>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</si>
  <si>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</si>
  <si>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</si>
  <si>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</si>
  <si>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</si>
  <si>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</si>
  <si>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</si>
  <si>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</si>
  <si>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</si>
  <si>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</si>
  <si>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</si>
  <si>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</si>
  <si>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</si>
  <si>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</si>
  <si>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</si>
  <si>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</si>
  <si>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</si>
  <si>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</si>
  <si>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</si>
  <si>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</si>
  <si>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</si>
  <si>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</si>
  <si>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</si>
  <si>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</si>
  <si>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</si>
  <si>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</si>
  <si>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</si>
  <si>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</si>
  <si>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</si>
  <si>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</si>
  <si>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</si>
  <si>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</si>
  <si>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</si>
  <si>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</si>
  <si>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</si>
  <si>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</si>
  <si>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</si>
  <si>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</si>
  <si>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</si>
  <si>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</si>
  <si>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</si>
  <si>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</si>
  <si>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</si>
  <si>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</si>
  <si>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</si>
  <si>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</si>
  <si>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</si>
  <si>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</si>
  <si>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</si>
  <si>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</si>
  <si>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</si>
  <si>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</si>
  <si>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</si>
  <si>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</si>
  <si>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</si>
  <si>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</si>
  <si>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</si>
  <si>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</si>
  <si>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</si>
  <si>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</si>
  <si>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</si>
  <si>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</si>
  <si>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</si>
  <si>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</si>
  <si>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</si>
  <si>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</si>
  <si>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</si>
  <si>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</si>
  <si>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</si>
  <si>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</si>
  <si>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</si>
  <si>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</si>
  <si>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</si>
  <si>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</si>
  <si>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</si>
  <si>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</si>
  <si>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</si>
  <si>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</si>
  <si>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</si>
  <si>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</si>
  <si>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</si>
  <si>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</si>
  <si>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</si>
  <si>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</si>
  <si>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</si>
  <si>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</si>
  <si>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</si>
  <si>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</si>
  <si>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</si>
  <si>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</si>
  <si>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</si>
  <si>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</si>
  <si>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</si>
  <si>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</si>
  <si>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</si>
  <si>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</si>
  <si>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</si>
  <si>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</si>
  <si>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</si>
  <si>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</si>
  <si>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</si>
  <si>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</si>
  <si>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</si>
  <si>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</si>
  <si>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</si>
  <si>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</si>
  <si>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</si>
  <si>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</si>
  <si>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</si>
  <si>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</si>
  <si>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</si>
  <si>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</si>
  <si>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</si>
  <si>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</si>
  <si>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</si>
  <si>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</si>
  <si>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</si>
  <si>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</si>
  <si>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</si>
  <si>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</si>
  <si>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</si>
  <si>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</si>
  <si>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</si>
  <si>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</si>
  <si>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</si>
  <si>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</si>
  <si>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</si>
  <si>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</si>
  <si>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</si>
  <si>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</si>
  <si>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</si>
  <si>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</si>
  <si>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</si>
  <si>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</si>
  <si>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</si>
  <si>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</si>
  <si>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</si>
  <si>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</si>
  <si>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</si>
  <si>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</si>
  <si>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</si>
  <si>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</si>
  <si>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</si>
  <si>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</si>
  <si>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</si>
  <si>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</si>
  <si>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</si>
  <si>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</si>
  <si>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</si>
  <si>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</si>
  <si>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</si>
  <si>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</si>
  <si>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</si>
  <si>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</si>
  <si>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</si>
  <si>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</si>
  <si>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</si>
  <si>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</si>
  <si>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</si>
  <si>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</si>
  <si>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</si>
  <si>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</si>
  <si>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</si>
  <si>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</si>
  <si>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</si>
  <si>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</si>
  <si>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</si>
  <si>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</si>
  <si>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</si>
  <si>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</si>
  <si>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</si>
  <si>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</si>
  <si>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</si>
  <si>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</si>
  <si>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</si>
  <si>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</si>
  <si>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</si>
  <si>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</si>
  <si>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</si>
  <si>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</si>
  <si>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</si>
  <si>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</si>
  <si>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</si>
  <si>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</si>
  <si>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</si>
  <si>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</si>
  <si>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</si>
  <si>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</si>
  <si>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</si>
  <si>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</si>
  <si>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</si>
  <si>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</si>
  <si>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</si>
  <si>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</si>
  <si>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</si>
  <si>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</si>
  <si>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</si>
  <si>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</si>
  <si>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</si>
  <si>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</si>
  <si>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</si>
  <si>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</si>
  <si>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</si>
  <si>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</si>
  <si>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</si>
  <si>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</si>
  <si>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</si>
  <si>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</si>
  <si>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</si>
  <si>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</si>
  <si>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</si>
  <si>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</si>
  <si>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</si>
  <si>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</si>
  <si>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</si>
  <si>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</si>
  <si>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</si>
  <si>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</si>
  <si>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</si>
  <si>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</si>
  <si>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</si>
  <si>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</si>
  <si>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</si>
  <si>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</si>
  <si>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</si>
  <si>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</si>
  <si>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</si>
  <si>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</si>
  <si>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</si>
  <si>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</si>
  <si>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</si>
  <si>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</si>
  <si>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</si>
  <si>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</si>
  <si>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</si>
  <si>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</si>
  <si>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</si>
  <si>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</si>
  <si>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</si>
  <si>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</si>
  <si>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</si>
  <si>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</si>
  <si>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</si>
  <si>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</si>
  <si>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</si>
  <si>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</si>
  <si>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</si>
  <si>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</si>
  <si>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</si>
  <si>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</si>
  <si>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</si>
  <si>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</si>
  <si>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</si>
  <si>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</si>
  <si>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</si>
  <si>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</si>
  <si>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</si>
  <si>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</si>
  <si>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</si>
  <si>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</si>
  <si>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</si>
  <si>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</si>
  <si>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</si>
  <si>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</si>
  <si>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</si>
  <si>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</si>
  <si>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</si>
  <si>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</si>
  <si>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</si>
  <si>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</si>
  <si>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</si>
  <si>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</si>
  <si>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</si>
  <si>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</si>
  <si>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</si>
  <si>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</si>
  <si>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</si>
  <si>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</si>
  <si>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</si>
  <si>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</si>
  <si>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</si>
  <si>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</si>
  <si>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</si>
  <si>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</si>
  <si>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</si>
  <si>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</si>
  <si>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</si>
  <si>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</si>
  <si>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</si>
  <si>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</si>
  <si>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</si>
  <si>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</si>
  <si>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</si>
  <si>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</si>
  <si>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</si>
  <si>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</si>
  <si>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</si>
  <si>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</si>
  <si>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</si>
  <si>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</si>
  <si>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</si>
  <si>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</si>
  <si>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</si>
  <si>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</si>
  <si>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</si>
  <si>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</si>
  <si>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</si>
  <si>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</si>
  <si>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</si>
  <si>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</si>
  <si>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</si>
  <si>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</si>
  <si>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</si>
  <si>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</si>
  <si>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</si>
  <si>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</si>
  <si>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</si>
  <si>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</si>
  <si>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</si>
  <si>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</si>
  <si>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</si>
  <si>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</si>
  <si>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</si>
  <si>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</si>
  <si>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</si>
  <si>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</si>
  <si>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</si>
  <si>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</si>
  <si>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</si>
  <si>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</si>
  <si>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</si>
  <si>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</si>
  <si>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</si>
  <si>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</si>
  <si>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</si>
  <si>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</si>
  <si>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</si>
  <si>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</si>
  <si>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</si>
  <si>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</si>
  <si>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</si>
  <si>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</si>
  <si>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</si>
  <si>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</si>
  <si>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</si>
  <si>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</si>
  <si>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</si>
  <si>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</si>
  <si>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</si>
  <si>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</si>
  <si>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</si>
  <si>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</si>
  <si>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</si>
  <si>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</si>
  <si>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</si>
  <si>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</si>
  <si>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</si>
  <si>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</si>
  <si>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</si>
  <si>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</si>
  <si>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</si>
  <si>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</si>
  <si>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</si>
  <si>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</si>
  <si>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</si>
  <si>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</si>
  <si>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</si>
  <si>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</si>
  <si>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</si>
  <si>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</si>
  <si>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</si>
  <si>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</si>
  <si>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</si>
  <si>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</si>
  <si>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</si>
  <si>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</si>
  <si>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</si>
  <si>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</si>
  <si>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</si>
  <si>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</si>
  <si>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</si>
  <si>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</si>
  <si>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</si>
  <si>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</si>
  <si>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</si>
  <si>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</si>
  <si>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</si>
  <si>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</si>
  <si>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</si>
  <si>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</si>
  <si>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</si>
  <si>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</si>
  <si>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</si>
  <si>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</si>
  <si>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</si>
  <si>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</si>
  <si>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</si>
  <si>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</si>
  <si>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</si>
  <si>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</si>
  <si>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</si>
  <si>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</si>
  <si>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</si>
  <si>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</si>
  <si>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</si>
  <si>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</si>
  <si>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</si>
  <si>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</si>
  <si>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</si>
  <si>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</si>
  <si>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</si>
  <si>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</si>
  <si>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</si>
  <si>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</si>
  <si>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</si>
  <si>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</si>
  <si>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</si>
  <si>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</si>
  <si>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</si>
  <si>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</si>
  <si>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</si>
  <si>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</si>
  <si>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</si>
  <si>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</si>
  <si>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</si>
  <si>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</si>
  <si>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</si>
  <si>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</si>
  <si>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</si>
  <si>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</si>
  <si>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</si>
  <si>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</si>
  <si>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</si>
  <si>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</si>
  <si>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</si>
  <si>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</si>
  <si>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</si>
  <si>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</si>
  <si>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</si>
  <si>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</si>
  <si>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</si>
  <si>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</si>
  <si>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</si>
  <si>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</si>
  <si>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</si>
  <si>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</si>
  <si>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</si>
  <si>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</si>
  <si>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</si>
  <si>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</si>
  <si>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</si>
  <si>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</si>
  <si>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</si>
  <si>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</si>
  <si>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</si>
  <si>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</si>
  <si>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</si>
  <si>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</si>
  <si>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</si>
  <si>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</si>
  <si>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</si>
  <si>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</si>
  <si>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</si>
  <si>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</si>
  <si>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</si>
  <si>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</si>
  <si>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</si>
  <si>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</si>
  <si>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</si>
  <si>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</si>
  <si>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</si>
  <si>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</si>
  <si>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</si>
  <si>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</si>
  <si>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</si>
  <si>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</si>
  <si>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</si>
  <si>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</si>
  <si>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</si>
  <si>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</si>
  <si>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</si>
  <si>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</si>
  <si>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</si>
  <si>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</si>
  <si>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</si>
  <si>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</si>
  <si>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</si>
  <si>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</si>
  <si>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</si>
  <si>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</si>
  <si>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</si>
  <si>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</si>
  <si>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</si>
  <si>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</si>
  <si>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</si>
  <si>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</si>
  <si>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</si>
  <si>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</si>
  <si>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</si>
  <si>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</si>
  <si>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</si>
  <si>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</si>
  <si>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</si>
  <si>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</si>
  <si>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</si>
  <si>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</si>
  <si>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</si>
  <si>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</si>
  <si>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</si>
  <si>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</si>
  <si>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</si>
  <si>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</si>
  <si>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</si>
  <si>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</si>
  <si>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</si>
  <si>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</si>
  <si>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</si>
  <si>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</si>
  <si>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</si>
  <si>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</si>
  <si>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</si>
  <si>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</si>
  <si>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</si>
  <si>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</si>
  <si>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</si>
  <si>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</si>
  <si>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</si>
  <si>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</si>
  <si>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</si>
  <si>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</si>
  <si>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</si>
  <si>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</si>
  <si>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t>
    <phoneticPr fontId="2" type="noConversion"/>
  </si>
  <si>
    <t>主畫面右上角「福利大廳」</t>
    <phoneticPr fontId="2" type="noConversion"/>
  </si>
  <si>
    <t>點兌換碼</t>
    <phoneticPr fontId="2" type="noConversion"/>
  </si>
  <si>
    <t>CCCC</t>
    <phoneticPr fontId="2" type="noConversion"/>
  </si>
  <si>
    <t>BBBB</t>
    <phoneticPr fontId="2" type="noConversion"/>
  </si>
  <si>
    <t>AAAA</t>
    <phoneticPr fontId="2" type="noConversion"/>
  </si>
  <si>
    <t>GOOD666</t>
    <phoneticPr fontId="2" type="noConversion"/>
  </si>
  <si>
    <t>RPG666</t>
    <phoneticPr fontId="2" type="noConversion"/>
  </si>
  <si>
    <t>MOON2026</t>
    <phoneticPr fontId="2" type="noConversion"/>
  </si>
  <si>
    <t>MOON888</t>
    <phoneticPr fontId="2" type="noConversion"/>
  </si>
  <si>
    <t>MOON777</t>
    <phoneticPr fontId="2" type="noConversion"/>
  </si>
  <si>
    <t>MOON666</t>
    <phoneticPr fontId="2" type="noConversion"/>
  </si>
  <si>
    <t>VIP1314</t>
    <phoneticPr fontId="2" type="noConversion"/>
  </si>
  <si>
    <t>SVIP999</t>
    <phoneticPr fontId="2" type="noConversion"/>
  </si>
  <si>
    <t>VIP888</t>
    <phoneticPr fontId="2" type="noConversion"/>
  </si>
  <si>
    <t>VIP777</t>
    <phoneticPr fontId="2" type="noConversion"/>
  </si>
  <si>
    <t>VIP666</t>
    <phoneticPr fontId="2" type="noConversion"/>
  </si>
  <si>
    <t>COMING3</t>
    <phoneticPr fontId="2" type="noConversion"/>
  </si>
  <si>
    <t>COMING2</t>
    <phoneticPr fontId="2" type="noConversion"/>
  </si>
  <si>
    <t>BEST748</t>
    <phoneticPr fontId="2" type="noConversion"/>
  </si>
  <si>
    <t>BLADEWAR2026</t>
    <phoneticPr fontId="2" type="noConversion"/>
  </si>
  <si>
    <t>點左上角的「頭像」</t>
    <phoneticPr fontId="2" type="noConversion"/>
  </si>
  <si>
    <t>進到腳色畫面後點右上方「設定」</t>
    <phoneticPr fontId="2" type="noConversion"/>
  </si>
  <si>
    <t>猛鬼三國</t>
    <phoneticPr fontId="2" type="noConversion"/>
  </si>
  <si>
    <t>https://spg.sgkds.com/preorder/warp</t>
  </si>
  <si>
    <t>https://www.facebook.com/ghost3kds/</t>
  </si>
  <si>
    <t>https://apps.apple.com/tw/app/%E7%8C%9B%E9%AC%BC%E4%B8%89%E5%9C%8B/id6774434587</t>
  </si>
  <si>
    <t>https://play.google.com/store/apps/details?id=com.kfive.gptw&amp;referrer=utm_source%3Dgamer.com.tw%26utm_campaign%3Dgnn</t>
  </si>
  <si>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</si>
  <si>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</si>
  <si>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</si>
  <si>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</si>
  <si>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</si>
  <si>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60元寶</t>
    <phoneticPr fontId="2" type="noConversion"/>
  </si>
  <si>
    <t>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t>
    <phoneticPr fontId="2" type="noConversion"/>
  </si>
  <si>
    <t>大航海：怒海遠征</t>
    <phoneticPr fontId="2" type="noConversion"/>
  </si>
  <si>
    <t>650紅鑽</t>
    <phoneticPr fontId="2" type="noConversion"/>
  </si>
  <si>
    <t>328紅鑽</t>
    <phoneticPr fontId="2" type="noConversion"/>
  </si>
  <si>
    <t>198紅鑽</t>
    <phoneticPr fontId="2" type="noConversion"/>
  </si>
  <si>
    <t>128紅鑽</t>
    <phoneticPr fontId="2" type="noConversion"/>
  </si>
  <si>
    <t>68紅鑽</t>
    <phoneticPr fontId="2" type="noConversion"/>
  </si>
  <si>
    <t>30紅鑽</t>
    <phoneticPr fontId="2" type="noConversion"/>
  </si>
  <si>
    <t>6紅鑽</t>
    <phoneticPr fontId="2" type="noConversion"/>
  </si>
  <si>
    <t>https://play.google.com/store/apps/details?id=com.gamexdd.dhgg&amp;hl=zh_TW</t>
  </si>
  <si>
    <t>https://apps.apple.com/tw/app/%E5%A4%A7%E8%88%AA%E6%B5%B7-%E6%80%92%E6%B5%B7%E9%81%A0%E5%BE%81/id6760985120</t>
  </si>
  <si>
    <t>https://dh.gamexdd.com/</t>
  </si>
  <si>
    <t>https://www.facebook.com/dh.gamexdd/</t>
  </si>
  <si>
    <t>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t>
    <phoneticPr fontId="2" type="noConversion"/>
  </si>
  <si>
    <t>hololive Dreams</t>
    <phoneticPr fontId="2" type="noConversion"/>
  </si>
  <si>
    <t>https://apps.apple.com/tw/app/hololive-dreams/id6756641249</t>
  </si>
  <si>
    <t>https://play.google.com/store/apps/details?id=game.qualiarts.hololive.dreams.com</t>
  </si>
  <si>
    <t>https://www.hololive-dreams.com/</t>
  </si>
  <si>
    <t>https://x.com/holo_dreams_en</t>
  </si>
  <si>
    <t>三國觀滄海</t>
    <phoneticPr fontId="2" type="noConversion"/>
  </si>
  <si>
    <t>美男戰國</t>
    <phoneticPr fontId="2" type="noConversion"/>
  </si>
  <si>
    <t>搞鬼M</t>
    <phoneticPr fontId="2" type="noConversion"/>
  </si>
  <si>
    <t>喵喵騎士：放置RPG</t>
    <phoneticPr fontId="2" type="noConversion"/>
  </si>
  <si>
    <t>女神帝國：天使降臨</t>
    <phoneticPr fontId="2" type="noConversion"/>
  </si>
  <si>
    <t>地下城見聞錄</t>
    <phoneticPr fontId="2" type="noConversion"/>
  </si>
  <si>
    <t>《hololive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t>
    <phoneticPr fontId="2" type="noConversion"/>
  </si>
  <si>
    <t>https://www.facebook.com/wxshTW</t>
  </si>
  <si>
    <t>https://play.google.com/store/apps/details?id=com.wxshgame.lz&amp;hl=gsw</t>
  </si>
  <si>
    <t>https://www.facebook.com/profile.php?id=61577529445738</t>
  </si>
  <si>
    <t>https://play.google.com/store/apps/details?id=com.tbg.sgwsz</t>
  </si>
  <si>
    <t>https://apps.apple.com/tw/app/%E4%B8%89%E5%9C%8B%E8%A7%80%E6%BB%84%E6%B5%B7/id6760700928</t>
  </si>
  <si>
    <t>https://www.facebook.com/ikemensgk/?locale=zh_TW</t>
  </si>
  <si>
    <t>https://www.sgketernity.com/?fbclid=IwY2xjawTQFIhleHRuA2FlbQIxMABicmlkETFROWZyazh4Rm54UFNKSlBKc3J0YwZhcHBfaWQQMjIyMDM5MTc4ODIwMDg5MgABHkRWyftBFzXz5gQpZ9m09J0fHGHnaJd6wl_4VTSaozmOfmw-e-VBhcA2ljg2_aem_rF2aSfqIJDYvcd5ucZoz5A</t>
  </si>
  <si>
    <t>https://www.facebook.com/DiGeamGhostM/</t>
  </si>
  <si>
    <t>https://gsm.digeam.com/prereg?gad_source=1&amp;gad_campaignid=23978571996&amp;gbraid=0AAAABD0edmfJcQG5aGrOZIrwi1-pYafX_&amp;gclid=CjwKCAjwmozTBhAeEiwAkEGZzmqHiAlbYNjiKDRMmNa2fdjP1AIsmusV2pAfHnMuYw7C0awUOOSj5RoCMygQAvD_BwE</t>
  </si>
  <si>
    <t>https://play.google.com/store/apps/details?id=com.digeam.a.gsm</t>
  </si>
  <si>
    <t>https://apps.apple.com/tw/app/%E6%90%9E%E9%AC%BCm/id6748305249</t>
  </si>
  <si>
    <t>https://play.google.com/store/apps/details?id=com.MonsterPlanet.CatIdleRpg&amp;hl=zh_TW</t>
  </si>
  <si>
    <t>https://www.facebook.com/GdEmprRPG/</t>
  </si>
  <si>
    <t>https://apps.apple.com/tw/app/%E5%A5%B3%E7%A5%9E%E5%B8%9D%E5%9C%8B-%E5%A4%A9%E4%BD%BF%E9%99%8D%E8%87%A8/id6769397163</t>
  </si>
  <si>
    <t>https://play.google.com/store/apps/details?id=com.yhcx.wjhjhsm.gp&amp;referrer=utm_source%3Dapkpure.com</t>
  </si>
  <si>
    <t>https://play.google.com/store/apps/details?id=com.superplanet.odyssey&amp;hl=zh_TW</t>
  </si>
  <si>
    <t>https://apps.apple.com/us/app/%E5%9C%B0%E4%B8%8B%E5%9F%8E%E8%A6%8B%E8%81%9E%E9%8C%84/id6782771784?l=zh-Hant-TW</t>
  </si>
  <si>
    <t>https://apps.apple.com/tw/app/%E8%90%AC%E8%B1%A1%E5%B1%B1%E6%B5%B7/id6775804542</t>
  </si>
  <si>
    <t>https://apps.apple.com/tw/app/%E5%96%B5%E5%96%B5%E9%A8%8E%E5%A3%AB-%E6%94%BE%E7%BD%AErpg/id6760513582</t>
  </si>
  <si>
    <t>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</si>
  <si>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</si>
  <si>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t>
    <phoneticPr fontId="2" type="noConversion"/>
  </si>
  <si>
    <t>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</si>
  <si>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</si>
  <si>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</si>
  <si>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</si>
  <si>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https://play.google.com/store/apps/details?id=com.isweety.ikemenroe&amp;hl=zh_TW</t>
  </si>
  <si>
    <t>https://apps.apple.com/tw/app/%E7%BE%8E%E7%94%B7%E6%88%B0%E5%9C%8B-%E7%A9%BF%E8%B6%8A%E6%99%82%E7%A9%BA%E4%B9%8B%E6%88%80-%E6%B0%B8%E7%B7%A3/id6757729830</t>
  </si>
  <si>
    <t>萬象山海</t>
    <phoneticPr fontId="2" type="noConversion"/>
  </si>
  <si>
    <t>鬥破蒼穹M：少年崛起</t>
    <phoneticPr fontId="2" type="noConversion"/>
  </si>
  <si>
    <t>TCWFH412</t>
    <phoneticPr fontId="2" type="noConversion"/>
  </si>
  <si>
    <t>GR1IQOXY</t>
    <phoneticPr fontId="2" type="noConversion"/>
  </si>
  <si>
    <t>WEV87</t>
    <phoneticPr fontId="2" type="noConversion"/>
  </si>
  <si>
    <t>MR7mkSS0ZQ</t>
    <phoneticPr fontId="2" type="noConversion"/>
  </si>
  <si>
    <t>MR0ku9IAE3</t>
    <phoneticPr fontId="2" type="noConversion"/>
  </si>
  <si>
    <t>https://fighter.joystarfun.com/act/fighter?custom_source=google&amp;custom_sub_source=google3-NorNum1-Search&amp;utm_source=google_ads&amp;campaign_id=24058525416&amp;adgroup_id=195598606501&amp;creative_id=818229619118&amp;device=c&amp;loc_interest_ms=&amp;loc_physical_ms=9235344&amp;network=g&amp;placement=&amp;device_model=&amp;match_type=e&amp;keyword=%E9%AC%A5%E7%A0%B4%E8%92%BC%E7%A9%B9m%20%E5%B0%91%E5%B9%B4%E5%B4%9B%E8%B5%B7&amp;gad_source=1&amp;gad_campaignid=24058525416&amp;gbraid=0AAAABEMTNAvxTeCksA87AD-Am4u8I6It0&amp;gclid=CjwKCAjwpqHTBhAcEiwAj2Afuo1yGh05Tl8gFRpoB7zvggJ64Rdl8HEuTZWBIx15P184xr5ENhtK4xoC9eQQAvD_BwE</t>
  </si>
  <si>
    <t>https://www.facebook.com/btthtw/</t>
  </si>
  <si>
    <t>https://play.google.com/store/apps/details?id=com.joystar.btthgp&amp;referrer=customSource%3Dgoogle%26customSubSource%3Dgoogle3-NorNum1-Search%26source%3Dgoogle_ads%26medium%3D%26campaignId%3D24058525416%26campaignName%3D%26adgroupId%3D195598606501%26adgroupName%3D%26creativeId%3D818229619118%26creativeName%3D%26adTerm%3D%26adContent%3D%26adPlacement%3D%26pageUniqueId%3Db7bf4f27-2df4-4007-bfb5-0b1bda26f763</t>
  </si>
  <si>
    <t>https://apps.apple.com/tw/app/%E9%AC%A5%E7%A0%B4%E8%92%BC%E7%A9%B9m-%E5%B0%91%E5%B9%B4%E5%B4%9B%E8%B5%B7-%E5%8B%95%E7%95%AB%E6%AD%A3%E7%89%88%E6%8E%88%E6%AC%8A/id6761587218</t>
  </si>
  <si>
    <t>《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t>
    <phoneticPr fontId="2" type="noConversion"/>
  </si>
  <si>
    <t>開局一座島</t>
    <phoneticPr fontId="2" type="noConversion"/>
  </si>
  <si>
    <t>真三國無雙・霸</t>
    <phoneticPr fontId="2" type="noConversion"/>
  </si>
  <si>
    <t>賽爾號：巔峰之戰</t>
    <phoneticPr fontId="2" type="noConversion"/>
  </si>
  <si>
    <t>METAL SLUG RUSH</t>
    <phoneticPr fontId="2" type="noConversion"/>
  </si>
  <si>
    <t>Astro Arena：恆星激鬥 PvP</t>
    <phoneticPr fontId="2" type="noConversion"/>
  </si>
  <si>
    <t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t>
    <phoneticPr fontId="2" type="noConversion"/>
  </si>
  <si>
    <t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t>
    <phoneticPr fontId="2" type="noConversion"/>
  </si>
  <si>
    <t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t>
    <phoneticPr fontId="2" type="noConversion"/>
  </si>
  <si>
    <t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t>
    <phoneticPr fontId="2" type="noConversion"/>
  </si>
  <si>
    <t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t>
    <phoneticPr fontId="2" type="noConversion"/>
  </si>
  <si>
    <t>https://apps.apple.com/tw/app/%E9%96%8B%E5%B1%80%E4%B8%80%E5%BA%A7%E5%B3%B6/id6762115994</t>
  </si>
  <si>
    <t>https://play.google.com/store/apps/details?id=com.supernova.kj.gp</t>
  </si>
  <si>
    <t>https://apps.apple.com/tw/app/%E7%9C%9F%E4%B8%89%E5%9C%8B%E7%84%A1%E9%9B%99-%E9%9C%B8/id6757413794</t>
  </si>
  <si>
    <t>https://play.google.com/store/apps/details?id=com.emagroups.zs</t>
  </si>
  <si>
    <t>https://apps.apple.com/tw/app/%E8%B3%BD%E7%88%BE%E8%99%9F-%E5%B7%94%E5%B3%B0%E4%B9%8B%E6%88%B0/id6758373798</t>
  </si>
  <si>
    <t>https://play.google.com/store/apps/details?id=tw.com.taomee.seerdf</t>
  </si>
  <si>
    <t>https://apps.apple.com/tw/app/metal-slug-rush/id6775727338</t>
  </si>
  <si>
    <t>https://play.google.com/store/apps/details?id=com.ringgames.msm</t>
  </si>
  <si>
    <t>https://astroarena.krafton.com/en</t>
  </si>
  <si>
    <t>https://kjyzd.super-nova.tw/</t>
  </si>
  <si>
    <t>https://www.61.com.tw/seermain/pre_register?aid=1070531</t>
  </si>
  <si>
    <t>https://www.facebook.com/MemeSlugAttack</t>
  </si>
  <si>
    <t>https://apps.apple.com/tw/app/astro-arena-%E6%81%86%E6%98%9F%E6%BF%80%E9%AC%A5-pvp/id6473492526</t>
  </si>
  <si>
    <t>https://play.google.com/store/apps/details?id=com.pubg.uropa</t>
  </si>
  <si>
    <t>https://www.facebook.com/6161seer/</t>
  </si>
  <si>
    <t>https://www.facebook.com/IslandHeroes.zh</t>
  </si>
  <si>
    <t>wife111</t>
    <phoneticPr fontId="2" type="noConversion"/>
  </si>
  <si>
    <t>遊戲主畫面右上方禮包圖案「福利」</t>
    <phoneticPr fontId="2" type="noConversion"/>
  </si>
  <si>
    <t>DS666</t>
    <phoneticPr fontId="2" type="noConversion"/>
  </si>
  <si>
    <t>IslandHeroes</t>
    <phoneticPr fontId="2" type="noConversion"/>
  </si>
  <si>
    <t>VIP666</t>
    <phoneticPr fontId="2" type="noConversion"/>
  </si>
  <si>
    <t>VIP777</t>
    <phoneticPr fontId="2" type="noConversion"/>
  </si>
  <si>
    <t>VIP888</t>
    <phoneticPr fontId="2" type="noConversion"/>
  </si>
  <si>
    <t>VIP999</t>
    <phoneticPr fontId="2" type="noConversion"/>
  </si>
  <si>
    <t>Ayi666</t>
    <phoneticPr fontId="2" type="noConversion"/>
  </si>
  <si>
    <t>Bro666</t>
    <phoneticPr fontId="2" type="noConversion"/>
  </si>
  <si>
    <t>PP666</t>
    <phoneticPr fontId="2" type="noConversion"/>
  </si>
  <si>
    <t>Eve666</t>
    <phoneticPr fontId="2" type="noConversion"/>
  </si>
  <si>
    <t>NN666</t>
    <phoneticPr fontId="2" type="noConversion"/>
  </si>
  <si>
    <t>DA666</t>
    <phoneticPr fontId="2" type="noConversion"/>
  </si>
  <si>
    <t>D7666</t>
    <phoneticPr fontId="2" type="noConversion"/>
  </si>
  <si>
    <t>Cat666</t>
    <phoneticPr fontId="2" type="noConversion"/>
  </si>
  <si>
    <t>Ball666</t>
    <phoneticPr fontId="2" type="noConversion"/>
  </si>
  <si>
    <t>主畫面左上角的頭像點進去</t>
    <phoneticPr fontId="2" type="noConversion"/>
  </si>
  <si>
    <t>點右下角「設置」</t>
    <phoneticPr fontId="2" type="noConversion"/>
  </si>
  <si>
    <t>跳出視窗點左下「兌換碼」</t>
    <phoneticPr fontId="2" type="noConversion"/>
  </si>
  <si>
    <t>JQ777</t>
    <phoneticPr fontId="2" type="noConversion"/>
  </si>
  <si>
    <t>金鱗裝備、門氣丹、50萬金幣</t>
    <phoneticPr fontId="2" type="noConversion"/>
  </si>
  <si>
    <t>JQ888</t>
    <phoneticPr fontId="2" type="noConversion"/>
  </si>
  <si>
    <t>jQ666</t>
    <phoneticPr fontId="2" type="noConversion"/>
  </si>
  <si>
    <t>微召玉兆、玄鐵、50萬金幣</t>
    <phoneticPr fontId="2" type="noConversion"/>
  </si>
  <si>
    <t>鬥者自選禮包、天玄裝備、門氣</t>
    <phoneticPr fontId="2" type="noConversion"/>
  </si>
  <si>
    <t>DP777</t>
    <phoneticPr fontId="2" type="noConversion"/>
  </si>
  <si>
    <t>鬥者自選禮包、海心裝備、鬥者</t>
    <phoneticPr fontId="2" type="noConversion"/>
  </si>
  <si>
    <t>DP888</t>
    <phoneticPr fontId="2" type="noConversion"/>
  </si>
  <si>
    <t>鬥者自選禮包、天玄装備、角色碑</t>
    <phoneticPr fontId="2" type="noConversion"/>
  </si>
  <si>
    <t>VICKY666</t>
    <phoneticPr fontId="2" type="noConversion"/>
  </si>
  <si>
    <t>青蓮地心火、破鏡丹、50萬金</t>
    <phoneticPr fontId="2" type="noConversion"/>
  </si>
  <si>
    <t>VICKY777</t>
    <phoneticPr fontId="2" type="noConversion"/>
  </si>
  <si>
    <t>净蓮妖火、破鏡丹、50萬金幣</t>
    <phoneticPr fontId="2" type="noConversion"/>
  </si>
  <si>
    <t>VICKY888</t>
    <phoneticPr fontId="2" type="noConversion"/>
  </si>
  <si>
    <t>骨霸冷火、破鏡丹、50萬金幣</t>
    <phoneticPr fontId="2" type="noConversion"/>
  </si>
  <si>
    <t>https://www.facebook.com/profile.php?id=61589180597568#</t>
  </si>
  <si>
    <t>https://apps.apple.com/tw/app/%E5%A1%94%E5%A1%94%E5%86%92%E9%9A%AA%E9%9A%8A/id6741567125</t>
  </si>
  <si>
    <t>https://www.facebook.com/wldeath/?locale=zh_TW</t>
  </si>
  <si>
    <t>https://apps.apple.com/tw/app/%E4%BA%A1%E9%9D%88%E5%88%A5%E5%A4%AA%E7%8B%82-%E9%83%A8%E8%90%BD%E5%A4%A7%E4%BD%9C%E6%88%B0/id6762179843</t>
  </si>
  <si>
    <t>https://pre.wldeath.com/</t>
  </si>
  <si>
    <t>https://www.facebook.com/p/%E7%88%86%E8%B5%B0%E6%91%B8%E9%AD%9A%E5%90%9B-61579126150997/</t>
  </si>
  <si>
    <t xml:space="preserve">FBLOOTBOOT </t>
    <phoneticPr fontId="2" type="noConversion"/>
  </si>
  <si>
    <t>https://apps.apple.com/tw/app/%E7%88%86%E8%B5%B0%E6%91%B8%E9%AD%9A%E5%90%9B/id6780402432</t>
  </si>
  <si>
    <t>https://preorder.lootandbootepoch.com/</t>
  </si>
  <si>
    <t>https://apps.apple.com/tw/app/%E5%B0%8F%E8%B2%93%E5%92%AA%E5%A4%A7%E5%8F%B2%E8%A8%98/id6759696621</t>
  </si>
  <si>
    <t>https://catdynasty.poseidongame.com/</t>
  </si>
  <si>
    <t>https://www.facebook.com/catdynasty.tw/</t>
  </si>
  <si>
    <t>https://apps.apple.com/tw/app/%E6%98%9F%E8%BE%B0%E9%80%A3%E7%B5%90/id6761739992</t>
  </si>
  <si>
    <t>https://apps.apple.com/tw/app/%E5%96%B5%E5%90%B1%E5%A4%A7%E4%BD%9C%E6%88%B0-%E6%94%BE%E7%BD%AE%E9%A1%9Erpg/id6759914688</t>
  </si>
  <si>
    <t>塔塔冒險隊</t>
    <phoneticPr fontId="2" type="noConversion"/>
  </si>
  <si>
    <t>https://play.google.com/store/apps/details?id=com.farlightgames.pgame.gp&amp;hl=zh_TW</t>
    <phoneticPr fontId="2" type="noConversion"/>
  </si>
  <si>
    <t>亡靈別太狂：部落大作戰</t>
    <phoneticPr fontId="2" type="noConversion"/>
  </si>
  <si>
    <t>https://play.google.com/store/apps/details?id=com.gtwl.gp&amp;hl=zh_TW</t>
    <phoneticPr fontId="2" type="noConversion"/>
  </si>
  <si>
    <t>小貓咪大史記</t>
    <phoneticPr fontId="2" type="noConversion"/>
  </si>
  <si>
    <t>星辰連結</t>
    <phoneticPr fontId="2" type="noConversion"/>
  </si>
  <si>
    <r>
      <rPr>
        <sz val="12"/>
        <color theme="1"/>
        <rFont val="細明體"/>
        <family val="3"/>
        <charset val="136"/>
      </rPr>
      <t>喵吱大作戰：放置類</t>
    </r>
    <r>
      <rPr>
        <sz val="12"/>
        <color theme="1"/>
        <rFont val="Arial"/>
        <family val="2"/>
      </rPr>
      <t>RPG</t>
    </r>
    <phoneticPr fontId="2" type="noConversion"/>
  </si>
  <si>
    <t>https://play.google.com/store/apps/details?id=com.lootbootepoch.gp&amp;fbclid=IwY2xjawTdV2hleHRuA2FlbQIxMABicmlkETFpZnhTbzZoM0xESmtLd0ttc3J0YwZhcHBfaWQQMjIyMDM5MTc4ODIwMDg5MgABHmyGKV0QPd3C2ClHMN3Y_QUdTZWiPa12g-SojZjY505k3lYu1JpXypNxmnvy_aem_FmniyYxfo9jRpwvTwIXeDQ</t>
    <phoneticPr fontId="2" type="noConversion"/>
  </si>
  <si>
    <t>https://play.google.com/store/apps/details?id=com.poseidongame.mgxtw&amp;referrer=utm_source%3Dgamer.com.tw%26utm_campaign%3Dgnn</t>
    <phoneticPr fontId="2" type="noConversion"/>
  </si>
  <si>
    <t>https://play.google.com/store/apps/details?id=com.StellarCraft.StellarConnect&amp;hl=zh_TW</t>
    <phoneticPr fontId="2" type="noConversion"/>
  </si>
  <si>
    <t>https://play.google.com/store/apps/details?id=com.blackdust.redblue&amp;hl=zh_TW</t>
    <phoneticPr fontId="2" type="noConversion"/>
  </si>
  <si>
    <t>《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t>
  </si>
  <si>
    <t>《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t>
  </si>
  <si>
    <t>《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t>
  </si>
  <si>
    <t>《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t>
  </si>
  <si>
    <t>《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t>
  </si>
  <si>
    <t>爆走摸魚君</t>
  </si>
  <si>
    <t>《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t>
  </si>
  <si>
    <t>森之歌：世界</t>
    <phoneticPr fontId="2" type="noConversion"/>
  </si>
  <si>
    <t>三國志：群雄之弈</t>
    <phoneticPr fontId="2" type="noConversion"/>
  </si>
  <si>
    <t>TBUKV2</t>
    <phoneticPr fontId="2" type="noConversion"/>
  </si>
  <si>
    <t>ZTNVK46N</t>
    <phoneticPr fontId="2" type="noConversion"/>
  </si>
  <si>
    <t>黃金 ×188、礦石 ×1、木材 ×1、布料 ×1</t>
    <phoneticPr fontId="2" type="noConversion"/>
  </si>
  <si>
    <t>T2TLSSBP</t>
    <phoneticPr fontId="2" type="noConversion"/>
  </si>
  <si>
    <t>VLEAN5AG</t>
    <phoneticPr fontId="2" type="noConversion"/>
  </si>
  <si>
    <t>WZWTJWK2NF</t>
    <phoneticPr fontId="2" type="noConversion"/>
  </si>
  <si>
    <t>WT4EQRX24Z</t>
    <phoneticPr fontId="2" type="noConversion"/>
  </si>
  <si>
    <t>點左上方的頭像進去</t>
    <phoneticPr fontId="2" type="noConversion"/>
  </si>
  <si>
    <t>點「兌換碼」選項</t>
    <phoneticPr fontId="2" type="noConversion"/>
  </si>
  <si>
    <t>轉運江湖</t>
    <phoneticPr fontId="2" type="noConversion"/>
  </si>
  <si>
    <t>MAJO - 末日策略 RPG</t>
    <phoneticPr fontId="2" type="noConversion"/>
  </si>
  <si>
    <t>https://www.facebook.com/profile.php?id=61589514638072</t>
  </si>
  <si>
    <t>https://pre.xmsfcp.com/sylvan/</t>
  </si>
  <si>
    <t>https://play.google.com/store/apps/details?id=com.faeryceles.frcl&amp;referrer=adjust_reftag%3Dcuby7ON1qoLNa%26utm_source%3D%25E7%25A4%25BE%25E7%25BE%25A4%26utm_campaign%3D%25E7%25B2%2589%25E4%25B8%259D%25E9%25A1%25B5</t>
  </si>
  <si>
    <t>https://apps.apple.com/tw/app/%E6%A3%AE%E4%B9%8B%E6%AD%8C-%E4%B8%96%E7%95%8C/id6768177061</t>
  </si>
  <si>
    <t>https://www.facebook.com/sgzqxzy/?locale=zh_CN</t>
  </si>
  <si>
    <t>https://apps.apple.com/tw/app/%E4%B8%89%E5%9C%8B%E5%BF%97-%E7%BE%A4%E9%9B%84%E4%B9%8B%E5%BC%88/id6780410344</t>
  </si>
  <si>
    <t>https://play.google.com/store/apps/details?id=com.xinyue.wlz.gp&amp;hl=zh</t>
  </si>
  <si>
    <t>https://www.facebook.com/ZyjhApps#</t>
  </si>
  <si>
    <t>https://apps.apple.com/tw/app/%E8%BD%89%E9%81%8B%E6%B1%9F%E6%B9%96/id6769649426</t>
  </si>
  <si>
    <t>https://zyjh.superjoy.com.hk/</t>
  </si>
  <si>
    <t>https://play.google.com/store/apps/details?id=com.gf.wx2h5twtw.hwyad.google&amp;hl=zh_TW</t>
  </si>
  <si>
    <t>https://www.facebook.com/majorstudio/</t>
  </si>
  <si>
    <t>https://play.google.com/store/apps/details?id=com.darkwind.majo&amp;shortlink=is7dddt4&amp;source_caller=ui&amp;fbclid=IwY2xjawTih4JwZG9mAWV4dG4DYWVtAjEwAGJyaWQRMU1LMWtLSG5hQ2RGVUdPWnlzcnRjBmFwcF9pZBAyMjIwMzkxNzg4MjAwODkyAAEeOSRwhzOJ6iiC8lT6AE0SKSEnb2PWK4g-8C8H7qOMI8LAI10lxBnTLWrCsoY_aem_pNWKdy_NylPb0H31e8CPLg&amp;c=fb&amp;pid=Social_facebook&amp;af_xp=social</t>
  </si>
  <si>
    <t>https://apps.apple.com/tw/app/majo-%E6%9C%AB%E6%97%A5%E7%AD%96%E7%95%A5-rpg/id6742809054</t>
  </si>
  <si>
    <t>《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t>
  </si>
  <si>
    <t>《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t>
  </si>
  <si>
    <t>《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t>
  </si>
  <si>
    <r>
      <rPr>
        <sz val="12"/>
        <color rgb="FF000000"/>
        <rFont val="細明體"/>
        <family val="3"/>
        <charset val="136"/>
      </rPr>
      <t>《</t>
    </r>
    <r>
      <rPr>
        <sz val="12"/>
        <color rgb="FF000000"/>
        <rFont val="Arial"/>
        <family val="2"/>
      </rPr>
      <t xml:space="preserve">MAJO - </t>
    </r>
    <r>
      <rPr>
        <sz val="12"/>
        <color rgb="FF000000"/>
        <rFont val="細明體"/>
        <family val="3"/>
        <charset val="136"/>
      </rPr>
      <t>末日策略</t>
    </r>
    <r>
      <rPr>
        <sz val="12"/>
        <color rgb="FF000000"/>
        <rFont val="Arial"/>
        <family val="2"/>
      </rPr>
      <t xml:space="preserve"> RPG</t>
    </r>
    <r>
      <rPr>
        <sz val="12"/>
        <color rgb="FF000000"/>
        <rFont val="細明體"/>
        <family val="3"/>
        <charset val="136"/>
      </rPr>
      <t>》美少女養成＋深度戰術末日生存手遊，主打直式即時攻防與極簡操作。扮演指揮官招募各式強大角色，建造專屬避難所並抵禦異變生物的猛烈襲擊，集齊限定</t>
    </r>
    <r>
      <rPr>
        <sz val="12"/>
        <color rgb="FF000000"/>
        <rFont val="Arial"/>
        <family val="2"/>
      </rPr>
      <t>SSR</t>
    </r>
    <r>
      <rPr>
        <sz val="12"/>
        <color rgb="FF000000"/>
        <rFont val="細明體"/>
        <family val="3"/>
        <charset val="136"/>
      </rPr>
      <t>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t>
    </r>
    <phoneticPr fontId="2" type="noConversion"/>
  </si>
  <si>
    <t>丐小北的冒險日記</t>
    <phoneticPr fontId="2" type="noConversion"/>
  </si>
  <si>
    <t>果燃很派</t>
    <phoneticPr fontId="2" type="noConversion"/>
  </si>
  <si>
    <t>https://apps.apple.com/tw/app/%E4%B8%90%E5%B0%8F%E5%8C%97%E7%9A%84%E5%86%92%E9%9A%AA%E6%97%A5%E8%A8%98/id6762582861</t>
  </si>
  <si>
    <t>https://play.google.com/store/apps/details?id=com.kunpan.android.mountainsea.tw&amp;fbclid=IwY2xjawTrqttwZG9mBWV4dG4DYWVtAjEwAGJyaWQRMVZrVXdYdldHVTRQb0NBZENzcnRjBmFwcF9pZBAyMjIwMzkxNzg4MjAwODkyAAEeqYtlYTnl9i7hJEtcECzJUnWQdvTmdT1XoVzKq_zIkCuBhpU4i889UF67hAs_aem_pZJ-R23hRHYZNOH5qXsLgg</t>
  </si>
  <si>
    <t>https://www.facebook.com/GaisRPG/</t>
  </si>
  <si>
    <t>https://apps.apple.com/tw/app/%E6%9E%9C%E7%87%83%E5%BE%88%E6%B4%BE/id6757785541</t>
  </si>
  <si>
    <t>https://play.google.com/store/apps/details?id=com.nvsgames.pt&amp;referrer=utm_source%3Dgamer.com.tw%26utm_campaign%3Dgnn</t>
  </si>
  <si>
    <t>https://www.facebook.com/profile.php?id=61588715314872#</t>
  </si>
  <si>
    <t>YKXTPJH</t>
    <phoneticPr fontId="2" type="noConversion"/>
  </si>
  <si>
    <t>遊戲內點左上角「頭像」</t>
    <phoneticPr fontId="2" type="noConversion"/>
  </si>
  <si>
    <t>跳出視窗點「兌換碼」</t>
    <phoneticPr fontId="2" type="noConversion"/>
  </si>
  <si>
    <t>RNMFBVD</t>
    <phoneticPr fontId="2" type="noConversion"/>
  </si>
  <si>
    <t>PHQGZWL</t>
    <phoneticPr fontId="2" type="noConversion"/>
  </si>
  <si>
    <t>JKXSVTM</t>
    <phoneticPr fontId="2" type="noConversion"/>
  </si>
  <si>
    <t>TVPMHQX</t>
    <phoneticPr fontId="2" type="noConversion"/>
  </si>
  <si>
    <t>ZNGYJKC</t>
    <phoneticPr fontId="2" type="noConversion"/>
  </si>
  <si>
    <t>《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t>
  </si>
  <si>
    <t>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t>
    <phoneticPr fontId="2" type="noConversion"/>
  </si>
  <si>
    <t>薑餅人放置大戰爭</t>
    <phoneticPr fontId="2" type="noConversion"/>
  </si>
  <si>
    <t>隨機骰子2</t>
    <phoneticPr fontId="2" type="noConversion"/>
  </si>
  <si>
    <t>三國群英傳：策定九州</t>
    <phoneticPr fontId="2" type="noConversion"/>
  </si>
  <si>
    <t>https://apps.apple.com/tw/app/%E8%96%91%E9%A4%85%E4%BA%BA%E6%94%BE%E7%BD%AE%E5%A4%A7%E6%88%B0%E7%88%AD-%E9%A4%85%E4%B9%BE%E9%A4%8A%E6%88%90rpg/id6749251466</t>
  </si>
  <si>
    <t>https://play.google.com/store/apps/details?id=com.devsisters.cc&amp;referrer=utm_source%3Dgamer.com.tw%26utm_campaign%3Dgnn</t>
  </si>
  <si>
    <t>https://cookieruncrumble.com/zh-Hant</t>
  </si>
  <si>
    <t>https://www.facebook.com/profile.php?id=61578441052734</t>
  </si>
  <si>
    <t>https://play.google.com/store/apps/details?id=com.percent.aos.randomdice2&amp;hl=zh_TW</t>
  </si>
  <si>
    <t>https://apps.apple.com/tw/app/%E9%9A%A8%E6%A9%9F%E9%AA%B0%E5%AD%902/id6748432502</t>
  </si>
  <si>
    <t>https://str.uj.com.tw/index.php</t>
  </si>
  <si>
    <t>https://apps.apple.com/tw/app/%E4%B8%89%E5%9C%8B%E7%BE%A4%E8%8B%B1%E5%82%B3-%E7%AD%96%E5%AE%9A%E4%B9%9D%E5%B7%9E/id6742777315</t>
  </si>
  <si>
    <t>https://play.google.com/store/apps/details?id=com.userjoy.str</t>
  </si>
  <si>
    <t>https://www.facebook.com/uj.str/</t>
  </si>
  <si>
    <t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t>
    <phoneticPr fontId="2" type="noConversion"/>
  </si>
  <si>
    <t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t>
    <phoneticPr fontId="2" type="noConversion"/>
  </si>
  <si>
    <t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t>
    <phoneticPr fontId="2" type="noConversion"/>
  </si>
  <si>
    <t>FBFOLLOW</t>
    <phoneticPr fontId="2" type="noConversion"/>
  </si>
  <si>
    <t>雙平台下載第一</t>
    <phoneticPr fontId="2" type="noConversion"/>
  </si>
  <si>
    <t>聚義令 ×3、銅幣 ×5,000</t>
    <phoneticPr fontId="2" type="noConversion"/>
  </si>
  <si>
    <t>APPLE</t>
    <phoneticPr fontId="2" type="noConversion"/>
  </si>
  <si>
    <t>聚義令×3、糧草 ×10,000</t>
    <phoneticPr fontId="2" type="noConversion"/>
  </si>
  <si>
    <t>全軍聽令</t>
    <phoneticPr fontId="2" type="noConversion"/>
  </si>
  <si>
    <t>即刻起兵</t>
    <phoneticPr fontId="2" type="noConversion"/>
  </si>
  <si>
    <t>巔峰神將</t>
    <phoneticPr fontId="2" type="noConversion"/>
  </si>
  <si>
    <t>COOKIERUNCRUMBLE1ST</t>
    <phoneticPr fontId="2" type="noConversion"/>
  </si>
  <si>
    <t>COOKIERUNCRUMBLENO1</t>
    <phoneticPr fontId="2" type="noConversion"/>
  </si>
  <si>
    <t>勇氣之火*1000、水晶*10000、星際點數*1000、1小時自動討伐錢幣獎勵*10</t>
    <phoneticPr fontId="2" type="noConversion"/>
  </si>
  <si>
    <t>勇氣之火*1000、水晶*10000、符文結晶*1000、幸運麵團 *1000</t>
    <phoneticPr fontId="2" type="noConversion"/>
  </si>
  <si>
    <t>遊戲內右側選單</t>
    <phoneticPr fontId="2" type="noConversion"/>
  </si>
  <si>
    <t>點「設定」後進到「帳號」</t>
    <phoneticPr fontId="2" type="noConversion"/>
  </si>
  <si>
    <t>按進去「登陸序號」</t>
    <phoneticPr fontId="2" type="noConversion"/>
  </si>
  <si>
    <t>MAJORUWEN</t>
    <phoneticPr fontId="2" type="noConversion"/>
  </si>
  <si>
    <t>MAJOCREEP</t>
    <phoneticPr fontId="2" type="noConversion"/>
  </si>
  <si>
    <t>MAJOSTART</t>
    <phoneticPr fontId="2" type="noConversion"/>
  </si>
  <si>
    <t>MAJOPOWER</t>
    <phoneticPr fontId="2" type="noConversion"/>
  </si>
  <si>
    <t>MAJOAWAKE</t>
    <phoneticPr fontId="2" type="noConversion"/>
  </si>
  <si>
    <t>MAJOUZRA</t>
    <phoneticPr fontId="2" type="noConversion"/>
  </si>
  <si>
    <t>3NVWTXJ</t>
    <phoneticPr fontId="2" type="noConversion"/>
  </si>
  <si>
    <t>5T5TP9W</t>
    <phoneticPr fontId="2" type="noConversion"/>
  </si>
  <si>
    <t>9SPNKW5</t>
    <phoneticPr fontId="2" type="noConversion"/>
  </si>
  <si>
    <t>M6SSNV9</t>
    <phoneticPr fontId="2" type="noConversion"/>
  </si>
  <si>
    <t>VBYHO5P</t>
    <phoneticPr fontId="2" type="noConversion"/>
  </si>
  <si>
    <t>E版本</t>
    <phoneticPr fontId="2" type="noConversion"/>
  </si>
  <si>
    <t>一般版本</t>
    <phoneticPr fontId="2" type="noConversion"/>
  </si>
  <si>
    <t>摸魚LAUNCH</t>
    <phoneticPr fontId="2" type="noConversion"/>
  </si>
  <si>
    <t>80萬預約達成</t>
    <phoneticPr fontId="2" type="noConversion"/>
  </si>
  <si>
    <t>寶石*50、英雄招募券*2、金幣*100K</t>
    <phoneticPr fontId="2" type="noConversion"/>
  </si>
  <si>
    <t>寶石*100、黃金寶箱鑰匙*1、白銀寶箱鑰匙*1</t>
    <phoneticPr fontId="2" type="noConversion"/>
  </si>
  <si>
    <t>寶石*25、金幣*50K、能量*5</t>
    <phoneticPr fontId="2" type="noConversion"/>
  </si>
  <si>
    <t>遊戲內點左上角「頭像」</t>
    <phoneticPr fontId="2" type="noConversion"/>
  </si>
  <si>
    <t>個人資訊內點「兌換碼」</t>
    <phoneticPr fontId="2" type="noConversion"/>
  </si>
  <si>
    <t>遊戲主畫面右上角「三條線」選單</t>
    <phoneticPr fontId="2" type="noConversion"/>
  </si>
  <si>
    <t>進到「設置」後按兌換碼</t>
    <phoneticPr fontId="2" type="noConversion"/>
  </si>
  <si>
    <t>UNDEAD</t>
    <phoneticPr fontId="2" type="noConversion"/>
  </si>
  <si>
    <t>GIFT777</t>
    <phoneticPr fontId="2" type="noConversion"/>
  </si>
  <si>
    <t>VIP666</t>
    <phoneticPr fontId="2" type="noConversion"/>
  </si>
  <si>
    <t>VIP777</t>
    <phoneticPr fontId="2" type="noConversion"/>
  </si>
  <si>
    <t>WLBXS666</t>
    <phoneticPr fontId="2" type="noConversion"/>
  </si>
  <si>
    <t>WLBXS777</t>
    <phoneticPr fontId="2" type="noConversion"/>
  </si>
  <si>
    <t>WLBXS888</t>
    <phoneticPr fontId="2" type="noConversion"/>
  </si>
  <si>
    <t>鑽石*50、體力*15、金幣*10K</t>
    <phoneticPr fontId="2" type="noConversion"/>
  </si>
  <si>
    <t>鑽石*50、職業勳章*2、金幣*10K</t>
    <phoneticPr fontId="2" type="noConversion"/>
  </si>
  <si>
    <t>鑽石*50、重生十字章、體力*10</t>
    <phoneticPr fontId="2" type="noConversion"/>
  </si>
  <si>
    <t>鑽石*50、稀有寶箱鑰匙、金幣*5000</t>
    <phoneticPr fontId="2" type="noConversion"/>
  </si>
  <si>
    <t>鑽石*50、普通寶箱鑰匙*2、金幣*10K</t>
    <phoneticPr fontId="2" type="noConversion"/>
  </si>
  <si>
    <t>鑽石*50、聖物咒符、體力*10</t>
    <phoneticPr fontId="2" type="noConversion"/>
  </si>
  <si>
    <t>鑽石*50、體力*10、職業勳章*2</t>
    <phoneticPr fontId="2" type="noConversion"/>
  </si>
  <si>
    <t>鑽石*50、普通寶箱鑰匙*2、職業勳章*2</t>
    <phoneticPr fontId="2" type="noConversion"/>
  </si>
  <si>
    <t>鑽石*50、喚靈寶珠*3、訓練之書*200</t>
    <phoneticPr fontId="2" type="noConversion"/>
  </si>
  <si>
    <t>2026PINK</t>
    <phoneticPr fontId="2" type="noConversion"/>
  </si>
  <si>
    <t>wm300day</t>
    <phoneticPr fontId="2" type="noConversion"/>
  </si>
  <si>
    <t>oldseer666</t>
    <phoneticPr fontId="2" type="noConversion"/>
  </si>
  <si>
    <t>bananabro8</t>
    <phoneticPr fontId="2" type="noConversion"/>
  </si>
  <si>
    <t>OB26HAPPY</t>
    <phoneticPr fontId="2" type="noConversion"/>
  </si>
  <si>
    <t>左上頭向右方四個點按進去</t>
    <phoneticPr fontId="2" type="noConversion"/>
  </si>
  <si>
    <t>然後點左下方齒輪</t>
    <phoneticPr fontId="2" type="noConversion"/>
  </si>
  <si>
    <t>在兌換區域輸入禮包碼即可兌換免費禮包</t>
    <phoneticPr fontId="2" type="noConversion"/>
  </si>
  <si>
    <t>DWO7DAYS</t>
    <phoneticPr fontId="2" type="noConversion"/>
  </si>
  <si>
    <t>DWFOLLOW</t>
    <phoneticPr fontId="2" type="noConversion"/>
  </si>
  <si>
    <t>DWOJOINUS</t>
    <phoneticPr fontId="2" type="noConversion"/>
  </si>
  <si>
    <t>DWOMILST</t>
    <phoneticPr fontId="2" type="noConversion"/>
  </si>
  <si>
    <t>DWO2026</t>
    <phoneticPr fontId="2" type="noConversion"/>
  </si>
  <si>
    <t>DWDISCORD</t>
    <phoneticPr fontId="2" type="noConversion"/>
  </si>
  <si>
    <t>按右下角的功能選單</t>
    <phoneticPr fontId="2" type="noConversion"/>
  </si>
  <si>
    <t>進到「設定」後按「禮物兌換」</t>
    <phoneticPr fontId="2" type="noConversion"/>
  </si>
  <si>
    <t>幻想三國：武姬集結</t>
  </si>
  <si>
    <t>瘋狂水世界</t>
  </si>
  <si>
    <t>別砸了！是精靈啦</t>
  </si>
  <si>
    <t>錢途無量</t>
  </si>
  <si>
    <t>https://play.google.com/store/apps/details?id=com.svsg.jdxy&amp;hl=zh_TW</t>
  </si>
  <si>
    <t>https://apps.apple.com/tw/app/%E5%B9%BB%E6%83%B3%E4%B8%89%E5%9B%BD-%E6%AD%A6%E5%A7%AC%E9%9B%86%E7%BB%93/id6758040920</t>
  </si>
  <si>
    <t>https://www.facebook.com/p/%E5%B9%BB%E6%83%B3%E4%B8%89%E5%9C%8B%E6%AD%A6%E5%A7%AC%E9%9B%86%E7%B5%90-61586864450691/</t>
  </si>
  <si>
    <t>https://www.facebook.com/wildwaterworldTW/</t>
  </si>
  <si>
    <t>https://flotshelter.eworldgame.com/</t>
  </si>
  <si>
    <t>https://play.google.com/store/apps/details?id=com.iyagames.flotshelter&amp;hl=zh_TW</t>
  </si>
  <si>
    <t>https://www.komug.com/</t>
  </si>
  <si>
    <t>https://www.facebook.com/profile.php?id=61591911735218</t>
  </si>
  <si>
    <t>https://play.google.com/store/apps/details?id=com.marketo.sqbbgat</t>
  </si>
  <si>
    <t>https://apps.apple.com/tw/app/%E5%88%A5%E7%A0%B8%E4%BA%86-%E6%98%AF%E7%B2%BE%E9%9D%88%E5%95%A6/id6785454081</t>
  </si>
  <si>
    <t>https://play.google.com/store/apps/details?id=com.global.ft.sdtw&amp;hl=zh_TW</t>
  </si>
  <si>
    <t>https://apps.apple.com/tw/app/%E9%8C%A2%E9%80%94%E7%84%A1%E9%87%8F/id6774507637</t>
  </si>
  <si>
    <t>https://www.facebook.com/profile.php?id=61590745524100</t>
  </si>
  <si>
    <t>MONEY666</t>
    <phoneticPr fontId="2" type="noConversion"/>
  </si>
  <si>
    <t>遊戲內點左下角「設定」</t>
    <phoneticPr fontId="2" type="noConversion"/>
  </si>
  <si>
    <t>超人氣三國美少女卡牌養成手遊《幻想三國：武姬集結》心動降臨！本作將三國豪傑化為顏值實力兼具的絕美武姬，主打策略布陣、Live2D互動與多樣化副本挑戰。本站提供完整新手陣容配置攻略與通關技巧，帶你零門檻稱霸三國！隨時掌握最新兌換碼與官方禮包碼，即可免費領取限定武姬抽卡券與海量資源。想在開服衝榜領先群雄？推薦使用專業代儲值服務，流程快速安全又享超值回饋，立即代儲快速升級戰力，解鎖心儀專屬武姬！快來點擊下載體驗，與傾城武姬攜手平定天下！</t>
    <phoneticPr fontId="2" type="noConversion"/>
  </si>
  <si>
    <t>超人氣海洋末日求生模擬經營手遊《瘋狂水世界》震撼登場！在無盡的汪洋浩劫中，玩家需不斷打撈漂流物資、自由擴建專屬海上避難所，並招募各具專長的強大英雄，一同抵禦未知深海巨獸侵襲。本站為您整理全方位新手拓荒與基地建造攻略，帶您迅速掌握生存法則！輸入最新兌換碼與官方禮包碼福利，即可免費領取稀有建材、生存物資與抽卡道具。想快人一步稱霸公海？推薦選擇專業代儲值服務，流程快速安全又享超值回饋，立即代儲快速強化基地戰力，打造專屬於你的海上最強繁榮帝國！</t>
    <phoneticPr fontId="2" type="noConversion"/>
  </si>
  <si>
    <t>超人氣萌系開箱放置休閒手遊《別砸了！是精靈啦》歡樂降臨！遊戲主打輕鬆砸蛋開寶箱、收集百種超萌精靈與自由搭配流派技能，隨時享受無限爆裝的爽快感。本站為您整理最實用的新手流派養成攻略與推圖技巧，帶您輕鬆躺贏制霸全服！輸入最新兌換碼與官方禮包碼，即可免費領取海量鑽石、極品神裝與稀有彩蛋資源。想在開局秒速解鎖頂級神寵並制霸排行榜？推薦選擇專業代儲值服務，交易流程快速安全又享超值回饋，立即代儲輕鬆快速狂飆戰力，與可愛精靈攜手踏上精彩的奇幻冒險！</t>
    <phoneticPr fontId="2" type="noConversion"/>
  </si>
  <si>
    <t>現代都市商戰模擬經營手遊《錢途無量》震撼登場！玩家將化身商業奇才，體驗白手起家收購地產、投資產業、培養紅顏知己與打造跨國商業帝國的奢華人生。本站為您提供最實用的新手賺錢攻略與產業投資佈局指南，助您快速累積億萬資產財富！立即輸入最新兌換碼與官方禮包碼福利，免費兌換海量資金、豪車座駕與精英員工招募券。想在全服商戰談判與商會競爭中拔得頭籌？推薦使用專業代儲值服務，流程快速安全享獨家超值特惠，立即代儲快速擴張資本版圖，輕鬆登上全球首富排行榜！</t>
    <phoneticPr fontId="2" type="noConversion"/>
  </si>
  <si>
    <t>ZLB260817UF</t>
    <phoneticPr fontId="2" type="noConversion"/>
  </si>
  <si>
    <t>拓印之章*5，升階石*300，金幣*200000</t>
    <phoneticPr fontId="2" type="noConversion"/>
  </si>
  <si>
    <t>ZLB260810RU</t>
    <phoneticPr fontId="2" type="noConversion"/>
  </si>
  <si>
    <t>群星之證*5，武姬經驗*100000，金幣*200000</t>
    <phoneticPr fontId="2" type="noConversion"/>
  </si>
  <si>
    <t>YLB2608UZ</t>
    <phoneticPr fontId="2" type="noConversion"/>
  </si>
  <si>
    <t>誓約之證*2，群星之證*5，武姬經驗*200000，金幣*200000</t>
    <phoneticPr fontId="2" type="noConversion"/>
  </si>
  <si>
    <t>VIP888</t>
    <phoneticPr fontId="2" type="noConversion"/>
  </si>
  <si>
    <t>bobiking</t>
    <phoneticPr fontId="2" type="noConversion"/>
  </si>
  <si>
    <t>bobi888</t>
    <phoneticPr fontId="2" type="noConversion"/>
  </si>
  <si>
    <t>bobi666</t>
    <phoneticPr fontId="2" type="noConversion"/>
  </si>
  <si>
    <t>攜清風踏新途</t>
    <phoneticPr fontId="2" type="noConversion"/>
  </si>
  <si>
    <t>遊戲內點頭像</t>
    <phoneticPr fontId="2" type="noConversion"/>
  </si>
  <si>
    <t>然後按「兌換碼」</t>
    <phoneticPr fontId="2" type="noConversion"/>
  </si>
  <si>
    <t>逐雲光開勝景</t>
    <phoneticPr fontId="2" type="noConversion"/>
  </si>
  <si>
    <t>遊戲內點齒輪「設定」</t>
    <phoneticPr fontId="2" type="noConversion"/>
  </si>
  <si>
    <t>FREE1000</t>
    <phoneticPr fontId="2" type="noConversion"/>
  </si>
  <si>
    <t>SG777</t>
    <phoneticPr fontId="2" type="noConversion"/>
  </si>
  <si>
    <t>VIP666</t>
    <phoneticPr fontId="2" type="noConversion"/>
  </si>
  <si>
    <t>VIP777</t>
    <phoneticPr fontId="2" type="noConversion"/>
  </si>
  <si>
    <t>VIP888</t>
    <phoneticPr fontId="2" type="noConversion"/>
  </si>
  <si>
    <t>SG2026</t>
    <phoneticPr fontId="2" type="noConversion"/>
  </si>
  <si>
    <t>CODE2026</t>
    <phoneticPr fontId="2" type="noConversion"/>
  </si>
  <si>
    <t>GIFT2026</t>
    <phoneticPr fontId="2" type="noConversion"/>
  </si>
  <si>
    <t>KING2026</t>
    <phoneticPr fontId="2" type="noConversion"/>
  </si>
  <si>
    <t>NEW2026</t>
    <phoneticPr fontId="2" type="noConversion"/>
  </si>
  <si>
    <t>VIP777</t>
    <phoneticPr fontId="2" type="noConversion"/>
  </si>
  <si>
    <t>ob8888</t>
    <phoneticPr fontId="2" type="noConversion"/>
  </si>
  <si>
    <t>遊戲內左下角齒輪「設置」</t>
    <phoneticPr fontId="2" type="noConversion"/>
  </si>
  <si>
    <t>然後點右上方的「禮包兌換」</t>
    <phoneticPr fontId="2" type="noConversion"/>
  </si>
  <si>
    <t>解憂夢幻島</t>
    <phoneticPr fontId="2" type="noConversion"/>
  </si>
  <si>
    <t>https://www.facebook.com/dreamscapeisland/</t>
  </si>
  <si>
    <t>https://apps.apple.com/tw/app/%E8%A7%A3%E6%86%82%E5%A4%A2%E5%B9%BB%E5%B3%B6/id6790720778</t>
  </si>
  <si>
    <t>https://play.google.com/store/apps/details?id=com.aidiangames.garden.gp</t>
  </si>
  <si>
    <t>DREAM999</t>
    <phoneticPr fontId="2" type="noConversion"/>
  </si>
  <si>
    <t>VVIP999</t>
    <phoneticPr fontId="2" type="noConversion"/>
  </si>
  <si>
    <t>點遊戲主畫面右上方的三條線「選單」</t>
    <phoneticPr fontId="2" type="noConversion"/>
  </si>
  <si>
    <t>點設定進去後按右下方「兌換碼」</t>
    <phoneticPr fontId="2" type="noConversion"/>
  </si>
  <si>
    <t>VVIP888</t>
  </si>
  <si>
    <t>大腸包小腸</t>
    <phoneticPr fontId="2" type="noConversion"/>
  </si>
  <si>
    <t>《解憂夢幻島》是一款主打療癒放鬆的模擬經營手遊。玩家將在專屬的海島上開墾農田、釣魚採集、研發料理並自由裝扮海景小屋，體驗無拘無束的田園慢生活。想要輕鬆打造理想島嶼，掌握新手攻略至關重要，開局別忘了領取官方禮包碼與最新兌換碼，免費獲取豐富資源與稀有裝飾道具！若想加速島嶼建設與解鎖限定外觀，推薦選擇快速安全的專業代儲值服務，即時到帳更有保障。快加入《解憂夢幻島》，一起告別日常壓力，享受溫馨治癒的時光吧！</t>
    <phoneticPr fontId="2" type="noConversion"/>
  </si>
  <si>
    <t>MON31RD</t>
    <phoneticPr fontId="2" type="noConversion"/>
  </si>
  <si>
    <t>諸天之上</t>
    <phoneticPr fontId="2" type="noConversion"/>
  </si>
  <si>
    <t>三國神將錄</t>
    <phoneticPr fontId="2" type="noConversion"/>
  </si>
  <si>
    <t>不良人：破局</t>
    <phoneticPr fontId="2" type="noConversion"/>
  </si>
  <si>
    <t>https://www.facebook.com/abysstx/#</t>
  </si>
  <si>
    <t>https://sstx.doki.tw/pre/?pid=MKTyy&amp;af_xp=custom&amp;shortlink=pre&amp;source_caller=ui&amp;fbclid=IwY2xjawT6LWRwZG9mBWV4dG4DYWVtAjEwAGJyaWQRMWZvV2tyMmlHcnFncE5KZ2RzcnRjBmFwcF9pZBAyMjIwMzkxNzg4MjAwODkyAAEezrqBPdmvSGsY48fy3JVjNiZxanWtYp0RVQ_xVm5yo-ej6ahuVQlbSftrxpU_aem_drH1poORgtEc5gIN40dmBw</t>
  </si>
  <si>
    <t>https://play.google.com/store/apps/details?id=com.dokisstx.gp&amp;af_xp=custom&amp;shortlink=main_pre&amp;source_caller=ui&amp;pid=MKTyy</t>
  </si>
  <si>
    <t>https://apps.apple.com/tw/app/%E8%AB%B8%E5%A4%A9%E4%B9%8B%E4%B8%8A/id6760334610</t>
  </si>
  <si>
    <t>https://www.facebook.com/3kheroes.game</t>
  </si>
  <si>
    <t>https://www.hermesgames.com.tw/?fbclid=IwY2xjawT6LXZwZG9mBWV4dG4DYWVtAjEwAGJyaWQRMWZvV2tyMmlHcnFncE5KZ2RzcnRjBmFwcF9pZBAyMjIwMzkxNzg4MjAwODkyAAEetg7RAsStfgrgYxNROLDpjA79cUsHo8XNNkRjXbBquLwlrvsenq4Atub8gKk_aem_7AaaPTHCuFIm0NtfUdEItQ#/</t>
  </si>
  <si>
    <t>https://apps.apple.com/tw/app/%E4%B8%89%E5%9C%8B%E7%A5%9E%E5%B0%87%E9%8C%84/id6785854641</t>
  </si>
  <si>
    <t>https://play.google.com/store/apps/details?id=com.hermes.wwsg&amp;hl=zh_TW</t>
  </si>
  <si>
    <t>https://www.facebook.com/blrpj</t>
  </si>
  <si>
    <t>https://blrpj.yoloaipte.com/pre/?fbclid=IwY2xjawT6LYVwZG9mBWV4dG4DYWVtAjEwAGJyaWQRMWZvV2tyMmlHcnFncE5KZ2RzcnRjBmFwcF9pZBAyMjIwMzkxNzg4MjAwODkyAAEeSj6Al2gBRFUDCRLb8dihbR7izG33vXttNldM8YIFr12w91pd_Da5DX33nx8_aem_SolEst_W8x6eDT-JQK1nZA</t>
  </si>
  <si>
    <t>https://play.google.com/store/apps/details?id=com.badguytw.gp</t>
  </si>
  <si>
    <t>https://apps.apple.com/cn/app/%E4%B8%8D%E8%89%AF%E4%BA%BA-%E7%A0%B4%E5%B1%80/id6741955195</t>
  </si>
  <si>
    <t>《諸天之上》是一款主打法相修真的東方玄幻動作MMORPG手遊，為玩家帶來最為熱血震撼的修仙體驗。遊戲中你將覺醒盤古、楊戩等至尊法相，踏破太古禁區降維碾壓神魔，並享受弒神打寶與自由交易的暢快歷程。想在開局迅速領先群雄，務必參考全方位新手進階攻略，同時領取最新兌換碼與官方禮包碼，海量稀有資源與極品神裝直接入手！若想輕鬆衝刺全服戰力排行榜、尊享VIP特權，推薦使用優質手遊代儲值服務，享受快速安全又省荷包的尊榮體驗，助你一念登仙、傲立諸天之巔！</t>
    <phoneticPr fontId="2" type="noConversion"/>
  </si>
  <si>
    <t>《三國神將錄》是一款融合神將養成與策略布陣的經典三國放置卡牌RPG手遊。遊戲匯集魏、蜀、吳、聖、魔、幻六大陣營名將，開局累積豪送千抽福利，結合滿屏炫酷技能與多元軍團玩法，帶你體驗熱血策略征戰！想在群雄並起的亂世中克敵制勝，務必掌握武將搭配與通關攻略，同時領取最新兌換碼與官方禮包碼，海量元寶與頂級神將輕鬆入手！若想大幅加快隊伍成型、稱霸全服競技場，推薦選擇專業手遊代儲值服務，享受快速安全、划算又超值的充值保障，助你傲視群雄、成就三國霸業！</t>
    <phoneticPr fontId="2" type="noConversion"/>
  </si>
  <si>
    <t>《不良人：破局》是一款改編自頂級國漫IP的高顏值新國風武俠卡牌RPG手遊，完美重構經典番劇魅力。李星雲、姬如雪、女帝等全角色熱血集結，搭配多流派自由配組策略與大世界探索奇遇，帶你沉浸體驗執棋破局的江湖風雲！想在江湖中快速打造最強陣容，千萬別錯過新手養成攻略，並第一時間領取最新兌換碼與官方禮包碼，海量福利資源輕鬆入袋！若想加速全俠客圖鑑養成、登頂戰力之巔，推薦選擇專業手遊代儲值服務，享受快速安全又超值的充值體驗，助你縱橫武林、主宰天道霸業！</t>
    <phoneticPr fontId="2" type="noConversion"/>
  </si>
  <si>
    <t>《我欲修仙-塔防肉鴿》是一款唯美水墨風修仙Roguelike塔防策略手遊。遊戲融合五行屬性與千種仙法技能，支援萬般功法無損隨心切換，帶來拳拳到肉的硬核打擊反饋與暢快割草體驗！想在斬妖除魔的仙途中突破境界，務必參考陣容流派搭配攻略，並即刻兌換最新兌換碼與官方禮包碼，海量修為資源與極品法寶免費入手！若想極速飆升戰力、輕鬆通關高難副本，推薦選擇專業手遊代儲值服務，享受快速安全又划算的儲值支援，助你隨心修仙、早日圓滿得道飛升！</t>
    <phoneticPr fontId="2" type="noConversion"/>
  </si>
  <si>
    <t>https://apps.apple.com/tw/app/%E6%88%91%E6%AC%B2%E4%BF%AE%E4%BB%99-%E5%A1%94%E9%98%B2%E8%82%89%E9%B8%BD/id6773633755</t>
  </si>
  <si>
    <t>我欲修仙-塔防肉鴿</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</si>
</sst>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7">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2"/>
      <color rgb="FF000000"/>
      <name val="Arial"/>
      <family val="2"/>
    </font>
    <font>
      <sz val="12"/>
      <color rgb="FF000000"/>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xf numFmtId="0" fontId="25" fillId="0" borderId="0" xfId="0" applyFont="1" applyAlignment="1">
      <alignment vertical="center"/>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348" Type="http://schemas.openxmlformats.org/officeDocument/2006/relationships/hyperlink" Target="https://play.google.com/store/apps/details?id=com.gtwl.gp&amp;hl=zh_TW"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349" Type="http://schemas.openxmlformats.org/officeDocument/2006/relationships/hyperlink" Target="https://play.google.com/store/apps/details?id=com.poseidongame.mgxtw&amp;referrer=utm_source%3Dgamer.com.tw%26utm_campaign%3Dgnn"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350" Type="http://schemas.openxmlformats.org/officeDocument/2006/relationships/hyperlink" Target="https://play.google.com/store/apps/details?id=com.StellarCraft.StellarConnect&amp;hl=zh_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351" Type="http://schemas.openxmlformats.org/officeDocument/2006/relationships/hyperlink" Target="https://play.google.com/store/apps/details?id=com.blackdust.redblue&amp;hl=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352" Type="http://schemas.openxmlformats.org/officeDocument/2006/relationships/printerSettings" Target="../printerSettings/printerSettings1.bin"/><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hyperlink" Target="https://play.google.com/store/apps/details?id=com.farlightgames.pgame.gp&amp;hl=zh_TW"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35" Type="http://schemas.openxmlformats.org/officeDocument/2006/relationships/hyperlink" Target="https://etheria.xd.com/"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38" Type="http://schemas.openxmlformats.org/officeDocument/2006/relationships/hyperlink" Target="https://play.google.com/store/apps/details?id=com.gugames.cursedeqd&amp;hl=zh_TW"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9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290" Type="http://schemas.openxmlformats.org/officeDocument/2006/relationships/hyperlink" Target="mailto:&#26368;&#26032;&#20786;&#20540;&#20778;&#24800;&#39340;&#19978;&#21839;&#21839;Line@&#23458;&#26381;" TargetMode="External"/><Relationship Id="rId304"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08" Type="http://schemas.openxmlformats.org/officeDocument/2006/relationships/hyperlink" Target="mailto:&#26368;&#26032;&#20786;&#20540;&#20778;&#24800;&#39340;&#19978;&#21839;&#21839;Line@&#23458;&#26381;" TargetMode="External"/><Relationship Id="rId315"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130"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228"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281" Type="http://schemas.openxmlformats.org/officeDocument/2006/relationships/hyperlink" Target="mailto:&#26368;&#26032;&#20786;&#20540;&#20778;&#24800;&#39340;&#19978;&#21839;&#21839;Line@&#23458;&#26381;" TargetMode="External"/><Relationship Id="rId316"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92" Type="http://schemas.openxmlformats.org/officeDocument/2006/relationships/hyperlink" Target="mailto:&#26368;&#26032;&#20786;&#20540;&#20778;&#24800;&#39340;&#19978;&#21839;&#21839;Line@&#23458;&#26381;" TargetMode="External"/><Relationship Id="rId306"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282" Type="http://schemas.openxmlformats.org/officeDocument/2006/relationships/hyperlink" Target="mailto:&#26368;&#26032;&#20786;&#20540;&#20778;&#24800;&#39340;&#19978;&#21839;&#21839;Line@&#23458;&#26381;" TargetMode="External"/><Relationship Id="rId31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293" Type="http://schemas.openxmlformats.org/officeDocument/2006/relationships/hyperlink" Target="mailto:&#26368;&#26032;&#20786;&#20540;&#20778;&#24800;&#39340;&#19978;&#21839;&#21839;Line@&#23458;&#26381;" TargetMode="External"/><Relationship Id="rId30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283" Type="http://schemas.openxmlformats.org/officeDocument/2006/relationships/hyperlink" Target="mailto:&#26368;&#26032;&#20786;&#20540;&#20778;&#24800;&#39340;&#19978;&#21839;&#21839;Line@&#23458;&#26381;" TargetMode="External"/><Relationship Id="rId318"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294" Type="http://schemas.openxmlformats.org/officeDocument/2006/relationships/hyperlink" Target="mailto:&#26368;&#26032;&#20786;&#20540;&#20778;&#24800;&#39340;&#19978;&#21839;&#21839;Line@&#23458;&#26381;" TargetMode="External"/><Relationship Id="rId308"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284" Type="http://schemas.openxmlformats.org/officeDocument/2006/relationships/hyperlink" Target="mailto:&#26368;&#26032;&#20786;&#20540;&#20778;&#24800;&#39340;&#19978;&#21839;&#21839;Line@&#23458;&#26381;" TargetMode="External"/><Relationship Id="rId319"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95" Type="http://schemas.openxmlformats.org/officeDocument/2006/relationships/hyperlink" Target="mailto:&#26368;&#26032;&#20786;&#20540;&#20778;&#24800;&#39340;&#19978;&#21839;&#21839;Line@&#23458;&#26381;" TargetMode="External"/><Relationship Id="rId309"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320" Type="http://schemas.openxmlformats.org/officeDocument/2006/relationships/printerSettings" Target="../printerSettings/printerSettings2.bin"/><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285"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310"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296" Type="http://schemas.openxmlformats.org/officeDocument/2006/relationships/hyperlink" Target="mailto:&#26368;&#26032;&#20786;&#20540;&#20778;&#24800;&#39340;&#19978;&#21839;&#21839;Line@&#23458;&#26381;" TargetMode="External"/><Relationship Id="rId300"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286"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311"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29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301"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28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312"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298"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302"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288"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313"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303"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28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314"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91" Type="http://schemas.openxmlformats.org/officeDocument/2006/relationships/hyperlink" Target="mailto:&#26368;&#26032;&#20786;&#20540;&#20778;&#24800;&#39340;&#19978;&#21839;&#21839;Line@&#23458;&#26381;" TargetMode="External"/><Relationship Id="rId305"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51" Type="http://schemas.openxmlformats.org/officeDocument/2006/relationships/hyperlink" Target="mailto:&#26368;&#26032;&#20786;&#20540;&#20778;&#24800;&#39340;&#19978;&#21839;&#21839;Line@&#23458;&#26381;"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2"/>
  <sheetViews>
    <sheetView tabSelected="1" zoomScale="85" zoomScaleNormal="85" workbookViewId="0">
      <pane xSplit="1" ySplit="1" topLeftCell="J567" activePane="bottomRight" state="frozen"/>
      <selection pane="topRight" activeCell="B1" sqref="B1"/>
      <selection pane="bottomLeft" activeCell="A2" sqref="A2"/>
      <selection pane="bottomRight" activeCell="AA573" sqref="AA573"/>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3" si="20">IF(A491="", "", "gift-codes.html?game=" &amp; A491)</f>
        <v>gift-codes.html?game=Pond Pals</v>
      </c>
      <c r="G491" s="9" t="s">
        <v>8769</v>
      </c>
      <c r="H491" s="9" t="str">
        <f t="shared" ref="H491:H553"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A540" s="114" t="s">
        <v>9364</v>
      </c>
      <c r="C540" s="8" t="s">
        <v>9366</v>
      </c>
      <c r="D540" s="9" t="s">
        <v>9365</v>
      </c>
      <c r="E540" s="9" t="s">
        <v>9367</v>
      </c>
      <c r="F540" s="8" t="str">
        <f t="shared" si="20"/>
        <v>gift-codes.html?game=猛鬼三國</v>
      </c>
      <c r="G540" s="9" t="s">
        <v>9368</v>
      </c>
      <c r="H540" s="9" t="str">
        <f t="shared" si="21"/>
        <v>https://www.ssbuy.tw/game-detail.html?game=猛鬼三國</v>
      </c>
      <c r="I540" s="10" t="s">
        <v>9375</v>
      </c>
      <c r="J540" s="16" t="s">
        <v>5418</v>
      </c>
      <c r="K540" s="39" t="s">
        <v>5446</v>
      </c>
      <c r="L540" s="9" t="s">
        <v>9369</v>
      </c>
      <c r="M540" s="9">
        <v>2816</v>
      </c>
      <c r="N540" s="9" t="s">
        <v>9370</v>
      </c>
      <c r="O540" s="9">
        <v>1460</v>
      </c>
      <c r="P540" s="9" t="s">
        <v>9371</v>
      </c>
      <c r="Q540" s="9">
        <v>863</v>
      </c>
      <c r="R540" s="9" t="s">
        <v>9372</v>
      </c>
      <c r="S540" s="9">
        <v>584</v>
      </c>
      <c r="T540" s="9" t="s">
        <v>9373</v>
      </c>
      <c r="U540" s="9">
        <v>288</v>
      </c>
      <c r="V540" s="9" t="s">
        <v>804</v>
      </c>
      <c r="W540" s="9">
        <v>148</v>
      </c>
      <c r="X540" s="9" t="s">
        <v>9374</v>
      </c>
      <c r="Y540" s="9">
        <v>29</v>
      </c>
    </row>
    <row r="541" spans="1:31" ht="28.5" customHeight="1">
      <c r="A541" s="114" t="s">
        <v>9376</v>
      </c>
      <c r="C541" s="8" t="s">
        <v>9387</v>
      </c>
      <c r="D541" s="9" t="s">
        <v>9386</v>
      </c>
      <c r="E541" s="9" t="s">
        <v>9385</v>
      </c>
      <c r="F541" s="8" t="str">
        <f t="shared" si="20"/>
        <v>gift-codes.html?game=大航海：怒海遠征</v>
      </c>
      <c r="G541" s="9" t="s">
        <v>9384</v>
      </c>
      <c r="H541" s="9" t="str">
        <f t="shared" si="21"/>
        <v>https://www.ssbuy.tw/game-detail.html?game=大航海：怒海遠征</v>
      </c>
      <c r="I541" s="10" t="s">
        <v>9388</v>
      </c>
      <c r="J541" s="16" t="s">
        <v>5418</v>
      </c>
      <c r="K541" s="39" t="s">
        <v>5446</v>
      </c>
      <c r="L541" s="9" t="s">
        <v>9377</v>
      </c>
      <c r="M541" s="9">
        <v>2730</v>
      </c>
      <c r="N541" s="9" t="s">
        <v>9378</v>
      </c>
      <c r="O541" s="9">
        <v>1377</v>
      </c>
      <c r="P541" s="9" t="s">
        <v>9379</v>
      </c>
      <c r="Q541" s="9">
        <v>841</v>
      </c>
      <c r="R541" s="9" t="s">
        <v>9380</v>
      </c>
      <c r="S541" s="9">
        <v>537</v>
      </c>
      <c r="T541" s="9" t="s">
        <v>9381</v>
      </c>
      <c r="U541" s="9">
        <v>284</v>
      </c>
      <c r="V541" s="9" t="s">
        <v>9382</v>
      </c>
      <c r="W541" s="9">
        <v>127</v>
      </c>
      <c r="X541" s="9" t="s">
        <v>9383</v>
      </c>
      <c r="Y541" s="9">
        <v>28</v>
      </c>
    </row>
    <row r="542" spans="1:31" ht="28.5" customHeight="1" thickBot="1">
      <c r="A542" s="114" t="s">
        <v>9389</v>
      </c>
      <c r="C542" s="8" t="s">
        <v>9393</v>
      </c>
      <c r="D542" s="9" t="s">
        <v>9392</v>
      </c>
      <c r="E542" s="9" t="s">
        <v>9390</v>
      </c>
      <c r="F542" s="8" t="str">
        <f t="shared" si="20"/>
        <v>gift-codes.html?game=hololive Dreams</v>
      </c>
      <c r="G542" s="9" t="s">
        <v>9391</v>
      </c>
      <c r="H542" s="9" t="str">
        <f t="shared" si="21"/>
        <v>https://www.ssbuy.tw/game-detail.html?game=hololive Dreams</v>
      </c>
      <c r="I542" s="10" t="s">
        <v>9400</v>
      </c>
      <c r="J542" s="16" t="s">
        <v>5418</v>
      </c>
      <c r="K542" s="39" t="s">
        <v>5446</v>
      </c>
    </row>
    <row r="543" spans="1:31" ht="28.5" customHeight="1" thickBot="1">
      <c r="A543" s="114" t="s">
        <v>9429</v>
      </c>
      <c r="C543" s="8" t="s">
        <v>9401</v>
      </c>
      <c r="E543" s="9" t="s">
        <v>9418</v>
      </c>
      <c r="F543" s="8" t="str">
        <f t="shared" si="20"/>
        <v>gift-codes.html?game=萬象山海</v>
      </c>
      <c r="G543" s="9" t="s">
        <v>9402</v>
      </c>
      <c r="H543" s="9" t="str">
        <f t="shared" si="21"/>
        <v>https://www.ssbuy.tw/game-detail.html?game=萬象山海</v>
      </c>
      <c r="I543" s="10" t="s">
        <v>9420</v>
      </c>
      <c r="J543" s="16" t="s">
        <v>5418</v>
      </c>
      <c r="K543" s="39" t="s">
        <v>5446</v>
      </c>
      <c r="L543" s="111" t="s">
        <v>46</v>
      </c>
      <c r="M543" s="112">
        <v>2559</v>
      </c>
      <c r="N543" s="111" t="s">
        <v>1677</v>
      </c>
      <c r="O543" s="112">
        <v>1287</v>
      </c>
      <c r="P543" s="111" t="s">
        <v>151</v>
      </c>
      <c r="Q543" s="112">
        <v>863</v>
      </c>
      <c r="R543" s="111" t="s">
        <v>152</v>
      </c>
      <c r="S543" s="112">
        <v>584</v>
      </c>
      <c r="T543" s="111" t="s">
        <v>153</v>
      </c>
      <c r="U543" s="112">
        <v>427</v>
      </c>
      <c r="V543" s="111" t="s">
        <v>6549</v>
      </c>
      <c r="W543" s="112">
        <v>279</v>
      </c>
      <c r="X543" s="111" t="s">
        <v>6550</v>
      </c>
      <c r="Y543" s="112">
        <v>131</v>
      </c>
      <c r="Z543" s="111" t="s">
        <v>8447</v>
      </c>
      <c r="AA543" s="112">
        <v>87</v>
      </c>
      <c r="AB543" s="111" t="s">
        <v>6553</v>
      </c>
      <c r="AC543" s="112">
        <v>29</v>
      </c>
    </row>
    <row r="544" spans="1:31" ht="28.5" customHeight="1" thickBot="1">
      <c r="A544" s="114" t="s">
        <v>9394</v>
      </c>
      <c r="C544" s="8" t="s">
        <v>9403</v>
      </c>
      <c r="E544" s="9" t="s">
        <v>9405</v>
      </c>
      <c r="F544" s="8" t="str">
        <f t="shared" si="20"/>
        <v>gift-codes.html?game=三國觀滄海</v>
      </c>
      <c r="G544" s="9" t="s">
        <v>9404</v>
      </c>
      <c r="H544" s="9" t="str">
        <f t="shared" si="21"/>
        <v>https://www.ssbuy.tw/game-detail.html?game=三國觀滄海</v>
      </c>
      <c r="I544" s="10" t="s">
        <v>9421</v>
      </c>
      <c r="J544" s="16" t="s">
        <v>5418</v>
      </c>
      <c r="K544" s="39" t="s">
        <v>5446</v>
      </c>
      <c r="L544" s="1" t="s">
        <v>5939</v>
      </c>
      <c r="M544" s="26">
        <v>2816</v>
      </c>
      <c r="N544" s="1" t="s">
        <v>5940</v>
      </c>
      <c r="O544" s="26">
        <v>1460</v>
      </c>
      <c r="P544" s="1" t="s">
        <v>5941</v>
      </c>
      <c r="Q544" s="26">
        <v>863</v>
      </c>
      <c r="R544" s="1" t="s">
        <v>5942</v>
      </c>
      <c r="S544" s="26">
        <v>759</v>
      </c>
      <c r="T544" s="1" t="s">
        <v>5943</v>
      </c>
      <c r="U544" s="26">
        <v>584</v>
      </c>
      <c r="V544" s="1" t="s">
        <v>5944</v>
      </c>
      <c r="W544" s="26">
        <v>427</v>
      </c>
      <c r="X544" s="1" t="s">
        <v>5945</v>
      </c>
      <c r="Y544" s="26">
        <v>288</v>
      </c>
      <c r="Z544" s="1" t="s">
        <v>5946</v>
      </c>
      <c r="AA544" s="26">
        <v>148</v>
      </c>
      <c r="AB544" s="1" t="s">
        <v>5947</v>
      </c>
      <c r="AC544" s="26">
        <v>29</v>
      </c>
    </row>
    <row r="545" spans="1:29" ht="28.5" customHeight="1" thickBot="1">
      <c r="A545" s="114" t="s">
        <v>9395</v>
      </c>
      <c r="C545" s="8" t="s">
        <v>9406</v>
      </c>
      <c r="D545" s="9" t="s">
        <v>9407</v>
      </c>
      <c r="E545" s="9" t="s">
        <v>9428</v>
      </c>
      <c r="F545" s="8" t="str">
        <f t="shared" si="20"/>
        <v>gift-codes.html?game=美男戰國</v>
      </c>
      <c r="G545" s="9" t="s">
        <v>9427</v>
      </c>
      <c r="H545" s="9" t="str">
        <f t="shared" si="21"/>
        <v>https://www.ssbuy.tw/game-detail.html?game=美男戰國</v>
      </c>
      <c r="I545" s="10" t="s">
        <v>9422</v>
      </c>
      <c r="J545" s="16" t="s">
        <v>5418</v>
      </c>
      <c r="K545" s="39" t="s">
        <v>5446</v>
      </c>
      <c r="L545" s="1" t="s">
        <v>5939</v>
      </c>
      <c r="M545" s="26">
        <v>2816</v>
      </c>
      <c r="N545" s="1" t="s">
        <v>5940</v>
      </c>
      <c r="O545" s="26">
        <v>1460</v>
      </c>
      <c r="P545" s="1" t="s">
        <v>5941</v>
      </c>
      <c r="Q545" s="26">
        <v>863</v>
      </c>
      <c r="R545" s="1" t="s">
        <v>5942</v>
      </c>
      <c r="S545" s="26">
        <v>759</v>
      </c>
      <c r="T545" s="1" t="s">
        <v>5943</v>
      </c>
      <c r="U545" s="26">
        <v>584</v>
      </c>
      <c r="V545" s="1" t="s">
        <v>5944</v>
      </c>
      <c r="W545" s="26">
        <v>427</v>
      </c>
      <c r="X545" s="1" t="s">
        <v>5945</v>
      </c>
      <c r="Y545" s="26">
        <v>288</v>
      </c>
      <c r="Z545" s="1" t="s">
        <v>5946</v>
      </c>
      <c r="AA545" s="26">
        <v>148</v>
      </c>
      <c r="AB545" s="1" t="s">
        <v>5947</v>
      </c>
      <c r="AC545" s="26">
        <v>29</v>
      </c>
    </row>
    <row r="546" spans="1:29" ht="28.5" customHeight="1" thickBot="1">
      <c r="A546" s="114" t="s">
        <v>9396</v>
      </c>
      <c r="C546" s="8" t="s">
        <v>9408</v>
      </c>
      <c r="D546" s="9" t="s">
        <v>9409</v>
      </c>
      <c r="E546" s="9" t="s">
        <v>9411</v>
      </c>
      <c r="F546" s="8" t="str">
        <f t="shared" si="20"/>
        <v>gift-codes.html?game=搞鬼M</v>
      </c>
      <c r="G546" s="9" t="s">
        <v>9410</v>
      </c>
      <c r="H546" s="9" t="str">
        <f t="shared" si="21"/>
        <v>https://www.ssbuy.tw/game-detail.html?game=搞鬼M</v>
      </c>
      <c r="I546" s="10" t="s">
        <v>9423</v>
      </c>
      <c r="J546" s="16" t="s">
        <v>5418</v>
      </c>
      <c r="K546" s="39" t="s">
        <v>5446</v>
      </c>
      <c r="L546" s="1" t="s">
        <v>5939</v>
      </c>
      <c r="M546" s="26">
        <v>2816</v>
      </c>
      <c r="N546" s="1" t="s">
        <v>5940</v>
      </c>
      <c r="O546" s="26">
        <v>1460</v>
      </c>
      <c r="P546" s="1" t="s">
        <v>5941</v>
      </c>
      <c r="Q546" s="26">
        <v>863</v>
      </c>
      <c r="R546" s="1" t="s">
        <v>5942</v>
      </c>
      <c r="S546" s="26">
        <v>759</v>
      </c>
      <c r="T546" s="1" t="s">
        <v>5943</v>
      </c>
      <c r="U546" s="26">
        <v>584</v>
      </c>
      <c r="V546" s="1" t="s">
        <v>5944</v>
      </c>
      <c r="W546" s="26">
        <v>427</v>
      </c>
      <c r="X546" s="1" t="s">
        <v>5945</v>
      </c>
      <c r="Y546" s="26">
        <v>288</v>
      </c>
      <c r="Z546" s="1" t="s">
        <v>5946</v>
      </c>
      <c r="AA546" s="26">
        <v>148</v>
      </c>
      <c r="AB546" s="1" t="s">
        <v>5947</v>
      </c>
      <c r="AC546" s="26">
        <v>29</v>
      </c>
    </row>
    <row r="547" spans="1:29" ht="28.5" customHeight="1" thickBot="1">
      <c r="A547" s="114" t="s">
        <v>9397</v>
      </c>
      <c r="E547" s="9" t="s">
        <v>9419</v>
      </c>
      <c r="F547" s="8" t="str">
        <f t="shared" si="20"/>
        <v>gift-codes.html?game=喵喵騎士：放置RPG</v>
      </c>
      <c r="G547" s="9" t="s">
        <v>9412</v>
      </c>
      <c r="H547" s="9" t="str">
        <f t="shared" si="21"/>
        <v>https://www.ssbuy.tw/game-detail.html?game=喵喵騎士：放置RPG</v>
      </c>
      <c r="I547" s="10" t="s">
        <v>9424</v>
      </c>
      <c r="J547" s="16" t="s">
        <v>5418</v>
      </c>
      <c r="K547" s="39" t="s">
        <v>5446</v>
      </c>
      <c r="L547" s="111" t="s">
        <v>46</v>
      </c>
      <c r="M547" s="112">
        <v>2559</v>
      </c>
      <c r="N547" s="111" t="s">
        <v>1677</v>
      </c>
      <c r="O547" s="112">
        <v>1287</v>
      </c>
      <c r="P547" s="111" t="s">
        <v>151</v>
      </c>
      <c r="Q547" s="112">
        <v>863</v>
      </c>
      <c r="R547" s="111" t="s">
        <v>152</v>
      </c>
      <c r="S547" s="112">
        <v>584</v>
      </c>
      <c r="T547" s="111" t="s">
        <v>153</v>
      </c>
      <c r="U547" s="112">
        <v>427</v>
      </c>
      <c r="V547" s="111" t="s">
        <v>6549</v>
      </c>
      <c r="W547" s="112">
        <v>279</v>
      </c>
      <c r="X547" s="111" t="s">
        <v>6550</v>
      </c>
      <c r="Y547" s="112">
        <v>131</v>
      </c>
      <c r="Z547" s="111" t="s">
        <v>8447</v>
      </c>
      <c r="AA547" s="112">
        <v>87</v>
      </c>
      <c r="AB547" s="111" t="s">
        <v>6553</v>
      </c>
      <c r="AC547" s="112">
        <v>29</v>
      </c>
    </row>
    <row r="548" spans="1:29" ht="28.5" customHeight="1" thickBot="1">
      <c r="A548" s="114" t="s">
        <v>9398</v>
      </c>
      <c r="C548" s="8" t="s">
        <v>9413</v>
      </c>
      <c r="E548" s="9" t="s">
        <v>9414</v>
      </c>
      <c r="F548" s="8" t="str">
        <f t="shared" si="20"/>
        <v>gift-codes.html?game=女神帝國：天使降臨</v>
      </c>
      <c r="G548" s="9" t="s">
        <v>9415</v>
      </c>
      <c r="H548" s="9" t="str">
        <f t="shared" si="21"/>
        <v>https://www.ssbuy.tw/game-detail.html?game=女神帝國：天使降臨</v>
      </c>
      <c r="I548" s="10" t="s">
        <v>9425</v>
      </c>
      <c r="J548" s="16" t="s">
        <v>5418</v>
      </c>
      <c r="K548" s="39" t="s">
        <v>5446</v>
      </c>
      <c r="L548" s="111" t="s">
        <v>46</v>
      </c>
      <c r="M548" s="112">
        <v>2559</v>
      </c>
      <c r="N548" s="111" t="s">
        <v>1677</v>
      </c>
      <c r="O548" s="112">
        <v>1287</v>
      </c>
      <c r="P548" s="111" t="s">
        <v>151</v>
      </c>
      <c r="Q548" s="112">
        <v>863</v>
      </c>
      <c r="R548" s="111" t="s">
        <v>152</v>
      </c>
      <c r="S548" s="112">
        <v>584</v>
      </c>
      <c r="T548" s="111" t="s">
        <v>153</v>
      </c>
      <c r="U548" s="112">
        <v>427</v>
      </c>
      <c r="V548" s="111" t="s">
        <v>6549</v>
      </c>
      <c r="W548" s="112">
        <v>279</v>
      </c>
      <c r="X548" s="111" t="s">
        <v>6550</v>
      </c>
      <c r="Y548" s="112">
        <v>131</v>
      </c>
      <c r="Z548" s="111" t="s">
        <v>8447</v>
      </c>
      <c r="AA548" s="112">
        <v>87</v>
      </c>
      <c r="AB548" s="111" t="s">
        <v>6553</v>
      </c>
      <c r="AC548" s="112">
        <v>29</v>
      </c>
    </row>
    <row r="549" spans="1:29" ht="28.5" customHeight="1" thickBot="1">
      <c r="A549" s="114" t="s">
        <v>9399</v>
      </c>
      <c r="E549" s="9" t="s">
        <v>9417</v>
      </c>
      <c r="F549" s="8" t="str">
        <f t="shared" si="20"/>
        <v>gift-codes.html?game=地下城見聞錄</v>
      </c>
      <c r="G549" s="9" t="s">
        <v>9416</v>
      </c>
      <c r="H549" s="9" t="str">
        <f t="shared" si="21"/>
        <v>https://www.ssbuy.tw/game-detail.html?game=地下城見聞錄</v>
      </c>
      <c r="I549" s="10" t="s">
        <v>9426</v>
      </c>
      <c r="J549" s="16" t="s">
        <v>5418</v>
      </c>
      <c r="K549" s="39" t="s">
        <v>5446</v>
      </c>
      <c r="L549" s="111" t="s">
        <v>46</v>
      </c>
      <c r="M549" s="112">
        <v>2559</v>
      </c>
      <c r="N549" s="111" t="s">
        <v>1677</v>
      </c>
      <c r="O549" s="112">
        <v>1287</v>
      </c>
      <c r="P549" s="111" t="s">
        <v>151</v>
      </c>
      <c r="Q549" s="112">
        <v>863</v>
      </c>
      <c r="R549" s="111" t="s">
        <v>152</v>
      </c>
      <c r="S549" s="112">
        <v>584</v>
      </c>
      <c r="T549" s="111" t="s">
        <v>153</v>
      </c>
      <c r="U549" s="112">
        <v>427</v>
      </c>
      <c r="V549" s="111" t="s">
        <v>6549</v>
      </c>
      <c r="W549" s="112">
        <v>279</v>
      </c>
      <c r="X549" s="111" t="s">
        <v>6550</v>
      </c>
      <c r="Y549" s="112">
        <v>131</v>
      </c>
      <c r="Z549" s="111" t="s">
        <v>8447</v>
      </c>
      <c r="AA549" s="112">
        <v>87</v>
      </c>
      <c r="AB549" s="111" t="s">
        <v>6553</v>
      </c>
      <c r="AC549" s="112">
        <v>29</v>
      </c>
    </row>
    <row r="550" spans="1:29" ht="28.5" customHeight="1" thickBot="1">
      <c r="A550" s="114" t="s">
        <v>9430</v>
      </c>
      <c r="C550" s="8" t="s">
        <v>9437</v>
      </c>
      <c r="D550" s="9" t="s">
        <v>9436</v>
      </c>
      <c r="E550" s="9" t="s">
        <v>9439</v>
      </c>
      <c r="F550" s="8" t="str">
        <f t="shared" si="20"/>
        <v>gift-codes.html?game=鬥破蒼穹M：少年崛起</v>
      </c>
      <c r="G550" s="9" t="s">
        <v>9438</v>
      </c>
      <c r="H550" s="9" t="str">
        <f t="shared" si="21"/>
        <v>https://www.ssbuy.tw/game-detail.html?game=鬥破蒼穹M：少年崛起</v>
      </c>
      <c r="I550" s="10" t="s">
        <v>9440</v>
      </c>
      <c r="J550" s="16" t="s">
        <v>5418</v>
      </c>
      <c r="K550" s="39" t="s">
        <v>5446</v>
      </c>
      <c r="L550" s="1" t="s">
        <v>5939</v>
      </c>
      <c r="M550" s="26">
        <v>2816</v>
      </c>
      <c r="N550" s="1" t="s">
        <v>5940</v>
      </c>
      <c r="O550" s="26">
        <v>1460</v>
      </c>
      <c r="P550" s="1" t="s">
        <v>5941</v>
      </c>
      <c r="Q550" s="26">
        <v>863</v>
      </c>
      <c r="R550" s="1" t="s">
        <v>5942</v>
      </c>
      <c r="S550" s="26">
        <v>759</v>
      </c>
      <c r="T550" s="1" t="s">
        <v>5943</v>
      </c>
      <c r="U550" s="26">
        <v>584</v>
      </c>
      <c r="V550" s="1" t="s">
        <v>5944</v>
      </c>
      <c r="W550" s="26">
        <v>427</v>
      </c>
      <c r="X550" s="1" t="s">
        <v>5945</v>
      </c>
      <c r="Y550" s="26">
        <v>288</v>
      </c>
      <c r="Z550" s="1" t="s">
        <v>5946</v>
      </c>
      <c r="AA550" s="26">
        <v>148</v>
      </c>
      <c r="AB550" s="1" t="s">
        <v>5947</v>
      </c>
      <c r="AC550" s="26">
        <v>29</v>
      </c>
    </row>
    <row r="551" spans="1:29" ht="28.5" customHeight="1" thickBot="1">
      <c r="A551" s="114" t="s">
        <v>9441</v>
      </c>
      <c r="C551" s="8" t="s">
        <v>9466</v>
      </c>
      <c r="D551" s="9" t="s">
        <v>9460</v>
      </c>
      <c r="E551" s="9" t="s">
        <v>9451</v>
      </c>
      <c r="F551" s="8" t="str">
        <f t="shared" si="20"/>
        <v>gift-codes.html?game=開局一座島</v>
      </c>
      <c r="G551" s="9" t="s">
        <v>9452</v>
      </c>
      <c r="H551" s="9" t="str">
        <f t="shared" si="21"/>
        <v>https://www.ssbuy.tw/game-detail.html?game=開局一座島</v>
      </c>
      <c r="I551" s="10" t="s">
        <v>9446</v>
      </c>
      <c r="J551" s="16" t="s">
        <v>5418</v>
      </c>
      <c r="K551" s="39" t="s">
        <v>5446</v>
      </c>
      <c r="L551" s="1" t="s">
        <v>5939</v>
      </c>
      <c r="M551" s="26">
        <v>2816</v>
      </c>
      <c r="N551" s="1" t="s">
        <v>5940</v>
      </c>
      <c r="O551" s="26">
        <v>1460</v>
      </c>
      <c r="P551" s="1" t="s">
        <v>5941</v>
      </c>
      <c r="Q551" s="26">
        <v>863</v>
      </c>
      <c r="R551" s="1" t="s">
        <v>5942</v>
      </c>
      <c r="S551" s="26">
        <v>759</v>
      </c>
      <c r="T551" s="1" t="s">
        <v>5943</v>
      </c>
      <c r="U551" s="26">
        <v>584</v>
      </c>
      <c r="V551" s="1" t="s">
        <v>5944</v>
      </c>
      <c r="W551" s="26">
        <v>427</v>
      </c>
      <c r="X551" s="1" t="s">
        <v>5945</v>
      </c>
      <c r="Y551" s="26">
        <v>288</v>
      </c>
      <c r="Z551" s="1" t="s">
        <v>5946</v>
      </c>
      <c r="AA551" s="26">
        <v>148</v>
      </c>
      <c r="AB551" s="1" t="s">
        <v>5947</v>
      </c>
      <c r="AC551" s="26">
        <v>29</v>
      </c>
    </row>
    <row r="552" spans="1:29" ht="28.5" customHeight="1" thickBot="1">
      <c r="A552" s="114" t="s">
        <v>9442</v>
      </c>
      <c r="E552" s="9" t="s">
        <v>9453</v>
      </c>
      <c r="F552" s="8" t="str">
        <f t="shared" si="20"/>
        <v>gift-codes.html?game=真三國無雙・霸</v>
      </c>
      <c r="G552" s="9" t="s">
        <v>9454</v>
      </c>
      <c r="H552" s="9" t="str">
        <f t="shared" si="21"/>
        <v>https://www.ssbuy.tw/game-detail.html?game=真三國無雙・霸</v>
      </c>
      <c r="I552" s="10" t="s">
        <v>9447</v>
      </c>
      <c r="J552" s="16" t="s">
        <v>5418</v>
      </c>
      <c r="K552" s="39" t="s">
        <v>5446</v>
      </c>
      <c r="L552" s="1" t="s">
        <v>5939</v>
      </c>
      <c r="M552" s="26">
        <v>2816</v>
      </c>
      <c r="N552" s="1" t="s">
        <v>5940</v>
      </c>
      <c r="O552" s="26">
        <v>1460</v>
      </c>
      <c r="P552" s="1" t="s">
        <v>5941</v>
      </c>
      <c r="Q552" s="26">
        <v>863</v>
      </c>
      <c r="R552" s="1" t="s">
        <v>5942</v>
      </c>
      <c r="S552" s="26">
        <v>759</v>
      </c>
      <c r="T552" s="1" t="s">
        <v>5943</v>
      </c>
      <c r="U552" s="26">
        <v>584</v>
      </c>
      <c r="V552" s="1" t="s">
        <v>5944</v>
      </c>
      <c r="W552" s="26">
        <v>427</v>
      </c>
      <c r="X552" s="1" t="s">
        <v>5945</v>
      </c>
      <c r="Y552" s="26">
        <v>288</v>
      </c>
      <c r="Z552" s="1" t="s">
        <v>5946</v>
      </c>
      <c r="AA552" s="26">
        <v>148</v>
      </c>
      <c r="AB552" s="1" t="s">
        <v>5947</v>
      </c>
      <c r="AC552" s="26">
        <v>29</v>
      </c>
    </row>
    <row r="553" spans="1:29" ht="28.5" customHeight="1" thickBot="1">
      <c r="A553" s="114" t="s">
        <v>9443</v>
      </c>
      <c r="C553" s="8" t="s">
        <v>9465</v>
      </c>
      <c r="D553" s="9" t="s">
        <v>9461</v>
      </c>
      <c r="E553" s="9" t="s">
        <v>9455</v>
      </c>
      <c r="F553" s="8" t="str">
        <f t="shared" si="20"/>
        <v>gift-codes.html?game=賽爾號：巔峰之戰</v>
      </c>
      <c r="G553" s="9" t="s">
        <v>9456</v>
      </c>
      <c r="H553" s="9" t="str">
        <f t="shared" si="21"/>
        <v>https://www.ssbuy.tw/game-detail.html?game=賽爾號：巔峰之戰</v>
      </c>
      <c r="I553" s="10" t="s">
        <v>9448</v>
      </c>
      <c r="J553" s="16" t="s">
        <v>5418</v>
      </c>
      <c r="K553" s="39" t="s">
        <v>5446</v>
      </c>
      <c r="L553" s="1" t="s">
        <v>5939</v>
      </c>
      <c r="M553" s="26">
        <v>2816</v>
      </c>
      <c r="N553" s="1" t="s">
        <v>5940</v>
      </c>
      <c r="O553" s="26">
        <v>1460</v>
      </c>
      <c r="P553" s="1" t="s">
        <v>5941</v>
      </c>
      <c r="Q553" s="26">
        <v>863</v>
      </c>
      <c r="R553" s="1" t="s">
        <v>5942</v>
      </c>
      <c r="S553" s="26">
        <v>759</v>
      </c>
      <c r="T553" s="1" t="s">
        <v>5943</v>
      </c>
      <c r="U553" s="26">
        <v>584</v>
      </c>
      <c r="V553" s="1" t="s">
        <v>5944</v>
      </c>
      <c r="W553" s="26">
        <v>427</v>
      </c>
      <c r="X553" s="1" t="s">
        <v>5945</v>
      </c>
      <c r="Y553" s="26">
        <v>288</v>
      </c>
      <c r="Z553" s="1" t="s">
        <v>5946</v>
      </c>
      <c r="AA553" s="26">
        <v>148</v>
      </c>
      <c r="AB553" s="1" t="s">
        <v>5947</v>
      </c>
      <c r="AC553" s="26">
        <v>29</v>
      </c>
    </row>
    <row r="554" spans="1:29" ht="28.5" customHeight="1" thickBot="1">
      <c r="A554" s="114" t="s">
        <v>9445</v>
      </c>
      <c r="D554" s="9" t="s">
        <v>9459</v>
      </c>
      <c r="E554" s="9" t="s">
        <v>9463</v>
      </c>
      <c r="F554" s="8" t="str">
        <f>IF(A554="", "", "gift-codes.html?game=" &amp; A554)</f>
        <v>gift-codes.html?game=Astro Arena：恆星激鬥 PvP</v>
      </c>
      <c r="G554" s="9" t="s">
        <v>9464</v>
      </c>
      <c r="H554" s="9" t="str">
        <f t="shared" ref="H554:H612" si="22">IF(A554="", "", "https://www.ssbuy.tw/game-detail.html?game="&amp;A554)</f>
        <v>https://www.ssbuy.tw/game-detail.html?game=Astro Arena：恆星激鬥 PvP</v>
      </c>
      <c r="I554" s="10" t="s">
        <v>9449</v>
      </c>
      <c r="J554" s="16" t="s">
        <v>5418</v>
      </c>
      <c r="K554" s="39" t="s">
        <v>5446</v>
      </c>
      <c r="L554" s="111" t="s">
        <v>46</v>
      </c>
      <c r="M554" s="112">
        <v>2559</v>
      </c>
      <c r="N554" s="111" t="s">
        <v>1677</v>
      </c>
      <c r="O554" s="112">
        <v>1287</v>
      </c>
      <c r="P554" s="111" t="s">
        <v>151</v>
      </c>
      <c r="Q554" s="112">
        <v>863</v>
      </c>
      <c r="R554" s="111" t="s">
        <v>152</v>
      </c>
      <c r="S554" s="112">
        <v>584</v>
      </c>
      <c r="T554" s="111" t="s">
        <v>153</v>
      </c>
      <c r="U554" s="112">
        <v>427</v>
      </c>
      <c r="V554" s="111" t="s">
        <v>6549</v>
      </c>
      <c r="W554" s="112">
        <v>279</v>
      </c>
      <c r="X554" s="111" t="s">
        <v>6550</v>
      </c>
      <c r="Y554" s="112">
        <v>131</v>
      </c>
      <c r="Z554" s="111" t="s">
        <v>8447</v>
      </c>
      <c r="AA554" s="112">
        <v>87</v>
      </c>
      <c r="AB554" s="111" t="s">
        <v>6553</v>
      </c>
      <c r="AC554" s="112">
        <v>29</v>
      </c>
    </row>
    <row r="555" spans="1:29" ht="28.5" customHeight="1" thickBot="1">
      <c r="A555" s="114" t="s">
        <v>9444</v>
      </c>
      <c r="C555" s="8" t="s">
        <v>9462</v>
      </c>
      <c r="E555" s="9" t="s">
        <v>9457</v>
      </c>
      <c r="F555" s="8" t="str">
        <f>IF(A555="", "", "gift-codes.html?game=" &amp; A555)</f>
        <v>gift-codes.html?game=METAL SLUG RUSH</v>
      </c>
      <c r="G555" s="9" t="s">
        <v>9458</v>
      </c>
      <c r="H555" s="9" t="str">
        <f t="shared" si="22"/>
        <v>https://www.ssbuy.tw/game-detail.html?game=METAL SLUG RUSH</v>
      </c>
      <c r="I555" s="10" t="s">
        <v>9450</v>
      </c>
      <c r="J555" s="16" t="s">
        <v>5418</v>
      </c>
      <c r="K555" s="39" t="s">
        <v>5446</v>
      </c>
      <c r="L555" s="111" t="s">
        <v>46</v>
      </c>
      <c r="M555" s="112">
        <v>2559</v>
      </c>
      <c r="N555" s="111" t="s">
        <v>1677</v>
      </c>
      <c r="O555" s="112">
        <v>1287</v>
      </c>
      <c r="P555" s="111" t="s">
        <v>151</v>
      </c>
      <c r="Q555" s="112">
        <v>863</v>
      </c>
      <c r="R555" s="111" t="s">
        <v>152</v>
      </c>
      <c r="S555" s="112">
        <v>584</v>
      </c>
      <c r="T555" s="111" t="s">
        <v>153</v>
      </c>
      <c r="U555" s="112">
        <v>427</v>
      </c>
      <c r="V555" s="111" t="s">
        <v>6549</v>
      </c>
      <c r="W555" s="112">
        <v>279</v>
      </c>
      <c r="X555" s="111" t="s">
        <v>6550</v>
      </c>
      <c r="Y555" s="112">
        <v>131</v>
      </c>
      <c r="Z555" s="111" t="s">
        <v>8447</v>
      </c>
      <c r="AA555" s="112">
        <v>87</v>
      </c>
      <c r="AB555" s="111" t="s">
        <v>6553</v>
      </c>
      <c r="AC555" s="112">
        <v>29</v>
      </c>
    </row>
    <row r="556" spans="1:29" ht="28.5" customHeight="1" thickBot="1">
      <c r="A556" s="122" t="s">
        <v>9517</v>
      </c>
      <c r="C556" s="8" t="s">
        <v>9503</v>
      </c>
      <c r="E556" s="9" t="s">
        <v>9504</v>
      </c>
      <c r="F556" s="8" t="str">
        <f>IF(A556="", "", "gift-codes.html?game=" &amp; A556)</f>
        <v>gift-codes.html?game=塔塔冒險隊</v>
      </c>
      <c r="G556" s="127" t="s">
        <v>9518</v>
      </c>
      <c r="H556" s="9" t="str">
        <f t="shared" si="22"/>
        <v>https://www.ssbuy.tw/game-detail.html?game=塔塔冒險隊</v>
      </c>
      <c r="I556" s="129" t="s">
        <v>9528</v>
      </c>
      <c r="J556" s="16" t="s">
        <v>5418</v>
      </c>
      <c r="K556" s="39" t="s">
        <v>5446</v>
      </c>
      <c r="L556" s="1" t="s">
        <v>5939</v>
      </c>
      <c r="M556" s="26">
        <v>2816</v>
      </c>
      <c r="N556" s="1" t="s">
        <v>5940</v>
      </c>
      <c r="O556" s="26">
        <v>1460</v>
      </c>
      <c r="P556" s="1" t="s">
        <v>5941</v>
      </c>
      <c r="Q556" s="26">
        <v>863</v>
      </c>
      <c r="R556" s="1" t="s">
        <v>5942</v>
      </c>
      <c r="S556" s="26">
        <v>759</v>
      </c>
      <c r="T556" s="1" t="s">
        <v>5943</v>
      </c>
      <c r="U556" s="26">
        <v>584</v>
      </c>
      <c r="V556" s="1" t="s">
        <v>5944</v>
      </c>
      <c r="W556" s="26">
        <v>427</v>
      </c>
      <c r="X556" s="1" t="s">
        <v>5945</v>
      </c>
      <c r="Y556" s="26">
        <v>288</v>
      </c>
      <c r="Z556" s="1" t="s">
        <v>5946</v>
      </c>
      <c r="AA556" s="26">
        <v>148</v>
      </c>
      <c r="AB556" s="1" t="s">
        <v>5947</v>
      </c>
      <c r="AC556" s="26">
        <v>29</v>
      </c>
    </row>
    <row r="557" spans="1:29" ht="28.5" customHeight="1" thickBot="1">
      <c r="A557" s="122" t="s">
        <v>9519</v>
      </c>
      <c r="C557" s="8" t="s">
        <v>9505</v>
      </c>
      <c r="D557" s="9" t="s">
        <v>9507</v>
      </c>
      <c r="E557" s="9" t="s">
        <v>9506</v>
      </c>
      <c r="F557" s="8" t="str">
        <f t="shared" ref="F557:F601" si="23">IF(A557="", "", "gift-codes.html?game=" &amp; A557)</f>
        <v>gift-codes.html?game=亡靈別太狂：部落大作戰</v>
      </c>
      <c r="G557" s="127" t="s">
        <v>9520</v>
      </c>
      <c r="H557" s="9" t="str">
        <f t="shared" si="22"/>
        <v>https://www.ssbuy.tw/game-detail.html?game=亡靈別太狂：部落大作戰</v>
      </c>
      <c r="I557" s="129" t="s">
        <v>9529</v>
      </c>
      <c r="J557" s="16" t="s">
        <v>5418</v>
      </c>
      <c r="K557" s="39" t="s">
        <v>5446</v>
      </c>
      <c r="L557" s="1" t="s">
        <v>5939</v>
      </c>
      <c r="M557" s="26">
        <v>2816</v>
      </c>
      <c r="N557" s="1" t="s">
        <v>5940</v>
      </c>
      <c r="O557" s="26">
        <v>1460</v>
      </c>
      <c r="P557" s="1" t="s">
        <v>5941</v>
      </c>
      <c r="Q557" s="26">
        <v>863</v>
      </c>
      <c r="R557" s="1" t="s">
        <v>5942</v>
      </c>
      <c r="S557" s="26">
        <v>759</v>
      </c>
      <c r="T557" s="1" t="s">
        <v>5943</v>
      </c>
      <c r="U557" s="26">
        <v>584</v>
      </c>
      <c r="V557" s="1" t="s">
        <v>5944</v>
      </c>
      <c r="W557" s="26">
        <v>427</v>
      </c>
      <c r="X557" s="1" t="s">
        <v>5945</v>
      </c>
      <c r="Y557" s="26">
        <v>288</v>
      </c>
      <c r="Z557" s="1" t="s">
        <v>5946</v>
      </c>
      <c r="AA557" s="26">
        <v>148</v>
      </c>
      <c r="AB557" s="1" t="s">
        <v>5947</v>
      </c>
      <c r="AC557" s="26">
        <v>29</v>
      </c>
    </row>
    <row r="558" spans="1:29" ht="28.5" customHeight="1" thickBot="1">
      <c r="A558" s="122" t="s">
        <v>9533</v>
      </c>
      <c r="C558" s="8" t="s">
        <v>9508</v>
      </c>
      <c r="D558" s="9" t="s">
        <v>9511</v>
      </c>
      <c r="E558" s="9" t="s">
        <v>9510</v>
      </c>
      <c r="F558" s="8" t="str">
        <f t="shared" si="23"/>
        <v>gift-codes.html?game=爆走摸魚君</v>
      </c>
      <c r="G558" s="127" t="s">
        <v>9524</v>
      </c>
      <c r="H558" s="9" t="str">
        <f t="shared" si="22"/>
        <v>https://www.ssbuy.tw/game-detail.html?game=爆走摸魚君</v>
      </c>
      <c r="I558" s="129" t="s">
        <v>9534</v>
      </c>
      <c r="J558" s="16" t="s">
        <v>5418</v>
      </c>
      <c r="K558" s="39" t="s">
        <v>5446</v>
      </c>
      <c r="L558" s="111" t="s">
        <v>46</v>
      </c>
      <c r="M558" s="112">
        <v>2559</v>
      </c>
      <c r="N558" s="111" t="s">
        <v>1677</v>
      </c>
      <c r="O558" s="112">
        <v>1287</v>
      </c>
      <c r="P558" s="111" t="s">
        <v>151</v>
      </c>
      <c r="Q558" s="112">
        <v>863</v>
      </c>
      <c r="R558" s="111" t="s">
        <v>152</v>
      </c>
      <c r="S558" s="112">
        <v>584</v>
      </c>
      <c r="T558" s="111" t="s">
        <v>153</v>
      </c>
      <c r="U558" s="112">
        <v>427</v>
      </c>
      <c r="V558" s="111" t="s">
        <v>6549</v>
      </c>
      <c r="W558" s="112">
        <v>279</v>
      </c>
      <c r="X558" s="111" t="s">
        <v>6550</v>
      </c>
      <c r="Y558" s="112">
        <v>131</v>
      </c>
      <c r="Z558" s="111" t="s">
        <v>8447</v>
      </c>
      <c r="AA558" s="112">
        <v>87</v>
      </c>
      <c r="AB558" s="111" t="s">
        <v>6553</v>
      </c>
      <c r="AC558" s="112">
        <v>29</v>
      </c>
    </row>
    <row r="559" spans="1:29" ht="28.5" customHeight="1" thickBot="1">
      <c r="A559" s="122" t="s">
        <v>9521</v>
      </c>
      <c r="C559" s="8" t="s">
        <v>9514</v>
      </c>
      <c r="D559" s="9" t="s">
        <v>9513</v>
      </c>
      <c r="E559" s="9" t="s">
        <v>9512</v>
      </c>
      <c r="F559" s="8" t="str">
        <f t="shared" si="23"/>
        <v>gift-codes.html?game=小貓咪大史記</v>
      </c>
      <c r="G559" s="127" t="s">
        <v>9525</v>
      </c>
      <c r="H559" s="9" t="str">
        <f t="shared" si="22"/>
        <v>https://www.ssbuy.tw/game-detail.html?game=小貓咪大史記</v>
      </c>
      <c r="I559" s="129" t="s">
        <v>9530</v>
      </c>
      <c r="J559" s="16" t="s">
        <v>5418</v>
      </c>
      <c r="K559" s="39" t="s">
        <v>5446</v>
      </c>
      <c r="L559" s="1" t="s">
        <v>5939</v>
      </c>
      <c r="M559" s="26">
        <v>2816</v>
      </c>
      <c r="N559" s="1" t="s">
        <v>5940</v>
      </c>
      <c r="O559" s="26">
        <v>1460</v>
      </c>
      <c r="P559" s="1" t="s">
        <v>5941</v>
      </c>
      <c r="Q559" s="26">
        <v>863</v>
      </c>
      <c r="R559" s="1" t="s">
        <v>5942</v>
      </c>
      <c r="S559" s="26">
        <v>759</v>
      </c>
      <c r="T559" s="1" t="s">
        <v>5943</v>
      </c>
      <c r="U559" s="26">
        <v>584</v>
      </c>
      <c r="V559" s="1" t="s">
        <v>5944</v>
      </c>
      <c r="W559" s="26">
        <v>427</v>
      </c>
      <c r="X559" s="1" t="s">
        <v>5945</v>
      </c>
      <c r="Y559" s="26">
        <v>288</v>
      </c>
      <c r="Z559" s="1" t="s">
        <v>5946</v>
      </c>
      <c r="AA559" s="26">
        <v>148</v>
      </c>
      <c r="AB559" s="1" t="s">
        <v>5947</v>
      </c>
      <c r="AC559" s="26">
        <v>29</v>
      </c>
    </row>
    <row r="560" spans="1:29" ht="28.5" customHeight="1" thickBot="1">
      <c r="A560" s="122" t="s">
        <v>9522</v>
      </c>
      <c r="E560" s="9" t="s">
        <v>9515</v>
      </c>
      <c r="F560" s="8" t="str">
        <f t="shared" si="23"/>
        <v>gift-codes.html?game=星辰連結</v>
      </c>
      <c r="G560" s="127" t="s">
        <v>9526</v>
      </c>
      <c r="H560" s="9" t="str">
        <f t="shared" si="22"/>
        <v>https://www.ssbuy.tw/game-detail.html?game=星辰連結</v>
      </c>
      <c r="I560" s="129" t="s">
        <v>9531</v>
      </c>
      <c r="J560" s="16" t="s">
        <v>5418</v>
      </c>
      <c r="K560" s="39" t="s">
        <v>5446</v>
      </c>
      <c r="L560" s="111" t="s">
        <v>46</v>
      </c>
      <c r="M560" s="112">
        <v>2559</v>
      </c>
      <c r="N560" s="111" t="s">
        <v>1677</v>
      </c>
      <c r="O560" s="112">
        <v>1287</v>
      </c>
      <c r="P560" s="111" t="s">
        <v>151</v>
      </c>
      <c r="Q560" s="112">
        <v>863</v>
      </c>
      <c r="R560" s="111" t="s">
        <v>152</v>
      </c>
      <c r="S560" s="112">
        <v>584</v>
      </c>
      <c r="T560" s="111" t="s">
        <v>153</v>
      </c>
      <c r="U560" s="112">
        <v>427</v>
      </c>
      <c r="V560" s="111" t="s">
        <v>6549</v>
      </c>
      <c r="W560" s="112">
        <v>279</v>
      </c>
      <c r="X560" s="111" t="s">
        <v>6550</v>
      </c>
      <c r="Y560" s="112">
        <v>131</v>
      </c>
      <c r="Z560" s="111" t="s">
        <v>8447</v>
      </c>
      <c r="AA560" s="112">
        <v>87</v>
      </c>
      <c r="AB560" s="111" t="s">
        <v>6553</v>
      </c>
      <c r="AC560" s="112">
        <v>29</v>
      </c>
    </row>
    <row r="561" spans="1:29" ht="28.5" customHeight="1" thickBot="1">
      <c r="A561" s="112" t="s">
        <v>9523</v>
      </c>
      <c r="E561" s="9" t="s">
        <v>9516</v>
      </c>
      <c r="F561" s="8" t="str">
        <f t="shared" si="23"/>
        <v>gift-codes.html?game=喵吱大作戰：放置類RPG</v>
      </c>
      <c r="G561" s="127" t="s">
        <v>9527</v>
      </c>
      <c r="H561" s="9" t="str">
        <f t="shared" si="22"/>
        <v>https://www.ssbuy.tw/game-detail.html?game=喵吱大作戰：放置類RPG</v>
      </c>
      <c r="I561" s="129" t="s">
        <v>9532</v>
      </c>
      <c r="J561" s="16" t="s">
        <v>5418</v>
      </c>
      <c r="K561" s="39" t="s">
        <v>5446</v>
      </c>
      <c r="L561" s="111" t="s">
        <v>46</v>
      </c>
      <c r="M561" s="112">
        <v>2559</v>
      </c>
      <c r="N561" s="111" t="s">
        <v>1677</v>
      </c>
      <c r="O561" s="112">
        <v>1287</v>
      </c>
      <c r="P561" s="111" t="s">
        <v>151</v>
      </c>
      <c r="Q561" s="112">
        <v>863</v>
      </c>
      <c r="R561" s="111" t="s">
        <v>152</v>
      </c>
      <c r="S561" s="112">
        <v>584</v>
      </c>
      <c r="T561" s="111" t="s">
        <v>153</v>
      </c>
      <c r="U561" s="112">
        <v>427</v>
      </c>
      <c r="V561" s="111" t="s">
        <v>6549</v>
      </c>
      <c r="W561" s="112">
        <v>279</v>
      </c>
      <c r="X561" s="111" t="s">
        <v>6550</v>
      </c>
      <c r="Y561" s="112">
        <v>131</v>
      </c>
      <c r="Z561" s="111" t="s">
        <v>8447</v>
      </c>
      <c r="AA561" s="112">
        <v>87</v>
      </c>
      <c r="AB561" s="111" t="s">
        <v>6553</v>
      </c>
      <c r="AC561" s="112">
        <v>29</v>
      </c>
    </row>
    <row r="562" spans="1:29" ht="28.5" customHeight="1" thickBot="1">
      <c r="A562" s="114" t="s">
        <v>9535</v>
      </c>
      <c r="C562" s="8" t="s">
        <v>9548</v>
      </c>
      <c r="D562" s="9" t="s">
        <v>9549</v>
      </c>
      <c r="E562" s="9" t="s">
        <v>9551</v>
      </c>
      <c r="F562" s="8" t="str">
        <f t="shared" si="23"/>
        <v>gift-codes.html?game=森之歌：世界</v>
      </c>
      <c r="G562" s="9" t="s">
        <v>9550</v>
      </c>
      <c r="H562" s="9" t="str">
        <f t="shared" si="22"/>
        <v>https://www.ssbuy.tw/game-detail.html?game=森之歌：世界</v>
      </c>
      <c r="I562" s="129" t="s">
        <v>9562</v>
      </c>
      <c r="J562" s="16" t="s">
        <v>5418</v>
      </c>
      <c r="K562" s="39" t="s">
        <v>5446</v>
      </c>
      <c r="L562" s="1" t="s">
        <v>5939</v>
      </c>
      <c r="M562" s="26">
        <v>2816</v>
      </c>
      <c r="N562" s="1" t="s">
        <v>5940</v>
      </c>
      <c r="O562" s="26">
        <v>1460</v>
      </c>
      <c r="P562" s="1" t="s">
        <v>5941</v>
      </c>
      <c r="Q562" s="26">
        <v>863</v>
      </c>
      <c r="R562" s="1" t="s">
        <v>5942</v>
      </c>
      <c r="S562" s="26">
        <v>759</v>
      </c>
      <c r="T562" s="1" t="s">
        <v>5943</v>
      </c>
      <c r="U562" s="26">
        <v>584</v>
      </c>
      <c r="V562" s="1" t="s">
        <v>5944</v>
      </c>
      <c r="W562" s="26">
        <v>427</v>
      </c>
      <c r="X562" s="1" t="s">
        <v>5945</v>
      </c>
      <c r="Y562" s="26">
        <v>288</v>
      </c>
      <c r="Z562" s="1" t="s">
        <v>5946</v>
      </c>
      <c r="AA562" s="26">
        <v>148</v>
      </c>
      <c r="AB562" s="1" t="s">
        <v>5947</v>
      </c>
      <c r="AC562" s="26">
        <v>29</v>
      </c>
    </row>
    <row r="563" spans="1:29" ht="28.5" customHeight="1" thickBot="1">
      <c r="A563" s="114" t="s">
        <v>9536</v>
      </c>
      <c r="C563" s="8" t="s">
        <v>9552</v>
      </c>
      <c r="E563" s="9" t="s">
        <v>9553</v>
      </c>
      <c r="F563" s="8" t="str">
        <f t="shared" si="23"/>
        <v>gift-codes.html?game=三國志：群雄之弈</v>
      </c>
      <c r="G563" s="9" t="s">
        <v>9554</v>
      </c>
      <c r="H563" s="9" t="str">
        <f t="shared" si="22"/>
        <v>https://www.ssbuy.tw/game-detail.html?game=三國志：群雄之弈</v>
      </c>
      <c r="I563" s="129" t="s">
        <v>9563</v>
      </c>
      <c r="J563" s="16" t="s">
        <v>5418</v>
      </c>
      <c r="K563" s="39" t="s">
        <v>5446</v>
      </c>
      <c r="L563" s="1" t="s">
        <v>5939</v>
      </c>
      <c r="M563" s="26">
        <v>2816</v>
      </c>
      <c r="N563" s="1" t="s">
        <v>5940</v>
      </c>
      <c r="O563" s="26">
        <v>1460</v>
      </c>
      <c r="P563" s="1" t="s">
        <v>5941</v>
      </c>
      <c r="Q563" s="26">
        <v>863</v>
      </c>
      <c r="R563" s="1" t="s">
        <v>5942</v>
      </c>
      <c r="S563" s="26">
        <v>759</v>
      </c>
      <c r="T563" s="1" t="s">
        <v>5943</v>
      </c>
      <c r="U563" s="26">
        <v>584</v>
      </c>
      <c r="V563" s="1" t="s">
        <v>5944</v>
      </c>
      <c r="W563" s="26">
        <v>427</v>
      </c>
      <c r="X563" s="1" t="s">
        <v>5945</v>
      </c>
      <c r="Y563" s="26">
        <v>288</v>
      </c>
      <c r="Z563" s="1" t="s">
        <v>5946</v>
      </c>
      <c r="AA563" s="26">
        <v>148</v>
      </c>
      <c r="AB563" s="1" t="s">
        <v>5947</v>
      </c>
      <c r="AC563" s="26">
        <v>29</v>
      </c>
    </row>
    <row r="564" spans="1:29" ht="28.5" customHeight="1" thickBot="1">
      <c r="A564" s="114" t="s">
        <v>9546</v>
      </c>
      <c r="C564" s="8" t="s">
        <v>9555</v>
      </c>
      <c r="D564" s="9" t="s">
        <v>9557</v>
      </c>
      <c r="E564" s="9" t="s">
        <v>9556</v>
      </c>
      <c r="F564" s="8" t="str">
        <f t="shared" si="23"/>
        <v>gift-codes.html?game=轉運江湖</v>
      </c>
      <c r="G564" s="9" t="s">
        <v>9558</v>
      </c>
      <c r="H564" s="9" t="str">
        <f t="shared" si="22"/>
        <v>https://www.ssbuy.tw/game-detail.html?game=轉運江湖</v>
      </c>
      <c r="I564" s="129" t="s">
        <v>9564</v>
      </c>
      <c r="J564" s="16" t="s">
        <v>5418</v>
      </c>
      <c r="K564" s="39" t="s">
        <v>5446</v>
      </c>
      <c r="L564" s="1" t="s">
        <v>5939</v>
      </c>
      <c r="M564" s="26">
        <v>2816</v>
      </c>
      <c r="N564" s="1" t="s">
        <v>5940</v>
      </c>
      <c r="O564" s="26">
        <v>1460</v>
      </c>
      <c r="P564" s="1" t="s">
        <v>5941</v>
      </c>
      <c r="Q564" s="26">
        <v>863</v>
      </c>
      <c r="R564" s="1" t="s">
        <v>5942</v>
      </c>
      <c r="S564" s="26">
        <v>759</v>
      </c>
      <c r="T564" s="1" t="s">
        <v>5943</v>
      </c>
      <c r="U564" s="26">
        <v>584</v>
      </c>
      <c r="V564" s="1" t="s">
        <v>5944</v>
      </c>
      <c r="W564" s="26">
        <v>427</v>
      </c>
      <c r="X564" s="1" t="s">
        <v>5945</v>
      </c>
      <c r="Y564" s="26">
        <v>288</v>
      </c>
      <c r="Z564" s="1" t="s">
        <v>5946</v>
      </c>
      <c r="AA564" s="26">
        <v>148</v>
      </c>
      <c r="AB564" s="1" t="s">
        <v>5947</v>
      </c>
      <c r="AC564" s="26">
        <v>29</v>
      </c>
    </row>
    <row r="565" spans="1:29" ht="28.5" customHeight="1" thickBot="1">
      <c r="A565" s="114" t="s">
        <v>9547</v>
      </c>
      <c r="C565" s="8" t="s">
        <v>9559</v>
      </c>
      <c r="E565" s="9" t="s">
        <v>9561</v>
      </c>
      <c r="F565" s="8" t="str">
        <f t="shared" si="23"/>
        <v>gift-codes.html?game=MAJO - 末日策略 RPG</v>
      </c>
      <c r="G565" s="9" t="s">
        <v>9560</v>
      </c>
      <c r="H565" s="9" t="str">
        <f t="shared" si="22"/>
        <v>https://www.ssbuy.tw/game-detail.html?game=MAJO - 末日策略 RPG</v>
      </c>
      <c r="I565" s="129" t="s">
        <v>9565</v>
      </c>
      <c r="J565" s="16" t="s">
        <v>5418</v>
      </c>
      <c r="K565" s="39" t="s">
        <v>5446</v>
      </c>
      <c r="L565" s="1" t="s">
        <v>5939</v>
      </c>
      <c r="M565" s="26">
        <v>2816</v>
      </c>
      <c r="N565" s="1" t="s">
        <v>5940</v>
      </c>
      <c r="O565" s="26">
        <v>1460</v>
      </c>
      <c r="P565" s="1" t="s">
        <v>5941</v>
      </c>
      <c r="Q565" s="26">
        <v>863</v>
      </c>
      <c r="R565" s="1" t="s">
        <v>5942</v>
      </c>
      <c r="S565" s="26">
        <v>759</v>
      </c>
      <c r="T565" s="1" t="s">
        <v>5943</v>
      </c>
      <c r="U565" s="26">
        <v>584</v>
      </c>
      <c r="V565" s="1" t="s">
        <v>5944</v>
      </c>
      <c r="W565" s="26">
        <v>427</v>
      </c>
      <c r="X565" s="1" t="s">
        <v>5945</v>
      </c>
      <c r="Y565" s="26">
        <v>288</v>
      </c>
      <c r="Z565" s="1" t="s">
        <v>5946</v>
      </c>
      <c r="AA565" s="26">
        <v>148</v>
      </c>
      <c r="AB565" s="1" t="s">
        <v>5947</v>
      </c>
      <c r="AC565" s="26">
        <v>29</v>
      </c>
    </row>
    <row r="566" spans="1:29" ht="28.5" customHeight="1" thickBot="1">
      <c r="A566" s="114" t="s">
        <v>9566</v>
      </c>
      <c r="C566" s="8" t="s">
        <v>9570</v>
      </c>
      <c r="E566" s="9" t="s">
        <v>9568</v>
      </c>
      <c r="F566" s="8" t="str">
        <f t="shared" si="23"/>
        <v>gift-codes.html?game=丐小北的冒險日記</v>
      </c>
      <c r="G566" s="9" t="s">
        <v>9569</v>
      </c>
      <c r="H566" s="9" t="str">
        <f t="shared" si="22"/>
        <v>https://www.ssbuy.tw/game-detail.html?game=丐小北的冒險日記</v>
      </c>
      <c r="I566" t="s">
        <v>9582</v>
      </c>
      <c r="J566" s="16" t="s">
        <v>5418</v>
      </c>
      <c r="K566" s="39" t="s">
        <v>5446</v>
      </c>
      <c r="L566" s="1" t="s">
        <v>5939</v>
      </c>
      <c r="M566" s="26">
        <v>2816</v>
      </c>
      <c r="N566" s="1" t="s">
        <v>5940</v>
      </c>
      <c r="O566" s="26">
        <v>1460</v>
      </c>
      <c r="P566" s="1" t="s">
        <v>5941</v>
      </c>
      <c r="Q566" s="26">
        <v>863</v>
      </c>
      <c r="R566" s="1" t="s">
        <v>5942</v>
      </c>
      <c r="S566" s="26">
        <v>759</v>
      </c>
      <c r="T566" s="1" t="s">
        <v>5943</v>
      </c>
      <c r="U566" s="26">
        <v>584</v>
      </c>
      <c r="V566" s="1" t="s">
        <v>5944</v>
      </c>
      <c r="W566" s="26">
        <v>427</v>
      </c>
      <c r="X566" s="1" t="s">
        <v>5945</v>
      </c>
      <c r="Y566" s="26">
        <v>288</v>
      </c>
      <c r="Z566" s="1" t="s">
        <v>5946</v>
      </c>
      <c r="AA566" s="26">
        <v>148</v>
      </c>
      <c r="AB566" s="1" t="s">
        <v>5947</v>
      </c>
      <c r="AC566" s="26">
        <v>29</v>
      </c>
    </row>
    <row r="567" spans="1:29" ht="28.5" customHeight="1" thickBot="1">
      <c r="A567" s="114" t="s">
        <v>9567</v>
      </c>
      <c r="C567" s="8" t="s">
        <v>9573</v>
      </c>
      <c r="E567" s="9" t="s">
        <v>9571</v>
      </c>
      <c r="F567" s="8" t="str">
        <f t="shared" si="23"/>
        <v>gift-codes.html?game=果燃很派</v>
      </c>
      <c r="G567" s="9" t="s">
        <v>9572</v>
      </c>
      <c r="H567" s="9" t="str">
        <f t="shared" si="22"/>
        <v>https://www.ssbuy.tw/game-detail.html?game=果燃很派</v>
      </c>
      <c r="I567" s="10" t="s">
        <v>9583</v>
      </c>
      <c r="J567" s="16" t="s">
        <v>5418</v>
      </c>
      <c r="K567" s="39" t="s">
        <v>5446</v>
      </c>
      <c r="L567" s="1" t="s">
        <v>5939</v>
      </c>
      <c r="M567" s="26">
        <v>2816</v>
      </c>
      <c r="N567" s="1" t="s">
        <v>5940</v>
      </c>
      <c r="O567" s="26">
        <v>1460</v>
      </c>
      <c r="P567" s="1" t="s">
        <v>5941</v>
      </c>
      <c r="Q567" s="26">
        <v>863</v>
      </c>
      <c r="R567" s="1" t="s">
        <v>5942</v>
      </c>
      <c r="S567" s="26">
        <v>759</v>
      </c>
      <c r="T567" s="1" t="s">
        <v>5943</v>
      </c>
      <c r="U567" s="26">
        <v>584</v>
      </c>
      <c r="V567" s="1" t="s">
        <v>5944</v>
      </c>
      <c r="W567" s="26">
        <v>427</v>
      </c>
      <c r="X567" s="1" t="s">
        <v>5945</v>
      </c>
      <c r="Y567" s="26">
        <v>288</v>
      </c>
      <c r="Z567" s="1" t="s">
        <v>5946</v>
      </c>
      <c r="AA567" s="26">
        <v>148</v>
      </c>
      <c r="AB567" s="1" t="s">
        <v>5947</v>
      </c>
      <c r="AC567" s="26">
        <v>29</v>
      </c>
    </row>
    <row r="568" spans="1:29" ht="28.5" customHeight="1" thickBot="1">
      <c r="A568" s="114" t="s">
        <v>9584</v>
      </c>
      <c r="C568" s="8" t="s">
        <v>9590</v>
      </c>
      <c r="D568" s="9" t="s">
        <v>9589</v>
      </c>
      <c r="E568" s="9" t="s">
        <v>9587</v>
      </c>
      <c r="F568" s="8" t="str">
        <f t="shared" si="23"/>
        <v>gift-codes.html?game=薑餅人放置大戰爭</v>
      </c>
      <c r="G568" s="9" t="s">
        <v>9588</v>
      </c>
      <c r="H568" s="9" t="str">
        <f t="shared" si="22"/>
        <v>https://www.ssbuy.tw/game-detail.html?game=薑餅人放置大戰爭</v>
      </c>
      <c r="I568" s="10" t="s">
        <v>9597</v>
      </c>
      <c r="J568" s="16" t="s">
        <v>5418</v>
      </c>
      <c r="K568" s="39" t="s">
        <v>5446</v>
      </c>
      <c r="L568" s="1" t="s">
        <v>5939</v>
      </c>
      <c r="M568" s="26">
        <v>2816</v>
      </c>
      <c r="N568" s="1" t="s">
        <v>5940</v>
      </c>
      <c r="O568" s="26">
        <v>1460</v>
      </c>
      <c r="P568" s="1" t="s">
        <v>5941</v>
      </c>
      <c r="Q568" s="26">
        <v>863</v>
      </c>
      <c r="R568" s="1" t="s">
        <v>5942</v>
      </c>
      <c r="S568" s="26">
        <v>759</v>
      </c>
      <c r="T568" s="1" t="s">
        <v>5943</v>
      </c>
      <c r="U568" s="26">
        <v>584</v>
      </c>
      <c r="V568" s="1" t="s">
        <v>5944</v>
      </c>
      <c r="W568" s="26">
        <v>427</v>
      </c>
      <c r="X568" s="1" t="s">
        <v>5945</v>
      </c>
      <c r="Y568" s="26">
        <v>288</v>
      </c>
      <c r="Z568" s="1" t="s">
        <v>5946</v>
      </c>
      <c r="AA568" s="26">
        <v>148</v>
      </c>
      <c r="AB568" s="1" t="s">
        <v>5947</v>
      </c>
      <c r="AC568" s="26">
        <v>29</v>
      </c>
    </row>
    <row r="569" spans="1:29" ht="28.5" customHeight="1" thickBot="1">
      <c r="A569" s="114" t="s">
        <v>9585</v>
      </c>
      <c r="D569" s="9" t="s">
        <v>8253</v>
      </c>
      <c r="E569" s="9" t="s">
        <v>9592</v>
      </c>
      <c r="F569" s="8" t="str">
        <f t="shared" si="23"/>
        <v>gift-codes.html?game=隨機骰子2</v>
      </c>
      <c r="G569" s="9" t="s">
        <v>9591</v>
      </c>
      <c r="H569" s="9" t="str">
        <f t="shared" si="22"/>
        <v>https://www.ssbuy.tw/game-detail.html?game=隨機骰子2</v>
      </c>
      <c r="I569" s="10" t="s">
        <v>9598</v>
      </c>
      <c r="J569" s="16" t="s">
        <v>5418</v>
      </c>
      <c r="K569" s="39" t="s">
        <v>5446</v>
      </c>
      <c r="L569" s="111" t="s">
        <v>46</v>
      </c>
      <c r="M569" s="112">
        <v>2559</v>
      </c>
      <c r="N569" s="111" t="s">
        <v>1677</v>
      </c>
      <c r="O569" s="112">
        <v>1287</v>
      </c>
      <c r="P569" s="111" t="s">
        <v>151</v>
      </c>
      <c r="Q569" s="112">
        <v>863</v>
      </c>
      <c r="R569" s="111" t="s">
        <v>152</v>
      </c>
      <c r="S569" s="112">
        <v>584</v>
      </c>
      <c r="T569" s="111" t="s">
        <v>153</v>
      </c>
      <c r="U569" s="112">
        <v>427</v>
      </c>
      <c r="V569" s="111" t="s">
        <v>6549</v>
      </c>
      <c r="W569" s="112">
        <v>279</v>
      </c>
      <c r="X569" s="111" t="s">
        <v>6550</v>
      </c>
      <c r="Y569" s="112">
        <v>131</v>
      </c>
      <c r="Z569" s="111" t="s">
        <v>8447</v>
      </c>
      <c r="AA569" s="112">
        <v>87</v>
      </c>
      <c r="AB569" s="111" t="s">
        <v>6553</v>
      </c>
      <c r="AC569" s="112">
        <v>29</v>
      </c>
    </row>
    <row r="570" spans="1:29" ht="28.5" customHeight="1" thickBot="1">
      <c r="A570" s="114" t="s">
        <v>9586</v>
      </c>
      <c r="C570" s="8" t="s">
        <v>9596</v>
      </c>
      <c r="D570" s="9" t="s">
        <v>9593</v>
      </c>
      <c r="E570" s="9" t="s">
        <v>9594</v>
      </c>
      <c r="F570" s="8" t="str">
        <f t="shared" si="23"/>
        <v>gift-codes.html?game=三國群英傳：策定九州</v>
      </c>
      <c r="G570" s="9" t="s">
        <v>9595</v>
      </c>
      <c r="H570" s="9" t="str">
        <f t="shared" si="22"/>
        <v>https://www.ssbuy.tw/game-detail.html?game=三國群英傳：策定九州</v>
      </c>
      <c r="I570" s="10" t="s">
        <v>9599</v>
      </c>
      <c r="J570" s="16" t="s">
        <v>5418</v>
      </c>
      <c r="K570" s="39" t="s">
        <v>5446</v>
      </c>
      <c r="L570" s="1" t="s">
        <v>5939</v>
      </c>
      <c r="M570" s="26">
        <v>2816</v>
      </c>
      <c r="N570" s="1" t="s">
        <v>5940</v>
      </c>
      <c r="O570" s="26">
        <v>1460</v>
      </c>
      <c r="P570" s="1" t="s">
        <v>5941</v>
      </c>
      <c r="Q570" s="26">
        <v>863</v>
      </c>
      <c r="R570" s="1" t="s">
        <v>5942</v>
      </c>
      <c r="S570" s="26">
        <v>759</v>
      </c>
      <c r="T570" s="1" t="s">
        <v>5943</v>
      </c>
      <c r="U570" s="26">
        <v>584</v>
      </c>
      <c r="V570" s="1" t="s">
        <v>5944</v>
      </c>
      <c r="W570" s="26">
        <v>427</v>
      </c>
      <c r="X570" s="1" t="s">
        <v>5945</v>
      </c>
      <c r="Y570" s="26">
        <v>288</v>
      </c>
      <c r="Z570" s="1" t="s">
        <v>5946</v>
      </c>
      <c r="AA570" s="26">
        <v>148</v>
      </c>
      <c r="AB570" s="1" t="s">
        <v>5947</v>
      </c>
      <c r="AC570" s="26">
        <v>29</v>
      </c>
    </row>
    <row r="571" spans="1:29" ht="28.5" customHeight="1" thickBot="1">
      <c r="A571" s="112" t="s">
        <v>9669</v>
      </c>
      <c r="C571" s="8" t="s">
        <v>9675</v>
      </c>
      <c r="E571" s="9" t="s">
        <v>9674</v>
      </c>
      <c r="F571" s="8" t="str">
        <f t="shared" si="23"/>
        <v>gift-codes.html?game=幻想三國：武姬集結</v>
      </c>
      <c r="G571" s="9" t="s">
        <v>9673</v>
      </c>
      <c r="H571" s="9" t="str">
        <f t="shared" si="22"/>
        <v>https://www.ssbuy.tw/game-detail.html?game=幻想三國：武姬集結</v>
      </c>
      <c r="I571" s="10" t="s">
        <v>9688</v>
      </c>
      <c r="J571" s="16" t="s">
        <v>5418</v>
      </c>
      <c r="K571" s="39" t="s">
        <v>5446</v>
      </c>
      <c r="L571" s="111" t="s">
        <v>46</v>
      </c>
      <c r="M571" s="112">
        <v>2559</v>
      </c>
      <c r="N571" s="111" t="s">
        <v>1677</v>
      </c>
      <c r="O571" s="112">
        <v>1287</v>
      </c>
      <c r="P571" s="111" t="s">
        <v>151</v>
      </c>
      <c r="Q571" s="112">
        <v>863</v>
      </c>
      <c r="R571" s="111" t="s">
        <v>152</v>
      </c>
      <c r="S571" s="112">
        <v>584</v>
      </c>
      <c r="T571" s="111" t="s">
        <v>153</v>
      </c>
      <c r="U571" s="112">
        <v>427</v>
      </c>
      <c r="V571" s="111" t="s">
        <v>6549</v>
      </c>
      <c r="W571" s="112">
        <v>279</v>
      </c>
      <c r="X571" s="111" t="s">
        <v>6550</v>
      </c>
      <c r="Y571" s="112">
        <v>131</v>
      </c>
      <c r="Z571" s="111" t="s">
        <v>8447</v>
      </c>
      <c r="AA571" s="112">
        <v>87</v>
      </c>
      <c r="AB571" s="111" t="s">
        <v>6553</v>
      </c>
      <c r="AC571" s="112">
        <v>29</v>
      </c>
    </row>
    <row r="572" spans="1:29" ht="28.5" customHeight="1" thickBot="1">
      <c r="A572" s="112" t="s">
        <v>9670</v>
      </c>
      <c r="C572" s="8" t="s">
        <v>9676</v>
      </c>
      <c r="D572" s="9" t="s">
        <v>9677</v>
      </c>
      <c r="F572" s="8" t="str">
        <f t="shared" si="23"/>
        <v>gift-codes.html?game=瘋狂水世界</v>
      </c>
      <c r="G572" s="9" t="s">
        <v>9678</v>
      </c>
      <c r="H572" s="9" t="str">
        <f t="shared" si="22"/>
        <v>https://www.ssbuy.tw/game-detail.html?game=瘋狂水世界</v>
      </c>
      <c r="I572" s="10" t="s">
        <v>9689</v>
      </c>
      <c r="J572" s="16" t="s">
        <v>5418</v>
      </c>
      <c r="K572" s="39" t="s">
        <v>5446</v>
      </c>
      <c r="L572" s="111" t="s">
        <v>46</v>
      </c>
      <c r="M572" s="112">
        <v>2559</v>
      </c>
      <c r="N572" s="111" t="s">
        <v>1677</v>
      </c>
      <c r="O572" s="112">
        <v>1287</v>
      </c>
      <c r="P572" s="111" t="s">
        <v>151</v>
      </c>
      <c r="Q572" s="112">
        <v>863</v>
      </c>
      <c r="R572" s="111" t="s">
        <v>152</v>
      </c>
      <c r="S572" s="112">
        <v>584</v>
      </c>
      <c r="T572" s="111" t="s">
        <v>153</v>
      </c>
      <c r="U572" s="112">
        <v>427</v>
      </c>
      <c r="V572" s="111" t="s">
        <v>6549</v>
      </c>
      <c r="W572" s="112">
        <v>279</v>
      </c>
      <c r="X572" s="111" t="s">
        <v>6550</v>
      </c>
      <c r="Y572" s="112">
        <v>131</v>
      </c>
      <c r="Z572" s="111" t="s">
        <v>8447</v>
      </c>
      <c r="AA572" s="112">
        <v>87</v>
      </c>
      <c r="AB572" s="111" t="s">
        <v>6553</v>
      </c>
      <c r="AC572" s="112">
        <v>29</v>
      </c>
    </row>
    <row r="573" spans="1:29" ht="28.5" customHeight="1" thickBot="1">
      <c r="A573" s="112" t="s">
        <v>9671</v>
      </c>
      <c r="C573" s="8" t="s">
        <v>9680</v>
      </c>
      <c r="D573" s="9" t="s">
        <v>9679</v>
      </c>
      <c r="E573" s="9" t="s">
        <v>9682</v>
      </c>
      <c r="F573" s="8" t="str">
        <f t="shared" si="23"/>
        <v>gift-codes.html?game=別砸了！是精靈啦</v>
      </c>
      <c r="G573" s="9" t="s">
        <v>9681</v>
      </c>
      <c r="H573" s="9" t="str">
        <f t="shared" si="22"/>
        <v>https://www.ssbuy.tw/game-detail.html?game=別砸了！是精靈啦</v>
      </c>
      <c r="I573" s="10" t="s">
        <v>9690</v>
      </c>
      <c r="J573" s="16" t="s">
        <v>5418</v>
      </c>
      <c r="K573" s="39" t="s">
        <v>5446</v>
      </c>
      <c r="L573" s="111" t="s">
        <v>46</v>
      </c>
      <c r="M573" s="112">
        <v>2559</v>
      </c>
      <c r="N573" s="111" t="s">
        <v>1677</v>
      </c>
      <c r="O573" s="112">
        <v>1287</v>
      </c>
      <c r="P573" s="111" t="s">
        <v>151</v>
      </c>
      <c r="Q573" s="112">
        <v>863</v>
      </c>
      <c r="R573" s="111" t="s">
        <v>152</v>
      </c>
      <c r="S573" s="112">
        <v>584</v>
      </c>
      <c r="T573" s="111" t="s">
        <v>153</v>
      </c>
      <c r="U573" s="112">
        <v>427</v>
      </c>
      <c r="V573" s="111" t="s">
        <v>6549</v>
      </c>
      <c r="W573" s="112">
        <v>279</v>
      </c>
      <c r="X573" s="111" t="s">
        <v>6550</v>
      </c>
      <c r="Y573" s="112">
        <v>131</v>
      </c>
      <c r="Z573" s="111" t="s">
        <v>8447</v>
      </c>
      <c r="AA573" s="112">
        <v>87</v>
      </c>
      <c r="AB573" s="111" t="s">
        <v>6553</v>
      </c>
      <c r="AC573" s="112">
        <v>29</v>
      </c>
    </row>
    <row r="574" spans="1:29" ht="28.5" customHeight="1" thickBot="1">
      <c r="A574" s="112" t="s">
        <v>9672</v>
      </c>
      <c r="C574" s="8" t="s">
        <v>9685</v>
      </c>
      <c r="E574" s="9" t="s">
        <v>9684</v>
      </c>
      <c r="F574" s="8" t="str">
        <f t="shared" si="23"/>
        <v>gift-codes.html?game=錢途無量</v>
      </c>
      <c r="G574" s="9" t="s">
        <v>9683</v>
      </c>
      <c r="H574" s="9" t="str">
        <f t="shared" si="22"/>
        <v>https://www.ssbuy.tw/game-detail.html?game=錢途無量</v>
      </c>
      <c r="I574" s="10" t="s">
        <v>9691</v>
      </c>
      <c r="J574" s="16" t="s">
        <v>5418</v>
      </c>
      <c r="K574" s="39" t="s">
        <v>5446</v>
      </c>
      <c r="L574" s="111" t="s">
        <v>46</v>
      </c>
      <c r="M574" s="112">
        <v>2559</v>
      </c>
      <c r="N574" s="111" t="s">
        <v>1677</v>
      </c>
      <c r="O574" s="112">
        <v>1287</v>
      </c>
      <c r="P574" s="111" t="s">
        <v>151</v>
      </c>
      <c r="Q574" s="112">
        <v>863</v>
      </c>
      <c r="R574" s="111" t="s">
        <v>152</v>
      </c>
      <c r="S574" s="112">
        <v>584</v>
      </c>
      <c r="T574" s="111" t="s">
        <v>153</v>
      </c>
      <c r="U574" s="112">
        <v>427</v>
      </c>
      <c r="V574" s="111" t="s">
        <v>6549</v>
      </c>
      <c r="W574" s="112">
        <v>279</v>
      </c>
      <c r="X574" s="111" t="s">
        <v>6550</v>
      </c>
      <c r="Y574" s="112">
        <v>131</v>
      </c>
      <c r="Z574" s="111" t="s">
        <v>8447</v>
      </c>
      <c r="AA574" s="112">
        <v>87</v>
      </c>
      <c r="AB574" s="111" t="s">
        <v>6553</v>
      </c>
      <c r="AC574" s="112">
        <v>29</v>
      </c>
    </row>
    <row r="575" spans="1:29" ht="28.5" customHeight="1" thickBot="1">
      <c r="A575" s="114" t="s">
        <v>9721</v>
      </c>
      <c r="C575" s="8" t="s">
        <v>9722</v>
      </c>
      <c r="E575" s="9" t="s">
        <v>9723</v>
      </c>
      <c r="F575" s="8" t="str">
        <f t="shared" si="23"/>
        <v>gift-codes.html?game=解憂夢幻島</v>
      </c>
      <c r="G575" s="9" t="s">
        <v>9724</v>
      </c>
      <c r="H575" s="9" t="str">
        <f t="shared" si="22"/>
        <v>https://www.ssbuy.tw/game-detail.html?game=解憂夢幻島</v>
      </c>
      <c r="I575" s="10" t="s">
        <v>9731</v>
      </c>
      <c r="J575" s="16" t="s">
        <v>5418</v>
      </c>
      <c r="K575" s="39" t="s">
        <v>5446</v>
      </c>
      <c r="L575" s="111" t="s">
        <v>46</v>
      </c>
      <c r="M575" s="112">
        <v>2559</v>
      </c>
      <c r="N575" s="111" t="s">
        <v>1677</v>
      </c>
      <c r="O575" s="112">
        <v>1287</v>
      </c>
      <c r="P575" s="111" t="s">
        <v>151</v>
      </c>
      <c r="Q575" s="112">
        <v>863</v>
      </c>
      <c r="R575" s="111" t="s">
        <v>152</v>
      </c>
      <c r="S575" s="112">
        <v>584</v>
      </c>
      <c r="T575" s="111" t="s">
        <v>153</v>
      </c>
      <c r="U575" s="112">
        <v>427</v>
      </c>
      <c r="V575" s="111" t="s">
        <v>6549</v>
      </c>
      <c r="W575" s="112">
        <v>279</v>
      </c>
      <c r="X575" s="111" t="s">
        <v>6550</v>
      </c>
      <c r="Y575" s="112">
        <v>131</v>
      </c>
      <c r="Z575" s="111" t="s">
        <v>8447</v>
      </c>
      <c r="AA575" s="112">
        <v>87</v>
      </c>
      <c r="AB575" s="111" t="s">
        <v>6553</v>
      </c>
      <c r="AC575" s="112">
        <v>29</v>
      </c>
    </row>
    <row r="576" spans="1:29" ht="28.5" customHeight="1" thickBot="1">
      <c r="A576" s="114" t="s">
        <v>9733</v>
      </c>
      <c r="C576" s="8" t="s">
        <v>9736</v>
      </c>
      <c r="D576" s="9" t="s">
        <v>9737</v>
      </c>
      <c r="E576" s="9" t="s">
        <v>9739</v>
      </c>
      <c r="F576" s="8" t="str">
        <f t="shared" si="23"/>
        <v>gift-codes.html?game=諸天之上</v>
      </c>
      <c r="G576" s="9" t="s">
        <v>9738</v>
      </c>
      <c r="H576" s="9" t="str">
        <f t="shared" si="22"/>
        <v>https://www.ssbuy.tw/game-detail.html?game=諸天之上</v>
      </c>
      <c r="I576" s="10" t="s">
        <v>9748</v>
      </c>
      <c r="J576" s="16" t="s">
        <v>5418</v>
      </c>
      <c r="K576" s="39" t="s">
        <v>5446</v>
      </c>
      <c r="L576" s="1" t="s">
        <v>5939</v>
      </c>
      <c r="M576" s="26">
        <v>2816</v>
      </c>
      <c r="N576" s="1" t="s">
        <v>5940</v>
      </c>
      <c r="O576" s="26">
        <v>1460</v>
      </c>
      <c r="P576" s="1" t="s">
        <v>5941</v>
      </c>
      <c r="Q576" s="26">
        <v>863</v>
      </c>
      <c r="R576" s="1" t="s">
        <v>5942</v>
      </c>
      <c r="S576" s="26">
        <v>759</v>
      </c>
      <c r="T576" s="1" t="s">
        <v>5943</v>
      </c>
      <c r="U576" s="26">
        <v>584</v>
      </c>
      <c r="V576" s="1" t="s">
        <v>5944</v>
      </c>
      <c r="W576" s="26">
        <v>427</v>
      </c>
      <c r="X576" s="1" t="s">
        <v>5945</v>
      </c>
      <c r="Y576" s="26">
        <v>288</v>
      </c>
      <c r="Z576" s="1" t="s">
        <v>5946</v>
      </c>
      <c r="AA576" s="26">
        <v>148</v>
      </c>
      <c r="AB576" s="1" t="s">
        <v>5947</v>
      </c>
      <c r="AC576" s="26">
        <v>29</v>
      </c>
    </row>
    <row r="577" spans="1:29" ht="28.5" customHeight="1" thickBot="1">
      <c r="A577" s="114" t="s">
        <v>9734</v>
      </c>
      <c r="C577" s="8" t="s">
        <v>9740</v>
      </c>
      <c r="D577" s="9" t="s">
        <v>9741</v>
      </c>
      <c r="E577" s="9" t="s">
        <v>9742</v>
      </c>
      <c r="F577" s="8" t="str">
        <f t="shared" si="23"/>
        <v>gift-codes.html?game=三國神將錄</v>
      </c>
      <c r="G577" s="9" t="s">
        <v>9743</v>
      </c>
      <c r="H577" s="9" t="str">
        <f t="shared" si="22"/>
        <v>https://www.ssbuy.tw/game-detail.html?game=三國神將錄</v>
      </c>
      <c r="I577" s="10" t="s">
        <v>9749</v>
      </c>
      <c r="J577" s="16" t="s">
        <v>5418</v>
      </c>
      <c r="K577" s="39" t="s">
        <v>5446</v>
      </c>
      <c r="L577" s="1" t="s">
        <v>5939</v>
      </c>
      <c r="M577" s="26">
        <v>2816</v>
      </c>
      <c r="N577" s="1" t="s">
        <v>5940</v>
      </c>
      <c r="O577" s="26">
        <v>1460</v>
      </c>
      <c r="P577" s="1" t="s">
        <v>5941</v>
      </c>
      <c r="Q577" s="26">
        <v>863</v>
      </c>
      <c r="R577" s="1" t="s">
        <v>5942</v>
      </c>
      <c r="S577" s="26">
        <v>759</v>
      </c>
      <c r="T577" s="1" t="s">
        <v>5943</v>
      </c>
      <c r="U577" s="26">
        <v>584</v>
      </c>
      <c r="V577" s="1" t="s">
        <v>5944</v>
      </c>
      <c r="W577" s="26">
        <v>427</v>
      </c>
      <c r="X577" s="1" t="s">
        <v>5945</v>
      </c>
      <c r="Y577" s="26">
        <v>288</v>
      </c>
      <c r="Z577" s="1" t="s">
        <v>5946</v>
      </c>
      <c r="AA577" s="26">
        <v>148</v>
      </c>
      <c r="AB577" s="1" t="s">
        <v>5947</v>
      </c>
      <c r="AC577" s="26">
        <v>29</v>
      </c>
    </row>
    <row r="578" spans="1:29" ht="28.5" customHeight="1" thickBot="1">
      <c r="A578" s="114" t="s">
        <v>9735</v>
      </c>
      <c r="C578" s="8" t="s">
        <v>9744</v>
      </c>
      <c r="D578" s="9" t="s">
        <v>9745</v>
      </c>
      <c r="E578" s="9" t="s">
        <v>9747</v>
      </c>
      <c r="F578" s="8" t="str">
        <f t="shared" si="23"/>
        <v>gift-codes.html?game=不良人：破局</v>
      </c>
      <c r="G578" s="9" t="s">
        <v>9746</v>
      </c>
      <c r="H578" s="9" t="str">
        <f t="shared" si="22"/>
        <v>https://www.ssbuy.tw/game-detail.html?game=不良人：破局</v>
      </c>
      <c r="I578" s="10" t="s">
        <v>9750</v>
      </c>
      <c r="J578" s="16" t="s">
        <v>5418</v>
      </c>
      <c r="K578" s="39" t="s">
        <v>5446</v>
      </c>
      <c r="L578" s="111" t="s">
        <v>46</v>
      </c>
      <c r="M578" s="112">
        <v>2559</v>
      </c>
      <c r="N578" s="111" t="s">
        <v>1677</v>
      </c>
      <c r="O578" s="112">
        <v>1287</v>
      </c>
      <c r="P578" s="111" t="s">
        <v>151</v>
      </c>
      <c r="Q578" s="112">
        <v>863</v>
      </c>
      <c r="R578" s="111" t="s">
        <v>152</v>
      </c>
      <c r="S578" s="112">
        <v>584</v>
      </c>
      <c r="T578" s="111" t="s">
        <v>153</v>
      </c>
      <c r="U578" s="112">
        <v>427</v>
      </c>
      <c r="V578" s="111" t="s">
        <v>6549</v>
      </c>
      <c r="W578" s="112">
        <v>279</v>
      </c>
      <c r="X578" s="111" t="s">
        <v>6550</v>
      </c>
      <c r="Y578" s="112">
        <v>131</v>
      </c>
      <c r="Z578" s="111" t="s">
        <v>8447</v>
      </c>
      <c r="AA578" s="112">
        <v>87</v>
      </c>
      <c r="AB578" s="111" t="s">
        <v>6553</v>
      </c>
      <c r="AC578" s="112">
        <v>29</v>
      </c>
    </row>
    <row r="579" spans="1:29" ht="28.5" customHeight="1" thickBot="1">
      <c r="A579" s="114" t="s">
        <v>9753</v>
      </c>
      <c r="E579" s="9" t="s">
        <v>9752</v>
      </c>
      <c r="F579" s="8" t="str">
        <f t="shared" si="23"/>
        <v>gift-codes.html?game=我欲修仙-塔防肉鴿</v>
      </c>
      <c r="H579" s="9" t="str">
        <f t="shared" si="22"/>
        <v>https://www.ssbuy.tw/game-detail.html?game=我欲修仙-塔防肉鴿</v>
      </c>
      <c r="I579" s="10" t="s">
        <v>9751</v>
      </c>
      <c r="J579" s="16" t="s">
        <v>5418</v>
      </c>
      <c r="K579" s="39" t="s">
        <v>5446</v>
      </c>
      <c r="L579" s="111" t="s">
        <v>46</v>
      </c>
      <c r="M579" s="112">
        <v>2559</v>
      </c>
      <c r="N579" s="111" t="s">
        <v>1677</v>
      </c>
      <c r="O579" s="112">
        <v>1287</v>
      </c>
      <c r="P579" s="111" t="s">
        <v>151</v>
      </c>
      <c r="Q579" s="112">
        <v>863</v>
      </c>
      <c r="R579" s="111" t="s">
        <v>152</v>
      </c>
      <c r="S579" s="112">
        <v>584</v>
      </c>
      <c r="T579" s="111" t="s">
        <v>153</v>
      </c>
      <c r="U579" s="112">
        <v>427</v>
      </c>
      <c r="V579" s="111" t="s">
        <v>6549</v>
      </c>
      <c r="W579" s="112">
        <v>279</v>
      </c>
      <c r="X579" s="111" t="s">
        <v>6550</v>
      </c>
      <c r="Y579" s="112">
        <v>131</v>
      </c>
      <c r="Z579" s="111" t="s">
        <v>8447</v>
      </c>
      <c r="AA579" s="112">
        <v>87</v>
      </c>
      <c r="AB579" s="111" t="s">
        <v>6553</v>
      </c>
      <c r="AC579" s="112">
        <v>29</v>
      </c>
    </row>
    <row r="580" spans="1:29" ht="28.5" customHeight="1">
      <c r="F580" s="8" t="str">
        <f t="shared" si="23"/>
        <v/>
      </c>
      <c r="H580" s="9" t="str">
        <f t="shared" si="22"/>
        <v/>
      </c>
    </row>
    <row r="581" spans="1:29" ht="28.5" customHeight="1">
      <c r="F581" s="8" t="str">
        <f t="shared" si="23"/>
        <v/>
      </c>
      <c r="H581" s="9" t="str">
        <f t="shared" si="22"/>
        <v/>
      </c>
    </row>
    <row r="582" spans="1:29" ht="28.5" customHeight="1">
      <c r="F582" s="8" t="str">
        <f t="shared" si="23"/>
        <v/>
      </c>
      <c r="H582" s="9" t="str">
        <f t="shared" si="22"/>
        <v/>
      </c>
    </row>
    <row r="583" spans="1:29" ht="28.5" customHeight="1">
      <c r="F583" s="8" t="str">
        <f t="shared" si="23"/>
        <v/>
      </c>
      <c r="H583" s="9" t="str">
        <f t="shared" si="22"/>
        <v/>
      </c>
    </row>
    <row r="584" spans="1:29" ht="28.5" customHeight="1">
      <c r="F584" s="8" t="str">
        <f t="shared" si="23"/>
        <v/>
      </c>
      <c r="H584" s="9" t="str">
        <f t="shared" si="22"/>
        <v/>
      </c>
    </row>
    <row r="585" spans="1:29" ht="28.5" customHeight="1">
      <c r="F585" s="8" t="str">
        <f t="shared" si="23"/>
        <v/>
      </c>
      <c r="H585" s="9" t="str">
        <f t="shared" si="22"/>
        <v/>
      </c>
    </row>
    <row r="586" spans="1:29" ht="28.5" customHeight="1">
      <c r="F586" s="8" t="str">
        <f t="shared" si="23"/>
        <v/>
      </c>
      <c r="H586" s="9" t="str">
        <f t="shared" si="22"/>
        <v/>
      </c>
    </row>
    <row r="587" spans="1:29" ht="28.5" customHeight="1">
      <c r="F587" s="8" t="str">
        <f t="shared" si="23"/>
        <v/>
      </c>
      <c r="H587" s="9" t="str">
        <f t="shared" si="22"/>
        <v/>
      </c>
    </row>
    <row r="588" spans="1:29" ht="28.5" customHeight="1">
      <c r="F588" s="8" t="str">
        <f t="shared" si="23"/>
        <v/>
      </c>
      <c r="H588" s="9" t="str">
        <f t="shared" si="22"/>
        <v/>
      </c>
    </row>
    <row r="589" spans="1:29" ht="28.5" customHeight="1">
      <c r="F589" s="8" t="str">
        <f t="shared" si="23"/>
        <v/>
      </c>
      <c r="H589" s="9" t="str">
        <f t="shared" si="22"/>
        <v/>
      </c>
    </row>
    <row r="590" spans="1:29" ht="28.5" customHeight="1">
      <c r="F590" s="8" t="str">
        <f t="shared" si="23"/>
        <v/>
      </c>
      <c r="H590" s="9" t="str">
        <f t="shared" si="22"/>
        <v/>
      </c>
    </row>
    <row r="591" spans="1:29" ht="28.5" customHeight="1">
      <c r="F591" s="8" t="str">
        <f t="shared" si="23"/>
        <v/>
      </c>
      <c r="H591" s="9" t="str">
        <f t="shared" si="22"/>
        <v/>
      </c>
    </row>
    <row r="592" spans="1:29" ht="28.5" customHeight="1">
      <c r="F592" s="8" t="str">
        <f t="shared" si="23"/>
        <v/>
      </c>
      <c r="H592" s="9" t="str">
        <f t="shared" si="22"/>
        <v/>
      </c>
    </row>
    <row r="593" spans="6:8" ht="28.5" customHeight="1">
      <c r="F593" s="8" t="str">
        <f t="shared" si="23"/>
        <v/>
      </c>
      <c r="H593" s="9" t="str">
        <f t="shared" si="22"/>
        <v/>
      </c>
    </row>
    <row r="594" spans="6:8">
      <c r="F594" s="8" t="str">
        <f t="shared" si="23"/>
        <v/>
      </c>
      <c r="H594" s="9" t="str">
        <f t="shared" si="22"/>
        <v/>
      </c>
    </row>
    <row r="595" spans="6:8">
      <c r="F595" s="8" t="str">
        <f t="shared" si="23"/>
        <v/>
      </c>
      <c r="H595" s="9" t="str">
        <f t="shared" si="22"/>
        <v/>
      </c>
    </row>
    <row r="596" spans="6:8">
      <c r="F596" s="8" t="str">
        <f t="shared" si="23"/>
        <v/>
      </c>
      <c r="H596" s="9" t="str">
        <f t="shared" si="22"/>
        <v/>
      </c>
    </row>
    <row r="597" spans="6:8">
      <c r="F597" s="8" t="str">
        <f t="shared" si="23"/>
        <v/>
      </c>
      <c r="H597" s="9" t="str">
        <f t="shared" si="22"/>
        <v/>
      </c>
    </row>
    <row r="598" spans="6:8">
      <c r="F598" s="8" t="str">
        <f t="shared" si="23"/>
        <v/>
      </c>
      <c r="H598" s="9" t="str">
        <f t="shared" si="22"/>
        <v/>
      </c>
    </row>
    <row r="599" spans="6:8">
      <c r="F599" s="8" t="str">
        <f t="shared" si="23"/>
        <v/>
      </c>
      <c r="H599" s="9" t="str">
        <f t="shared" si="22"/>
        <v/>
      </c>
    </row>
    <row r="600" spans="6:8">
      <c r="F600" s="8" t="str">
        <f t="shared" si="23"/>
        <v/>
      </c>
      <c r="H600" s="9" t="str">
        <f t="shared" si="22"/>
        <v/>
      </c>
    </row>
    <row r="601" spans="6:8">
      <c r="F601" s="8" t="str">
        <f t="shared" si="23"/>
        <v/>
      </c>
      <c r="H601" s="9" t="str">
        <f t="shared" si="22"/>
        <v/>
      </c>
    </row>
    <row r="602" spans="6:8">
      <c r="H602" s="9" t="str">
        <f t="shared" si="22"/>
        <v/>
      </c>
    </row>
    <row r="603" spans="6:8">
      <c r="H603" s="9" t="str">
        <f t="shared" si="22"/>
        <v/>
      </c>
    </row>
    <row r="604" spans="6:8">
      <c r="H604" s="9" t="str">
        <f t="shared" si="22"/>
        <v/>
      </c>
    </row>
    <row r="605" spans="6:8">
      <c r="H605" s="9" t="str">
        <f t="shared" si="22"/>
        <v/>
      </c>
    </row>
    <row r="606" spans="6:8">
      <c r="H606" s="9" t="str">
        <f t="shared" si="22"/>
        <v/>
      </c>
    </row>
    <row r="607" spans="6:8">
      <c r="H607" s="9" t="str">
        <f t="shared" si="22"/>
        <v/>
      </c>
    </row>
    <row r="608" spans="6:8">
      <c r="H608" s="9" t="str">
        <f t="shared" si="22"/>
        <v/>
      </c>
    </row>
    <row r="609" spans="8:8">
      <c r="H609" s="9" t="str">
        <f t="shared" si="22"/>
        <v/>
      </c>
    </row>
    <row r="610" spans="8:8">
      <c r="H610" s="9" t="str">
        <f t="shared" si="22"/>
        <v/>
      </c>
    </row>
    <row r="611" spans="8:8">
      <c r="H611" s="9" t="str">
        <f t="shared" si="22"/>
        <v/>
      </c>
    </row>
    <row r="612" spans="8:8">
      <c r="H612"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 ref="G556" r:id="rId347"/>
    <hyperlink ref="G557" r:id="rId348"/>
    <hyperlink ref="G558" display="https://play.google.com/store/apps/details?id=com.lootbootepoch.gp&amp;fbclid=IwY2xjawTdV2hleHRuA2FlbQIxMABicmlkETFpZnhTbzZoM0xESmtLd0ttc3J0YwZhcHBfaWQQMjIyMDM5MTc4ODIwMDg5MgABHmyGKV0QPd3C2ClHMN3Y_QUdTZWiPa12g-SojZjY505k3lYu1JpXypNxmnvy_aem_FmniyYxfo9jRpwvTwI"/>
    <hyperlink ref="G559" r:id="rId349"/>
    <hyperlink ref="G560" r:id="rId350"/>
    <hyperlink ref="G561" r:id="rId351"/>
  </hyperlinks>
  <pageMargins left="0.7" right="0.7" top="0.75" bottom="0.75" header="0.3" footer="0.3"/>
  <pageSetup paperSize="9" orientation="portrait" r:id="rId35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1"/>
  <sheetViews>
    <sheetView zoomScale="85" zoomScaleNormal="85" workbookViewId="0">
      <pane xSplit="1" ySplit="1" topLeftCell="B562" activePane="bottomRight" state="frozen"/>
      <selection pane="topRight" activeCell="B1" sqref="B1"/>
      <selection pane="bottomLeft" activeCell="A2" sqref="A2"/>
      <selection pane="bottomRight" activeCell="K576" sqref="K576:L576"/>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8.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8.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8.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8.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8.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8.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c r="S526" s="6" t="s">
        <v>9433</v>
      </c>
      <c r="U526" s="6" t="s">
        <v>9434</v>
      </c>
      <c r="W526" s="6" t="s">
        <v>9435</v>
      </c>
    </row>
    <row r="527" spans="1:45" ht="28.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8.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47" ht="28.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47" ht="28.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47" ht="28.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47" ht="28.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47" ht="28.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9342</v>
      </c>
      <c r="G533" s="3" t="s">
        <v>9343</v>
      </c>
      <c r="H533" s="51" t="s">
        <v>6988</v>
      </c>
      <c r="K533" s="100" t="s">
        <v>5495</v>
      </c>
      <c r="L533" s="51" t="s">
        <v>5496</v>
      </c>
      <c r="M533" s="6" t="s">
        <v>9344</v>
      </c>
      <c r="O533" s="6" t="s">
        <v>9345</v>
      </c>
      <c r="Q533" s="6" t="s">
        <v>9346</v>
      </c>
      <c r="S533" s="6" t="s">
        <v>9347</v>
      </c>
      <c r="U533" s="6" t="s">
        <v>3179</v>
      </c>
      <c r="W533" s="6" t="s">
        <v>9348</v>
      </c>
      <c r="Y533" s="6" t="s">
        <v>9349</v>
      </c>
      <c r="AA533" s="6" t="s">
        <v>9350</v>
      </c>
      <c r="AC533" s="6" t="s">
        <v>9351</v>
      </c>
      <c r="AE533" s="6" t="s">
        <v>9352</v>
      </c>
      <c r="AG533" s="6" t="s">
        <v>9353</v>
      </c>
      <c r="AI533" s="6" t="s">
        <v>9354</v>
      </c>
      <c r="AK533" s="6" t="s">
        <v>9355</v>
      </c>
      <c r="AM533" s="6" t="s">
        <v>9356</v>
      </c>
      <c r="AO533" s="6" t="s">
        <v>9357</v>
      </c>
      <c r="AQ533" s="6" t="s">
        <v>9358</v>
      </c>
      <c r="AS533" s="6" t="s">
        <v>9359</v>
      </c>
      <c r="AU533" s="6" t="s">
        <v>9360</v>
      </c>
    </row>
    <row r="534" spans="1:47" ht="28.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47" ht="28.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47" ht="28.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47" ht="28.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47" ht="28.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9362</v>
      </c>
      <c r="G538" s="3" t="s">
        <v>9363</v>
      </c>
      <c r="H538" s="51" t="s">
        <v>6988</v>
      </c>
      <c r="K538" s="100" t="s">
        <v>5495</v>
      </c>
      <c r="L538" s="51" t="s">
        <v>5496</v>
      </c>
      <c r="M538" s="6" t="s">
        <v>9361</v>
      </c>
    </row>
    <row r="539" spans="1:47" ht="28.5" customHeight="1">
      <c r="A539" s="67" t="str">
        <f>IF(games!A539="", "", games!A539)</f>
        <v>我在江湖開後宮</v>
      </c>
      <c r="C539" s="51" t="str">
        <f t="shared" si="20"/>
        <v>giftcodesbanner/我在江湖開後宮-禮包碼.jpg</v>
      </c>
      <c r="D539" s="51" t="str">
        <f t="shared" si="21"/>
        <v>https://www.ssbuy.tw/gift-codes.html?game=我在江湖開後宮</v>
      </c>
      <c r="E539" s="91" t="str">
        <f>IF(games!I539&lt;&gt;"", games!I539, "")</f>
        <v>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v>
      </c>
      <c r="F539" s="92" t="s">
        <v>9336</v>
      </c>
      <c r="G539" s="3" t="s">
        <v>9337</v>
      </c>
      <c r="H539" s="51" t="s">
        <v>6988</v>
      </c>
      <c r="K539" s="100" t="s">
        <v>5495</v>
      </c>
      <c r="L539" s="51" t="s">
        <v>5496</v>
      </c>
    </row>
    <row r="540" spans="1:47" ht="28.5" customHeight="1">
      <c r="A540" s="67" t="str">
        <f>IF(games!A540="", "", games!A540)</f>
        <v>猛鬼三國</v>
      </c>
      <c r="C540" s="51" t="str">
        <f t="shared" si="20"/>
        <v>giftcodesbanner/猛鬼三國-禮包碼.jpg</v>
      </c>
      <c r="D540" s="51" t="str">
        <f t="shared" si="21"/>
        <v>https://www.ssbuy.tw/gift-codes.html?game=猛鬼三國</v>
      </c>
      <c r="E540" s="91" t="str">
        <f>IF(games!I540&lt;&gt;"", games!I540, "")</f>
        <v>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v>
      </c>
      <c r="F540" s="92" t="s">
        <v>5464</v>
      </c>
      <c r="G540" s="3" t="s">
        <v>9340</v>
      </c>
      <c r="H540" s="51" t="s">
        <v>6988</v>
      </c>
      <c r="K540" s="100" t="s">
        <v>5495</v>
      </c>
      <c r="L540" s="51" t="s">
        <v>5496</v>
      </c>
      <c r="M540" s="6" t="s">
        <v>9707</v>
      </c>
      <c r="O540" s="6" t="s">
        <v>2723</v>
      </c>
      <c r="Q540" s="6" t="s">
        <v>9708</v>
      </c>
      <c r="S540" s="6" t="s">
        <v>2724</v>
      </c>
      <c r="U540" s="6" t="s">
        <v>9709</v>
      </c>
      <c r="W540" s="6" t="s">
        <v>9710</v>
      </c>
      <c r="Y540" s="6" t="s">
        <v>9711</v>
      </c>
      <c r="AA540" s="6" t="s">
        <v>9712</v>
      </c>
      <c r="AC540" s="6" t="s">
        <v>9713</v>
      </c>
      <c r="AE540" s="6" t="s">
        <v>9714</v>
      </c>
      <c r="AG540" s="6" t="s">
        <v>9715</v>
      </c>
      <c r="AI540" s="6" t="s">
        <v>9716</v>
      </c>
    </row>
    <row r="541" spans="1:47" ht="28.5" customHeight="1">
      <c r="A541" s="67" t="str">
        <f>IF(games!A541="", "", games!A541)</f>
        <v>大航海：怒海遠征</v>
      </c>
      <c r="C541" s="51" t="str">
        <f t="shared" si="20"/>
        <v>giftcodesbanner/大航海：怒海遠征-禮包碼.jpg</v>
      </c>
      <c r="D541" s="51" t="str">
        <f t="shared" si="21"/>
        <v>https://www.ssbuy.tw/gift-codes.html?game=大航海：怒海遠征</v>
      </c>
      <c r="E541" s="91" t="str">
        <f>IF(games!I541&lt;&gt;"", games!I541, "")</f>
        <v>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v>
      </c>
      <c r="F541" s="92" t="s">
        <v>5232</v>
      </c>
      <c r="K541" s="100" t="s">
        <v>5495</v>
      </c>
      <c r="L541" s="51" t="s">
        <v>5496</v>
      </c>
    </row>
    <row r="542" spans="1:47" ht="28.5" customHeight="1">
      <c r="A542" s="67" t="str">
        <f>IF(games!A542="", "", games!A542)</f>
        <v>hololive Dreams</v>
      </c>
      <c r="C542" s="51" t="str">
        <f t="shared" si="20"/>
        <v>giftcodesbanner/hololive Dreams-禮包碼.jpg</v>
      </c>
      <c r="D542" s="51" t="str">
        <f t="shared" si="21"/>
        <v>https://www.ssbuy.tw/gift-codes.html?game=hololive Dreams</v>
      </c>
      <c r="E542" s="91" t="str">
        <f>IF(games!I542&lt;&gt;"", games!I542, "")</f>
        <v>《hololive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v>
      </c>
      <c r="F542" s="92" t="s">
        <v>5232</v>
      </c>
      <c r="K542" s="100" t="s">
        <v>5495</v>
      </c>
      <c r="L542" s="51" t="s">
        <v>5496</v>
      </c>
    </row>
    <row r="543" spans="1:47" ht="28.5" customHeight="1">
      <c r="A543" s="67" t="str">
        <f>IF(games!A543="", "", games!A543)</f>
        <v>萬象山海</v>
      </c>
      <c r="C543" s="51" t="str">
        <f t="shared" si="20"/>
        <v>giftcodesbanner/萬象山海-禮包碼.jpg</v>
      </c>
      <c r="D543" s="51" t="str">
        <f t="shared" si="21"/>
        <v>https://www.ssbuy.tw/gift-codes.html?game=萬象山海</v>
      </c>
      <c r="E543" s="91" t="str">
        <f>IF(games!I543&lt;&gt;"", games!I543, "")</f>
        <v>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3" s="92" t="s">
        <v>9468</v>
      </c>
      <c r="G543" s="3" t="s">
        <v>9337</v>
      </c>
      <c r="H543" s="51" t="s">
        <v>6988</v>
      </c>
      <c r="K543" s="100" t="s">
        <v>5495</v>
      </c>
      <c r="L543" s="51" t="s">
        <v>5496</v>
      </c>
      <c r="M543" s="6" t="s">
        <v>1841</v>
      </c>
    </row>
    <row r="544" spans="1:47" ht="28.5" customHeight="1">
      <c r="A544" s="67" t="str">
        <f>IF(games!A544="", "", games!A544)</f>
        <v>三國觀滄海</v>
      </c>
      <c r="C544" s="51" t="str">
        <f t="shared" si="20"/>
        <v>giftcodesbanner/三國觀滄海-禮包碼.jpg</v>
      </c>
      <c r="D544" s="51" t="str">
        <f t="shared" si="21"/>
        <v>https://www.ssbuy.tw/gift-codes.html?game=三國觀滄海</v>
      </c>
      <c r="E544" s="91" t="str">
        <f>IF(games!I544&lt;&gt;"", games!I544, "")</f>
        <v>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4" s="92" t="s">
        <v>5232</v>
      </c>
      <c r="K544" s="100" t="s">
        <v>5495</v>
      </c>
      <c r="L544" s="51" t="s">
        <v>5496</v>
      </c>
    </row>
    <row r="545" spans="1:41" ht="28.5" customHeight="1">
      <c r="A545" s="67" t="str">
        <f>IF(games!A545="", "", games!A545)</f>
        <v>美男戰國</v>
      </c>
      <c r="C545" s="51" t="str">
        <f t="shared" ref="C545:C579" si="22">IF(A545="","", "giftcodesbanner/" &amp; A545 &amp; "-禮包碼.jpg")</f>
        <v>giftcodesbanner/美男戰國-禮包碼.jpg</v>
      </c>
      <c r="D545" s="51" t="str">
        <f t="shared" ref="D545:D579" si="23">IF(A545="","", "https://www.ssbuy.tw/gift-codes.html?game="&amp;A545)</f>
        <v>https://www.ssbuy.tw/gift-codes.html?game=美男戰國</v>
      </c>
      <c r="E545" s="91" t="str">
        <f>IF(games!I545&lt;&gt;"", games!I545, "")</f>
        <v>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v>
      </c>
      <c r="F545" s="92" t="s">
        <v>5232</v>
      </c>
      <c r="K545" s="100" t="s">
        <v>5495</v>
      </c>
      <c r="L545" s="51" t="s">
        <v>5496</v>
      </c>
    </row>
    <row r="546" spans="1:41" ht="28.5" customHeight="1">
      <c r="A546" s="67" t="str">
        <f>IF(games!A546="", "", games!A546)</f>
        <v>搞鬼M</v>
      </c>
      <c r="C546" s="51" t="str">
        <f t="shared" si="22"/>
        <v>giftcodesbanner/搞鬼M-禮包碼.jpg</v>
      </c>
      <c r="D546" s="51" t="str">
        <f t="shared" si="23"/>
        <v>https://www.ssbuy.tw/gift-codes.html?game=搞鬼M</v>
      </c>
      <c r="E546" s="91" t="str">
        <f>IF(games!I546&lt;&gt;"", games!I546, "")</f>
        <v>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6" s="92" t="s">
        <v>5232</v>
      </c>
      <c r="K546" s="100" t="s">
        <v>5495</v>
      </c>
      <c r="L546" s="51" t="s">
        <v>5496</v>
      </c>
    </row>
    <row r="547" spans="1:41" ht="28.5" customHeight="1">
      <c r="A547" s="67" t="str">
        <f>IF(games!A547="", "", games!A547)</f>
        <v>喵喵騎士：放置RPG</v>
      </c>
      <c r="C547" s="51" t="str">
        <f t="shared" si="22"/>
        <v>giftcodesbanner/喵喵騎士：放置RPG-禮包碼.jpg</v>
      </c>
      <c r="D547" s="51" t="str">
        <f t="shared" si="23"/>
        <v>https://www.ssbuy.tw/gift-codes.html?game=喵喵騎士：放置RPG</v>
      </c>
      <c r="E547" s="91" t="str">
        <f>IF(games!I547&lt;&gt;"", games!I547, "")</f>
        <v>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7" s="92" t="s">
        <v>5232</v>
      </c>
      <c r="K547" s="100" t="s">
        <v>5495</v>
      </c>
      <c r="L547" s="51" t="s">
        <v>5496</v>
      </c>
    </row>
    <row r="548" spans="1:41" ht="28.5" customHeight="1">
      <c r="A548" s="67" t="str">
        <f>IF(games!A548="", "", games!A548)</f>
        <v>女神帝國：天使降臨</v>
      </c>
      <c r="C548" s="51" t="str">
        <f t="shared" si="22"/>
        <v>giftcodesbanner/女神帝國：天使降臨-禮包碼.jpg</v>
      </c>
      <c r="D548" s="51" t="str">
        <f t="shared" si="23"/>
        <v>https://www.ssbuy.tw/gift-codes.html?game=女神帝國：天使降臨</v>
      </c>
      <c r="E548" s="91" t="str">
        <f>IF(games!I548&lt;&gt;"", games!I548, "")</f>
        <v>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8" s="92" t="s">
        <v>5464</v>
      </c>
      <c r="G548" s="3" t="s">
        <v>9340</v>
      </c>
      <c r="H548" s="51" t="s">
        <v>6988</v>
      </c>
      <c r="K548" s="100" t="s">
        <v>5495</v>
      </c>
      <c r="L548" s="51" t="s">
        <v>5496</v>
      </c>
      <c r="M548" s="6" t="s">
        <v>9467</v>
      </c>
      <c r="O548" s="6" t="s">
        <v>2974</v>
      </c>
    </row>
    <row r="549" spans="1:41" ht="28.5" customHeight="1">
      <c r="A549" s="67" t="str">
        <f>IF(games!A549="", "", games!A549)</f>
        <v>地下城見聞錄</v>
      </c>
      <c r="C549" s="51" t="str">
        <f t="shared" si="22"/>
        <v>giftcodesbanner/地下城見聞錄-禮包碼.jpg</v>
      </c>
      <c r="D549" s="51" t="str">
        <f t="shared" si="23"/>
        <v>https://www.ssbuy.tw/gift-codes.html?game=地下城見聞錄</v>
      </c>
      <c r="E549" s="91" t="str">
        <f>IF(games!I549&lt;&gt;"", games!I549, "")</f>
        <v>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9" s="92" t="s">
        <v>5232</v>
      </c>
      <c r="K549" s="100" t="s">
        <v>5495</v>
      </c>
      <c r="L549" s="51" t="s">
        <v>5496</v>
      </c>
    </row>
    <row r="550" spans="1:41" ht="28.5" customHeight="1">
      <c r="A550" s="67" t="str">
        <f>IF(games!A550="", "", games!A550)</f>
        <v>鬥破蒼穹M：少年崛起</v>
      </c>
      <c r="C550" s="51" t="str">
        <f t="shared" si="22"/>
        <v>giftcodesbanner/鬥破蒼穹M：少年崛起-禮包碼.jpg</v>
      </c>
      <c r="D550" s="51" t="str">
        <f t="shared" si="23"/>
        <v>https://www.ssbuy.tw/gift-codes.html?game=鬥破蒼穹M：少年崛起</v>
      </c>
      <c r="E550" s="91" t="str">
        <f>IF(games!I550&lt;&gt;"", games!I550, "")</f>
        <v>《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v>
      </c>
      <c r="F550" s="92" t="s">
        <v>5464</v>
      </c>
      <c r="G550" s="3" t="s">
        <v>9340</v>
      </c>
      <c r="H550" s="51" t="s">
        <v>6988</v>
      </c>
      <c r="K550" s="100" t="s">
        <v>5495</v>
      </c>
      <c r="L550" s="51" t="s">
        <v>5496</v>
      </c>
      <c r="M550" s="6" t="s">
        <v>9431</v>
      </c>
      <c r="O550" s="6" t="s">
        <v>9432</v>
      </c>
      <c r="Q550" s="6" t="s">
        <v>9432</v>
      </c>
      <c r="S550" s="6" t="s">
        <v>9490</v>
      </c>
      <c r="T550" s="40" t="s">
        <v>9491</v>
      </c>
      <c r="U550" s="6" t="s">
        <v>9487</v>
      </c>
      <c r="V550" s="40" t="s">
        <v>9488</v>
      </c>
      <c r="W550" s="6" t="s">
        <v>9489</v>
      </c>
      <c r="X550" s="40" t="s">
        <v>9488</v>
      </c>
      <c r="Y550" s="6" t="s">
        <v>2965</v>
      </c>
      <c r="Z550" s="40" t="s">
        <v>9492</v>
      </c>
      <c r="AA550" s="6" t="s">
        <v>9493</v>
      </c>
      <c r="AB550" s="40" t="s">
        <v>9494</v>
      </c>
      <c r="AC550" s="6" t="s">
        <v>9495</v>
      </c>
      <c r="AD550" s="40" t="s">
        <v>9496</v>
      </c>
      <c r="AE550" s="6" t="s">
        <v>9497</v>
      </c>
      <c r="AF550" s="40" t="s">
        <v>9498</v>
      </c>
      <c r="AG550" s="6" t="s">
        <v>9499</v>
      </c>
      <c r="AH550" s="40" t="s">
        <v>9500</v>
      </c>
      <c r="AI550" s="6" t="s">
        <v>9501</v>
      </c>
      <c r="AJ550" s="40" t="s">
        <v>9502</v>
      </c>
    </row>
    <row r="551" spans="1:41" ht="28.5" customHeight="1">
      <c r="A551" s="67" t="str">
        <f>IF(games!A551="", "", games!A551)</f>
        <v>開局一座島</v>
      </c>
      <c r="C551" s="51" t="str">
        <f t="shared" si="22"/>
        <v>giftcodesbanner/開局一座島-禮包碼.jpg</v>
      </c>
      <c r="D551" s="51" t="str">
        <f t="shared" si="23"/>
        <v>https://www.ssbuy.tw/gift-codes.html?game=開局一座島</v>
      </c>
      <c r="E551" s="91" t="str">
        <f>IF(games!I551&lt;&gt;"", games!I551, "")</f>
        <v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v>
      </c>
      <c r="F551" s="92" t="s">
        <v>9484</v>
      </c>
      <c r="G551" s="3" t="s">
        <v>9485</v>
      </c>
      <c r="H551" s="3" t="s">
        <v>9486</v>
      </c>
      <c r="I551" s="51" t="s">
        <v>6988</v>
      </c>
      <c r="K551" s="100" t="s">
        <v>5495</v>
      </c>
      <c r="L551" s="51" t="s">
        <v>5496</v>
      </c>
      <c r="M551" s="6" t="s">
        <v>9469</v>
      </c>
      <c r="O551" s="6" t="s">
        <v>9470</v>
      </c>
      <c r="Q551" s="6" t="s">
        <v>9471</v>
      </c>
      <c r="S551" s="6" t="s">
        <v>9472</v>
      </c>
      <c r="U551" s="6" t="s">
        <v>9473</v>
      </c>
      <c r="W551" s="6" t="s">
        <v>9474</v>
      </c>
      <c r="Y551" s="6" t="s">
        <v>9475</v>
      </c>
      <c r="AA551" s="6" t="s">
        <v>9476</v>
      </c>
      <c r="AC551" s="6" t="s">
        <v>9477</v>
      </c>
      <c r="AE551" s="6" t="s">
        <v>9478</v>
      </c>
      <c r="AG551" s="6" t="s">
        <v>9479</v>
      </c>
      <c r="AI551" s="6" t="s">
        <v>9480</v>
      </c>
      <c r="AK551" s="6" t="s">
        <v>9481</v>
      </c>
      <c r="AM551" s="6" t="s">
        <v>9482</v>
      </c>
      <c r="AO551" s="6" t="s">
        <v>9483</v>
      </c>
    </row>
    <row r="552" spans="1:41" ht="28.5" customHeight="1">
      <c r="A552" s="67" t="str">
        <f>IF(games!A552="", "", games!A552)</f>
        <v>真三國無雙・霸</v>
      </c>
      <c r="C552" s="51" t="str">
        <f t="shared" si="22"/>
        <v>giftcodesbanner/真三國無雙・霸-禮包碼.jpg</v>
      </c>
      <c r="D552" s="51" t="str">
        <f t="shared" si="23"/>
        <v>https://www.ssbuy.tw/gift-codes.html?game=真三國無雙・霸</v>
      </c>
      <c r="E552" s="91" t="str">
        <f>IF(games!I552&lt;&gt;"", games!I552, "")</f>
        <v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v>
      </c>
      <c r="F552" s="92" t="s">
        <v>9667</v>
      </c>
      <c r="G552" s="3" t="s">
        <v>9668</v>
      </c>
      <c r="H552" s="51" t="s">
        <v>6988</v>
      </c>
      <c r="K552" s="100" t="s">
        <v>5495</v>
      </c>
      <c r="L552" s="51" t="s">
        <v>5496</v>
      </c>
      <c r="M552" s="6" t="s">
        <v>9661</v>
      </c>
      <c r="O552" s="6" t="s">
        <v>9662</v>
      </c>
      <c r="Q552" s="6" t="s">
        <v>9663</v>
      </c>
      <c r="S552" s="6" t="s">
        <v>9664</v>
      </c>
      <c r="U552" s="6" t="s">
        <v>9665</v>
      </c>
      <c r="W552" s="6" t="s">
        <v>9666</v>
      </c>
    </row>
    <row r="553" spans="1:41" ht="28.5" customHeight="1">
      <c r="A553" s="67" t="str">
        <f>IF(games!A553="", "", games!A553)</f>
        <v>賽爾號：巔峰之戰</v>
      </c>
      <c r="C553" s="51" t="str">
        <f t="shared" si="22"/>
        <v>giftcodesbanner/賽爾號：巔峰之戰-禮包碼.jpg</v>
      </c>
      <c r="D553" s="51" t="str">
        <f t="shared" si="23"/>
        <v>https://www.ssbuy.tw/gift-codes.html?game=賽爾號：巔峰之戰</v>
      </c>
      <c r="E553" s="91" t="str">
        <f>IF(games!I553&lt;&gt;"", games!I553, "")</f>
        <v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v>
      </c>
      <c r="F553" s="92" t="s">
        <v>9658</v>
      </c>
      <c r="G553" s="3" t="s">
        <v>9659</v>
      </c>
      <c r="H553" s="3" t="s">
        <v>9660</v>
      </c>
      <c r="K553" s="100" t="s">
        <v>5495</v>
      </c>
      <c r="L553" s="51" t="s">
        <v>5496</v>
      </c>
      <c r="M553" s="6" t="s">
        <v>9653</v>
      </c>
      <c r="O553" s="6" t="s">
        <v>9654</v>
      </c>
      <c r="Q553" s="6" t="s">
        <v>9655</v>
      </c>
      <c r="S553" s="6" t="s">
        <v>9656</v>
      </c>
      <c r="U553" s="6" t="s">
        <v>9657</v>
      </c>
    </row>
    <row r="554" spans="1:41" ht="28.5" customHeight="1">
      <c r="A554" s="67" t="str">
        <f>IF(games!A554="", "", games!A554)</f>
        <v>Astro Arena：恆星激鬥 PvP</v>
      </c>
      <c r="C554" s="51" t="str">
        <f t="shared" si="22"/>
        <v>giftcodesbanner/Astro Arena：恆星激鬥 PvP-禮包碼.jpg</v>
      </c>
      <c r="D554" s="51" t="str">
        <f t="shared" si="23"/>
        <v>https://www.ssbuy.tw/gift-codes.html?game=Astro Arena：恆星激鬥 PvP</v>
      </c>
      <c r="E554" s="91" t="str">
        <f>IF(games!I554&lt;&gt;"", games!I554, "")</f>
        <v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v>
      </c>
      <c r="F554" s="92" t="s">
        <v>5232</v>
      </c>
      <c r="K554" s="100" t="s">
        <v>5495</v>
      </c>
      <c r="L554" s="51" t="s">
        <v>5496</v>
      </c>
    </row>
    <row r="555" spans="1:41" ht="28.5" customHeight="1">
      <c r="A555" s="67" t="str">
        <f>IF(games!A555="", "", games!A555)</f>
        <v>METAL SLUG RUSH</v>
      </c>
      <c r="C555" s="51" t="str">
        <f t="shared" si="22"/>
        <v>giftcodesbanner/METAL SLUG RUSH-禮包碼.jpg</v>
      </c>
      <c r="D555" s="51" t="str">
        <f t="shared" si="23"/>
        <v>https://www.ssbuy.tw/gift-codes.html?game=METAL SLUG RUSH</v>
      </c>
      <c r="E555" s="91" t="str">
        <f>IF(games!I555&lt;&gt;"", games!I555, "")</f>
        <v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v>
      </c>
      <c r="F555" s="92" t="s">
        <v>5232</v>
      </c>
      <c r="K555" s="100" t="s">
        <v>5495</v>
      </c>
      <c r="L555" s="51" t="s">
        <v>5496</v>
      </c>
    </row>
    <row r="556" spans="1:41" ht="28.5" customHeight="1">
      <c r="A556" s="67" t="str">
        <f>IF(games!A556="", "", games!A556)</f>
        <v>塔塔冒險隊</v>
      </c>
      <c r="C556" s="51" t="str">
        <f t="shared" si="22"/>
        <v>giftcodesbanner/塔塔冒險隊-禮包碼.jpg</v>
      </c>
      <c r="D556" s="51" t="str">
        <f t="shared" si="23"/>
        <v>https://www.ssbuy.tw/gift-codes.html?game=塔塔冒險隊</v>
      </c>
      <c r="E556" s="91" t="str">
        <f>IF(games!I556&lt;&gt;"", games!I556, "")</f>
        <v>《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v>
      </c>
      <c r="F556" s="92" t="s">
        <v>5232</v>
      </c>
      <c r="K556" s="100" t="s">
        <v>5495</v>
      </c>
      <c r="L556" s="51" t="s">
        <v>5496</v>
      </c>
    </row>
    <row r="557" spans="1:41" ht="28.5" customHeight="1">
      <c r="A557" s="67" t="str">
        <f>IF(games!A557="", "", games!A557)</f>
        <v>亡靈別太狂：部落大作戰</v>
      </c>
      <c r="C557" s="51" t="str">
        <f t="shared" si="22"/>
        <v>giftcodesbanner/亡靈別太狂：部落大作戰-禮包碼.jpg</v>
      </c>
      <c r="D557" s="51" t="str">
        <f t="shared" si="23"/>
        <v>https://www.ssbuy.tw/gift-codes.html?game=亡靈別太狂：部落大作戰</v>
      </c>
      <c r="E557" s="91" t="str">
        <f>IF(games!I557&lt;&gt;"", games!I557, "")</f>
        <v>《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v>
      </c>
      <c r="F557" s="92" t="s">
        <v>9635</v>
      </c>
      <c r="G557" s="3" t="s">
        <v>9636</v>
      </c>
      <c r="H557" s="51" t="s">
        <v>6988</v>
      </c>
      <c r="K557" s="100" t="s">
        <v>5495</v>
      </c>
      <c r="L557" s="51" t="s">
        <v>5496</v>
      </c>
      <c r="M557" s="6" t="s">
        <v>9637</v>
      </c>
      <c r="N557" s="40" t="s">
        <v>9652</v>
      </c>
      <c r="O557" s="6" t="s">
        <v>9638</v>
      </c>
      <c r="P557" s="40" t="s">
        <v>9651</v>
      </c>
      <c r="Q557" s="6" t="s">
        <v>6615</v>
      </c>
      <c r="R557" s="40" t="s">
        <v>9650</v>
      </c>
      <c r="S557" s="6" t="s">
        <v>9639</v>
      </c>
      <c r="T557" s="40" t="s">
        <v>9649</v>
      </c>
      <c r="U557" s="6" t="s">
        <v>9640</v>
      </c>
      <c r="V557" s="40" t="s">
        <v>9648</v>
      </c>
      <c r="W557" s="6" t="s">
        <v>1841</v>
      </c>
      <c r="X557" s="40" t="s">
        <v>9647</v>
      </c>
      <c r="Y557" s="6" t="s">
        <v>9641</v>
      </c>
      <c r="Z557" s="40" t="s">
        <v>9646</v>
      </c>
      <c r="AA557" s="6" t="s">
        <v>9642</v>
      </c>
      <c r="AB557" s="40" t="s">
        <v>9645</v>
      </c>
      <c r="AC557" s="6" t="s">
        <v>9643</v>
      </c>
      <c r="AD557" s="40" t="s">
        <v>9644</v>
      </c>
      <c r="AE557" s="6" t="s">
        <v>9732</v>
      </c>
    </row>
    <row r="558" spans="1:41" ht="28.5" customHeight="1">
      <c r="A558" s="67" t="str">
        <f>IF(games!A558="", "", games!A558)</f>
        <v>爆走摸魚君</v>
      </c>
      <c r="C558" s="51" t="str">
        <f t="shared" si="22"/>
        <v>giftcodesbanner/爆走摸魚君-禮包碼.jpg</v>
      </c>
      <c r="D558" s="51" t="str">
        <f t="shared" si="23"/>
        <v>https://www.ssbuy.tw/gift-codes.html?game=爆走摸魚君</v>
      </c>
      <c r="E558" s="91" t="str">
        <f>IF(games!I558&lt;&gt;"", games!I558, "")</f>
        <v>《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v>
      </c>
      <c r="F558" s="92" t="s">
        <v>9633</v>
      </c>
      <c r="G558" s="3" t="s">
        <v>9634</v>
      </c>
      <c r="H558" s="51" t="s">
        <v>6988</v>
      </c>
      <c r="K558" s="100" t="s">
        <v>5495</v>
      </c>
      <c r="L558" s="51" t="s">
        <v>5496</v>
      </c>
      <c r="M558" s="6" t="s">
        <v>9509</v>
      </c>
      <c r="N558" s="40" t="s">
        <v>9632</v>
      </c>
      <c r="O558" s="6" t="s">
        <v>9628</v>
      </c>
      <c r="P558" s="40" t="s">
        <v>9631</v>
      </c>
      <c r="Q558" s="6" t="s">
        <v>9629</v>
      </c>
      <c r="R558" s="40" t="s">
        <v>9630</v>
      </c>
    </row>
    <row r="559" spans="1:41" ht="28.5" customHeight="1">
      <c r="A559" s="67" t="str">
        <f>IF(games!A559="", "", games!A559)</f>
        <v>小貓咪大史記</v>
      </c>
      <c r="C559" s="51" t="str">
        <f t="shared" si="22"/>
        <v>giftcodesbanner/小貓咪大史記-禮包碼.jpg</v>
      </c>
      <c r="D559" s="51" t="str">
        <f t="shared" si="23"/>
        <v>https://www.ssbuy.tw/gift-codes.html?game=小貓咪大史記</v>
      </c>
      <c r="E559" s="91" t="str">
        <f>IF(games!I559&lt;&gt;"", games!I559, "")</f>
        <v>《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v>
      </c>
      <c r="F559" s="92" t="s">
        <v>5232</v>
      </c>
      <c r="K559" s="100" t="s">
        <v>5495</v>
      </c>
      <c r="L559" s="51" t="s">
        <v>5496</v>
      </c>
    </row>
    <row r="560" spans="1:41" ht="28.5" customHeight="1">
      <c r="A560" s="67" t="str">
        <f>IF(games!A560="", "", games!A560)</f>
        <v>星辰連結</v>
      </c>
      <c r="C560" s="51" t="str">
        <f t="shared" si="22"/>
        <v>giftcodesbanner/星辰連結-禮包碼.jpg</v>
      </c>
      <c r="D560" s="51" t="str">
        <f t="shared" si="23"/>
        <v>https://www.ssbuy.tw/gift-codes.html?game=星辰連結</v>
      </c>
      <c r="E560" s="91" t="str">
        <f>IF(games!I560&lt;&gt;"", games!I560, "")</f>
        <v>《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v>
      </c>
      <c r="F560" s="92" t="s">
        <v>5232</v>
      </c>
      <c r="K560" s="100" t="s">
        <v>5495</v>
      </c>
      <c r="L560" s="51" t="s">
        <v>5496</v>
      </c>
    </row>
    <row r="561" spans="1:34" ht="28.5" customHeight="1">
      <c r="A561" s="67" t="str">
        <f>IF(games!A561="", "", games!A561)</f>
        <v>喵吱大作戰：放置類RPG</v>
      </c>
      <c r="C561" s="51" t="str">
        <f t="shared" si="22"/>
        <v>giftcodesbanner/喵吱大作戰：放置類RPG-禮包碼.jpg</v>
      </c>
      <c r="D561" s="51" t="str">
        <f t="shared" si="23"/>
        <v>https://www.ssbuy.tw/gift-codes.html?game=喵吱大作戰：放置類RPG</v>
      </c>
      <c r="E561" s="91" t="str">
        <f>IF(games!I561&lt;&gt;"", games!I561, "")</f>
        <v>《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v>
      </c>
      <c r="F561" s="92" t="s">
        <v>5232</v>
      </c>
      <c r="K561" s="100" t="s">
        <v>5495</v>
      </c>
      <c r="L561" s="51" t="s">
        <v>5496</v>
      </c>
    </row>
    <row r="562" spans="1:34" ht="28.5" customHeight="1">
      <c r="A562" s="67" t="str">
        <f>IF(games!A562="", "", games!A562)</f>
        <v>森之歌：世界</v>
      </c>
      <c r="C562" s="51" t="str">
        <f t="shared" si="22"/>
        <v>giftcodesbanner/森之歌：世界-禮包碼.jpg</v>
      </c>
      <c r="D562" s="51" t="str">
        <f t="shared" si="23"/>
        <v>https://www.ssbuy.tw/gift-codes.html?game=森之歌：世界</v>
      </c>
      <c r="E562" s="91" t="str">
        <f>IF(games!I562&lt;&gt;"", games!I562, "")</f>
        <v>《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v>
      </c>
      <c r="F562" s="92" t="s">
        <v>9719</v>
      </c>
      <c r="G562" s="3" t="s">
        <v>9720</v>
      </c>
      <c r="H562" s="51" t="s">
        <v>6988</v>
      </c>
      <c r="K562" s="100" t="s">
        <v>5495</v>
      </c>
      <c r="L562" s="51" t="s">
        <v>5496</v>
      </c>
      <c r="M562" s="6" t="s">
        <v>1932</v>
      </c>
      <c r="O562" s="6" t="s">
        <v>9717</v>
      </c>
      <c r="Q562" s="6" t="s">
        <v>1841</v>
      </c>
      <c r="S562" s="6" t="s">
        <v>1933</v>
      </c>
      <c r="U562" s="6" t="s">
        <v>9718</v>
      </c>
    </row>
    <row r="563" spans="1:34" ht="28.5" customHeight="1">
      <c r="A563" s="67" t="str">
        <f>IF(games!A563="", "", games!A563)</f>
        <v>三國志：群雄之弈</v>
      </c>
      <c r="C563" s="51" t="str">
        <f t="shared" si="22"/>
        <v>giftcodesbanner/三國志：群雄之弈-禮包碼.jpg</v>
      </c>
      <c r="D563" s="51" t="str">
        <f t="shared" si="23"/>
        <v>https://www.ssbuy.tw/gift-codes.html?game=三國志：群雄之弈</v>
      </c>
      <c r="E563" s="91" t="str">
        <f>IF(games!I563&lt;&gt;"", games!I563, "")</f>
        <v>《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v>
      </c>
      <c r="F563" s="92" t="s">
        <v>9544</v>
      </c>
      <c r="G563" s="3" t="s">
        <v>9545</v>
      </c>
      <c r="H563" s="51" t="s">
        <v>6988</v>
      </c>
      <c r="K563" s="100" t="s">
        <v>5495</v>
      </c>
      <c r="L563" s="51" t="s">
        <v>5496</v>
      </c>
      <c r="M563" s="6" t="s">
        <v>9537</v>
      </c>
      <c r="O563" s="6" t="s">
        <v>9538</v>
      </c>
      <c r="P563" s="40" t="s">
        <v>9539</v>
      </c>
      <c r="Q563" s="6" t="s">
        <v>9540</v>
      </c>
      <c r="S563" s="6" t="s">
        <v>9541</v>
      </c>
      <c r="U563" s="6" t="s">
        <v>9542</v>
      </c>
      <c r="W563" s="6" t="s">
        <v>9543</v>
      </c>
    </row>
    <row r="564" spans="1:34" ht="28.5" customHeight="1">
      <c r="A564" s="67" t="str">
        <f>IF(games!A564="", "", games!A564)</f>
        <v>轉運江湖</v>
      </c>
      <c r="C564" s="51" t="str">
        <f t="shared" si="22"/>
        <v>giftcodesbanner/轉運江湖-禮包碼.jpg</v>
      </c>
      <c r="D564" s="51" t="str">
        <f t="shared" si="23"/>
        <v>https://www.ssbuy.tw/gift-codes.html?game=轉運江湖</v>
      </c>
      <c r="E564" s="91" t="str">
        <f>IF(games!I564&lt;&gt;"", games!I564, "")</f>
        <v>《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v>
      </c>
      <c r="F564" s="92" t="s">
        <v>5232</v>
      </c>
      <c r="K564" s="100" t="s">
        <v>5495</v>
      </c>
      <c r="L564" s="51" t="s">
        <v>5496</v>
      </c>
    </row>
    <row r="565" spans="1:34" ht="28.5" customHeight="1">
      <c r="A565" s="67" t="str">
        <f>IF(games!A565="", "", games!A565)</f>
        <v>MAJO - 末日策略 RPG</v>
      </c>
      <c r="C565" s="51" t="str">
        <f t="shared" si="22"/>
        <v>giftcodesbanner/MAJO - 末日策略 RPG-禮包碼.jpg</v>
      </c>
      <c r="D565" s="51" t="str">
        <f t="shared" si="23"/>
        <v>https://www.ssbuy.tw/gift-codes.html?game=MAJO - 末日策略 RPG</v>
      </c>
      <c r="E565" s="91" t="str">
        <f>IF(games!I565&lt;&gt;"", games!I565, "")</f>
        <v>《MAJO - 末日策略 RPG》美少女養成＋深度戰術末日生存手遊，主打直式即時攻防與極簡操作。扮演指揮官招募各式強大角色，建造專屬避難所並抵禦異變生物的猛烈襲擊，集齊限定SSR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v>
      </c>
      <c r="F565" s="92" t="s">
        <v>5464</v>
      </c>
      <c r="G565" s="3" t="s">
        <v>9340</v>
      </c>
      <c r="H565" s="51" t="s">
        <v>6988</v>
      </c>
      <c r="K565" s="100" t="s">
        <v>5495</v>
      </c>
      <c r="L565" s="51" t="s">
        <v>5496</v>
      </c>
      <c r="M565" s="6" t="s">
        <v>9615</v>
      </c>
      <c r="N565" s="40" t="s">
        <v>9627</v>
      </c>
      <c r="O565" s="6" t="s">
        <v>9616</v>
      </c>
      <c r="P565" s="40" t="s">
        <v>9627</v>
      </c>
      <c r="Q565" s="6" t="s">
        <v>9617</v>
      </c>
      <c r="R565" s="40" t="s">
        <v>9627</v>
      </c>
      <c r="S565" s="6" t="s">
        <v>9618</v>
      </c>
      <c r="T565" s="40" t="s">
        <v>9627</v>
      </c>
      <c r="U565" s="6" t="s">
        <v>9619</v>
      </c>
      <c r="V565" s="40" t="s">
        <v>9627</v>
      </c>
      <c r="W565" s="6" t="s">
        <v>9620</v>
      </c>
      <c r="X565" s="40" t="s">
        <v>9627</v>
      </c>
      <c r="Y565" s="6" t="s">
        <v>9621</v>
      </c>
      <c r="Z565" s="40" t="s">
        <v>9626</v>
      </c>
      <c r="AA565" s="6" t="s">
        <v>9622</v>
      </c>
      <c r="AB565" s="40" t="s">
        <v>9626</v>
      </c>
      <c r="AC565" s="6" t="s">
        <v>9623</v>
      </c>
      <c r="AD565" s="40" t="s">
        <v>9626</v>
      </c>
      <c r="AE565" s="6" t="s">
        <v>9624</v>
      </c>
      <c r="AF565" s="40" t="s">
        <v>9626</v>
      </c>
      <c r="AG565" s="6" t="s">
        <v>9625</v>
      </c>
      <c r="AH565" s="40" t="s">
        <v>9626</v>
      </c>
    </row>
    <row r="566" spans="1:34" ht="28.5" customHeight="1">
      <c r="A566" s="67" t="str">
        <f>IF(games!A566="", "", games!A566)</f>
        <v>丐小北的冒險日記</v>
      </c>
      <c r="C566" s="51" t="str">
        <f t="shared" si="22"/>
        <v>giftcodesbanner/丐小北的冒險日記-禮包碼.jpg</v>
      </c>
      <c r="D566" s="51" t="str">
        <f t="shared" si="23"/>
        <v>https://www.ssbuy.tw/gift-codes.html?game=丐小北的冒險日記</v>
      </c>
      <c r="E566" s="91" t="str">
        <f>IF(games!I566&lt;&gt;"", games!I566, "")</f>
        <v>《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v>
      </c>
      <c r="F566" s="7" t="s">
        <v>9575</v>
      </c>
      <c r="G566" s="3" t="s">
        <v>9576</v>
      </c>
      <c r="H566" s="51" t="s">
        <v>6988</v>
      </c>
      <c r="K566" s="100" t="s">
        <v>5495</v>
      </c>
      <c r="L566" s="51" t="s">
        <v>5496</v>
      </c>
      <c r="M566" s="6" t="s">
        <v>9574</v>
      </c>
      <c r="O566" s="6" t="s">
        <v>9577</v>
      </c>
      <c r="Q566" s="6" t="s">
        <v>9578</v>
      </c>
      <c r="S566" s="6" t="s">
        <v>9579</v>
      </c>
      <c r="U566" s="6" t="s">
        <v>9580</v>
      </c>
      <c r="W566" s="6" t="s">
        <v>9581</v>
      </c>
    </row>
    <row r="567" spans="1:34" ht="28.5" customHeight="1">
      <c r="A567" s="67" t="str">
        <f>IF(games!A567="", "", games!A567)</f>
        <v>果燃很派</v>
      </c>
      <c r="C567" s="51" t="str">
        <f t="shared" si="22"/>
        <v>giftcodesbanner/果燃很派-禮包碼.jpg</v>
      </c>
      <c r="D567" s="51" t="str">
        <f t="shared" si="23"/>
        <v>https://www.ssbuy.tw/gift-codes.html?game=果燃很派</v>
      </c>
      <c r="E567" s="91" t="str">
        <f>IF(games!I567&lt;&gt;"", games!I567, "")</f>
        <v>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v>
      </c>
      <c r="F567" s="92" t="s">
        <v>5464</v>
      </c>
      <c r="G567" s="3" t="s">
        <v>9340</v>
      </c>
      <c r="H567" s="51" t="s">
        <v>6988</v>
      </c>
      <c r="K567" s="100" t="s">
        <v>5495</v>
      </c>
      <c r="L567" s="51" t="s">
        <v>5496</v>
      </c>
      <c r="M567" s="6" t="s">
        <v>9600</v>
      </c>
    </row>
    <row r="568" spans="1:34" ht="28.5" customHeight="1">
      <c r="A568" s="67" t="str">
        <f>IF(games!A568="", "", games!A568)</f>
        <v>薑餅人放置大戰爭</v>
      </c>
      <c r="C568" s="51" t="str">
        <f t="shared" si="22"/>
        <v>giftcodesbanner/薑餅人放置大戰爭-禮包碼.jpg</v>
      </c>
      <c r="D568" s="51" t="str">
        <f t="shared" si="23"/>
        <v>https://www.ssbuy.tw/gift-codes.html?game=薑餅人放置大戰爭</v>
      </c>
      <c r="E568" s="91" t="str">
        <f>IF(games!I568&lt;&gt;"", games!I568, "")</f>
        <v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v>
      </c>
      <c r="F568" s="92" t="s">
        <v>9612</v>
      </c>
      <c r="G568" s="3" t="s">
        <v>9613</v>
      </c>
      <c r="H568" s="3" t="s">
        <v>9614</v>
      </c>
      <c r="I568" s="51" t="s">
        <v>6988</v>
      </c>
      <c r="K568" s="100" t="s">
        <v>5495</v>
      </c>
      <c r="L568" s="51" t="s">
        <v>5496</v>
      </c>
      <c r="M568" s="6" t="s">
        <v>9608</v>
      </c>
      <c r="N568" s="40" t="s">
        <v>9610</v>
      </c>
      <c r="O568" s="6" t="s">
        <v>9609</v>
      </c>
      <c r="Q568" s="6" t="s">
        <v>9611</v>
      </c>
    </row>
    <row r="569" spans="1:34" ht="28.5" customHeight="1">
      <c r="A569" s="67" t="str">
        <f>IF(games!A569="", "", games!A569)</f>
        <v>隨機骰子2</v>
      </c>
      <c r="C569" s="51" t="str">
        <f t="shared" si="22"/>
        <v>giftcodesbanner/隨機骰子2-禮包碼.jpg</v>
      </c>
      <c r="D569" s="51" t="str">
        <f t="shared" si="23"/>
        <v>https://www.ssbuy.tw/gift-codes.html?game=隨機骰子2</v>
      </c>
      <c r="E569" s="91" t="str">
        <f>IF(games!I569&lt;&gt;"", games!I569, "")</f>
        <v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v>
      </c>
      <c r="F569" s="92" t="s">
        <v>5232</v>
      </c>
      <c r="K569" s="100" t="s">
        <v>5495</v>
      </c>
      <c r="L569" s="51" t="s">
        <v>5496</v>
      </c>
    </row>
    <row r="570" spans="1:34" ht="28.5" customHeight="1">
      <c r="A570" s="67" t="str">
        <f>IF(games!A570="", "", games!A570)</f>
        <v>三國群英傳：策定九州</v>
      </c>
      <c r="C570" s="51" t="str">
        <f t="shared" si="22"/>
        <v>giftcodesbanner/三國群英傳：策定九州-禮包碼.jpg</v>
      </c>
      <c r="D570" s="51" t="str">
        <f t="shared" si="23"/>
        <v>https://www.ssbuy.tw/gift-codes.html?game=三國群英傳：策定九州</v>
      </c>
      <c r="E570" s="91" t="str">
        <f>IF(games!I570&lt;&gt;"", games!I570, "")</f>
        <v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v>
      </c>
      <c r="F570" s="92" t="s">
        <v>5464</v>
      </c>
      <c r="G570" s="3" t="s">
        <v>9340</v>
      </c>
      <c r="H570" s="51" t="s">
        <v>6988</v>
      </c>
      <c r="K570" s="100" t="s">
        <v>5495</v>
      </c>
      <c r="L570" s="51" t="s">
        <v>5496</v>
      </c>
      <c r="M570" s="6" t="s">
        <v>9601</v>
      </c>
      <c r="N570" s="40" t="s">
        <v>9602</v>
      </c>
      <c r="O570" s="6" t="s">
        <v>9603</v>
      </c>
      <c r="P570" s="40" t="s">
        <v>9604</v>
      </c>
      <c r="Q570" s="6" t="s">
        <v>9605</v>
      </c>
      <c r="S570" s="6" t="s">
        <v>9606</v>
      </c>
      <c r="U570" s="6" t="s">
        <v>9607</v>
      </c>
    </row>
    <row r="571" spans="1:34" ht="28.5" customHeight="1">
      <c r="A571" s="67" t="str">
        <f>IF(games!A571="", "", games!A571)</f>
        <v>幻想三國：武姬集結</v>
      </c>
      <c r="C571" s="51" t="str">
        <f t="shared" si="22"/>
        <v>giftcodesbanner/幻想三國：武姬集結-禮包碼.jpg</v>
      </c>
      <c r="D571" s="51" t="str">
        <f t="shared" si="23"/>
        <v>https://www.ssbuy.tw/gift-codes.html?game=幻想三國：武姬集結</v>
      </c>
      <c r="E571" s="91" t="str">
        <f>IF(games!I571&lt;&gt;"", games!I571, "")</f>
        <v>超人氣三國美少女卡牌養成手遊《幻想三國：武姬集結》心動降臨！本作將三國豪傑化為顏值實力兼具的絕美武姬，主打策略布陣、Live2D互動與多樣化副本挑戰。本站提供完整新手陣容配置攻略與通關技巧，帶你零門檻稱霸三國！隨時掌握最新兌換碼與官方禮包碼，即可免費領取限定武姬抽卡券與海量資源。想在開服衝榜領先群雄？推薦使用專業代儲值服務，流程快速安全又享超值回饋，立即代儲快速升級戰力，解鎖心儀專屬武姬！快來點擊下載體驗，與傾城武姬攜手平定天下！</v>
      </c>
      <c r="F571" s="92" t="s">
        <v>9706</v>
      </c>
      <c r="G571" s="3" t="s">
        <v>9340</v>
      </c>
      <c r="H571" s="51" t="s">
        <v>6988</v>
      </c>
      <c r="K571" s="100" t="s">
        <v>5495</v>
      </c>
      <c r="L571" s="51" t="s">
        <v>5496</v>
      </c>
      <c r="M571" s="6" t="s">
        <v>9692</v>
      </c>
      <c r="N571" s="40" t="s">
        <v>9693</v>
      </c>
      <c r="O571" s="6" t="s">
        <v>9694</v>
      </c>
      <c r="P571" s="40" t="s">
        <v>9695</v>
      </c>
      <c r="Q571" s="6" t="s">
        <v>9696</v>
      </c>
      <c r="R571" s="40" t="s">
        <v>9697</v>
      </c>
    </row>
    <row r="572" spans="1:34">
      <c r="A572" s="67" t="str">
        <f>IF(games!A572="", "", games!A572)</f>
        <v>瘋狂水世界</v>
      </c>
      <c r="C572" s="51" t="str">
        <f t="shared" si="22"/>
        <v>giftcodesbanner/瘋狂水世界-禮包碼.jpg</v>
      </c>
      <c r="D572" s="51" t="str">
        <f t="shared" si="23"/>
        <v>https://www.ssbuy.tw/gift-codes.html?game=瘋狂水世界</v>
      </c>
      <c r="E572" s="91" t="str">
        <f>IF(games!I572&lt;&gt;"", games!I572, "")</f>
        <v>超人氣海洋末日求生模擬經營手遊《瘋狂水世界》震撼登場！在無盡的汪洋浩劫中，玩家需不斷打撈漂流物資、自由擴建專屬海上避難所，並招募各具專長的強大英雄，一同抵禦未知深海巨獸侵襲。本站為您整理全方位新手拓荒與基地建造攻略，帶您迅速掌握生存法則！輸入最新兌換碼與官方禮包碼福利，即可免費領取稀有建材、生存物資與抽卡道具。想快人一步稱霸公海？推薦選擇專業代儲值服務，流程快速安全又享超值回饋，立即代儲快速強化基地戰力，打造專屬於你的海上最強繁榮帝國！</v>
      </c>
      <c r="F572" s="92" t="s">
        <v>5232</v>
      </c>
      <c r="K572" s="100" t="s">
        <v>5495</v>
      </c>
      <c r="L572" s="51" t="s">
        <v>5496</v>
      </c>
    </row>
    <row r="573" spans="1:34">
      <c r="A573" s="67" t="str">
        <f>IF(games!A573="", "", games!A573)</f>
        <v>別砸了！是精靈啦</v>
      </c>
      <c r="C573" s="51" t="str">
        <f t="shared" si="22"/>
        <v>giftcodesbanner/別砸了！是精靈啦-禮包碼.jpg</v>
      </c>
      <c r="D573" s="51" t="str">
        <f t="shared" si="23"/>
        <v>https://www.ssbuy.tw/gift-codes.html?game=別砸了！是精靈啦</v>
      </c>
      <c r="E573" s="91" t="str">
        <f>IF(games!I573&lt;&gt;"", games!I573, "")</f>
        <v>超人氣萌系開箱放置休閒手遊《別砸了！是精靈啦》歡樂降臨！遊戲主打輕鬆砸蛋開寶箱、收集百種超萌精靈與自由搭配流派技能，隨時享受無限爆裝的爽快感。本站為您整理最實用的新手流派養成攻略與推圖技巧，帶您輕鬆躺贏制霸全服！輸入最新兌換碼與官方禮包碼，即可免費領取海量鑽石、極品神裝與稀有彩蛋資源。想在開局秒速解鎖頂級神寵並制霸排行榜？推薦選擇專業代儲值服務，交易流程快速安全又享超值回饋，立即代儲輕鬆快速狂飆戰力，與可愛精靈攜手踏上精彩的奇幻冒險！</v>
      </c>
      <c r="F573" s="92" t="s">
        <v>9703</v>
      </c>
      <c r="G573" s="3" t="s">
        <v>9704</v>
      </c>
      <c r="H573" s="51" t="s">
        <v>6988</v>
      </c>
      <c r="K573" s="100" t="s">
        <v>5495</v>
      </c>
      <c r="L573" s="51" t="s">
        <v>5496</v>
      </c>
      <c r="M573" s="6" t="s">
        <v>1933</v>
      </c>
      <c r="O573" s="6" t="s">
        <v>9698</v>
      </c>
      <c r="Q573" s="6" t="s">
        <v>9699</v>
      </c>
      <c r="S573" s="6" t="s">
        <v>9700</v>
      </c>
      <c r="U573" s="6" t="s">
        <v>9701</v>
      </c>
      <c r="W573" s="6" t="s">
        <v>9702</v>
      </c>
      <c r="Y573" s="6" t="s">
        <v>9705</v>
      </c>
    </row>
    <row r="574" spans="1:34">
      <c r="A574" s="67" t="str">
        <f>IF(games!A574="", "", games!A574)</f>
        <v>錢途無量</v>
      </c>
      <c r="C574" s="51" t="str">
        <f t="shared" si="22"/>
        <v>giftcodesbanner/錢途無量-禮包碼.jpg</v>
      </c>
      <c r="D574" s="51" t="str">
        <f t="shared" si="23"/>
        <v>https://www.ssbuy.tw/gift-codes.html?game=錢途無量</v>
      </c>
      <c r="E574" s="91" t="str">
        <f>IF(games!I574&lt;&gt;"", games!I574, "")</f>
        <v>現代都市商戰模擬經營手遊《錢途無量》震撼登場！玩家將化身商業奇才，體驗白手起家收購地產、投資產業、培養紅顏知己與打造跨國商業帝國的奢華人生。本站為您提供最實用的新手賺錢攻略與產業投資佈局指南，助您快速累積億萬資產財富！立即輸入最新兌換碼與官方禮包碼福利，免費兌換海量資金、豪車座駕與精英員工招募券。想在全服商戰談判與商會競爭中拔得頭籌？推薦使用專業代儲值服務，流程快速安全享獨家超值特惠，立即代儲快速擴張資本版圖，輕鬆登上全球首富排行榜！</v>
      </c>
      <c r="F574" s="7" t="s">
        <v>9687</v>
      </c>
      <c r="G574" s="3" t="s">
        <v>9340</v>
      </c>
      <c r="H574" s="51" t="s">
        <v>6988</v>
      </c>
      <c r="K574" s="100" t="s">
        <v>5495</v>
      </c>
      <c r="L574" s="51" t="s">
        <v>5496</v>
      </c>
      <c r="M574" s="6" t="s">
        <v>9686</v>
      </c>
    </row>
    <row r="575" spans="1:34">
      <c r="A575" s="67" t="str">
        <f>IF(games!A575="", "", games!A575)</f>
        <v>解憂夢幻島</v>
      </c>
      <c r="C575" s="51" t="str">
        <f t="shared" si="22"/>
        <v>giftcodesbanner/解憂夢幻島-禮包碼.jpg</v>
      </c>
      <c r="D575" s="51" t="str">
        <f t="shared" si="23"/>
        <v>https://www.ssbuy.tw/gift-codes.html?game=解憂夢幻島</v>
      </c>
      <c r="E575" s="91" t="str">
        <f>IF(games!I575&lt;&gt;"", games!I575, "")</f>
        <v>《解憂夢幻島》是一款主打療癒放鬆的模擬經營手遊。玩家將在專屬的海島上開墾農田、釣魚採集、研發料理並自由裝扮海景小屋，體驗無拘無束的田園慢生活。想要輕鬆打造理想島嶼，掌握新手攻略至關重要，開局別忘了領取官方禮包碼與最新兌換碼，免費獲取豐富資源與稀有裝飾道具！若想加速島嶼建設與解鎖限定外觀，推薦選擇快速安全的專業代儲值服務，即時到帳更有保障。快加入《解憂夢幻島》，一起告別日常壓力，享受溫馨治癒的時光吧！</v>
      </c>
      <c r="F575" s="7" t="s">
        <v>9727</v>
      </c>
      <c r="G575" s="3" t="s">
        <v>9728</v>
      </c>
      <c r="H575" s="51" t="s">
        <v>6988</v>
      </c>
      <c r="K575" s="100" t="s">
        <v>5495</v>
      </c>
      <c r="L575" s="51" t="s">
        <v>5496</v>
      </c>
      <c r="M575" s="6" t="s">
        <v>9725</v>
      </c>
      <c r="O575" s="6" t="s">
        <v>9726</v>
      </c>
      <c r="Q575" s="6" t="s">
        <v>1782</v>
      </c>
      <c r="S575" s="6" t="s">
        <v>1714</v>
      </c>
      <c r="U575" s="6" t="s">
        <v>1715</v>
      </c>
      <c r="W575" s="6" t="s">
        <v>9729</v>
      </c>
      <c r="Y575" s="6" t="s">
        <v>9730</v>
      </c>
    </row>
    <row r="576" spans="1:34">
      <c r="A576" s="67" t="str">
        <f>IF(games!A576="", "", games!A576)</f>
        <v>諸天之上</v>
      </c>
      <c r="C576" s="51" t="str">
        <f t="shared" si="22"/>
        <v>giftcodesbanner/諸天之上-禮包碼.jpg</v>
      </c>
      <c r="D576" s="51" t="str">
        <f t="shared" si="23"/>
        <v>https://www.ssbuy.tw/gift-codes.html?game=諸天之上</v>
      </c>
      <c r="E576" s="91" t="str">
        <f>IF(games!I576&lt;&gt;"", games!I576, "")</f>
        <v>《諸天之上》是一款主打法相修真的東方玄幻動作MMORPG手遊，為玩家帶來最為熱血震撼的修仙體驗。遊戲中你將覺醒盤古、楊戩等至尊法相，踏破太古禁區降維碾壓神魔，並享受弒神打寶與自由交易的暢快歷程。想在開局迅速領先群雄，務必參考全方位新手進階攻略，同時領取最新兌換碼與官方禮包碼，海量稀有資源與極品神裝直接入手！若想輕鬆衝刺全服戰力排行榜、尊享VIP特權，推薦使用優質手遊代儲值服務，享受快速安全又省荷包的尊榮體驗，助你一念登仙、傲立諸天之巔！</v>
      </c>
      <c r="F576" s="92" t="s">
        <v>5232</v>
      </c>
      <c r="K576" s="100" t="s">
        <v>5495</v>
      </c>
      <c r="L576" s="51" t="s">
        <v>5496</v>
      </c>
    </row>
    <row r="577" spans="1:12">
      <c r="A577" s="67" t="str">
        <f>IF(games!A577="", "", games!A577)</f>
        <v>三國神將錄</v>
      </c>
      <c r="C577" s="51" t="str">
        <f t="shared" si="22"/>
        <v>giftcodesbanner/三國神將錄-禮包碼.jpg</v>
      </c>
      <c r="D577" s="51" t="str">
        <f t="shared" si="23"/>
        <v>https://www.ssbuy.tw/gift-codes.html?game=三國神將錄</v>
      </c>
      <c r="E577" s="91" t="str">
        <f>IF(games!I577&lt;&gt;"", games!I577, "")</f>
        <v>《三國神將錄》是一款融合神將養成與策略布陣的經典三國放置卡牌RPG手遊。遊戲匯集魏、蜀、吳、聖、魔、幻六大陣營名將，開局累積豪送千抽福利，結合滿屏炫酷技能與多元軍團玩法，帶你體驗熱血策略征戰！想在群雄並起的亂世中克敵制勝，務必掌握武將搭配與通關攻略，同時領取最新兌換碼與官方禮包碼，海量元寶與頂級神將輕鬆入手！若想大幅加快隊伍成型、稱霸全服競技場，推薦選擇專業手遊代儲值服務，享受快速安全、划算又超值的充值保障，助你傲視群雄、成就三國霸業！</v>
      </c>
      <c r="F577" s="92" t="s">
        <v>5232</v>
      </c>
      <c r="K577" s="100" t="s">
        <v>5495</v>
      </c>
      <c r="L577" s="51" t="s">
        <v>5496</v>
      </c>
    </row>
    <row r="578" spans="1:12">
      <c r="A578" s="67" t="str">
        <f>IF(games!A578="", "", games!A578)</f>
        <v>不良人：破局</v>
      </c>
      <c r="C578" s="51" t="str">
        <f t="shared" si="22"/>
        <v>giftcodesbanner/不良人：破局-禮包碼.jpg</v>
      </c>
      <c r="D578" s="51" t="str">
        <f t="shared" si="23"/>
        <v>https://www.ssbuy.tw/gift-codes.html?game=不良人：破局</v>
      </c>
      <c r="E578" s="91" t="str">
        <f>IF(games!I578&lt;&gt;"", games!I578, "")</f>
        <v>《不良人：破局》是一款改編自頂級國漫IP的高顏值新國風武俠卡牌RPG手遊，完美重構經典番劇魅力。李星雲、姬如雪、女帝等全角色熱血集結，搭配多流派自由配組策略與大世界探索奇遇，帶你沉浸體驗執棋破局的江湖風雲！想在江湖中快速打造最強陣容，千萬別錯過新手養成攻略，並第一時間領取最新兌換碼與官方禮包碼，海量福利資源輕鬆入袋！若想加速全俠客圖鑑養成、登頂戰力之巔，推薦選擇專業手遊代儲值服務，享受快速安全又超值的充值體驗，助你縱橫武林、主宰天道霸業！</v>
      </c>
      <c r="F578" s="92" t="s">
        <v>5232</v>
      </c>
      <c r="K578" s="100" t="s">
        <v>5495</v>
      </c>
      <c r="L578" s="51" t="s">
        <v>5496</v>
      </c>
    </row>
    <row r="579" spans="1:12">
      <c r="A579" s="67" t="str">
        <f>IF(games!A579="", "", games!A579)</f>
        <v>我欲修仙-塔防肉鴿</v>
      </c>
      <c r="C579" s="51" t="str">
        <f t="shared" si="22"/>
        <v>giftcodesbanner/我欲修仙-塔防肉鴿-禮包碼.jpg</v>
      </c>
      <c r="D579" s="51" t="str">
        <f t="shared" si="23"/>
        <v>https://www.ssbuy.tw/gift-codes.html?game=我欲修仙-塔防肉鴿</v>
      </c>
      <c r="E579" s="91" t="str">
        <f>IF(games!I579&lt;&gt;"", games!I579, "")</f>
        <v>《我欲修仙-塔防肉鴿》是一款唯美水墨風修仙Roguelike塔防策略手遊。遊戲融合五行屬性與千種仙法技能，支援萬般功法無損隨心切換，帶來拳拳到肉的硬核打擊反饋與暢快割草體驗！想在斬妖除魔的仙途中突破境界，務必參考陣容流派搭配攻略，並即刻兌換最新兌換碼與官方禮包碼，海量修為資源與極品法寶免費入手！若想極速飆升戰力、輕鬆通關高難副本，推薦選擇專業手遊代儲值服務，享受快速安全又划算的儲值支援，助你隨心修仙、早日圓滿得道飛升！</v>
      </c>
      <c r="F579" s="92" t="s">
        <v>5232</v>
      </c>
      <c r="K579" s="100" t="s">
        <v>5495</v>
      </c>
      <c r="L579" s="51" t="s">
        <v>5496</v>
      </c>
    </row>
    <row r="580" spans="1:12">
      <c r="A580" s="67" t="str">
        <f>IF(games!A580="", "", games!A580)</f>
        <v/>
      </c>
    </row>
    <row r="581" spans="1:12">
      <c r="A581" s="67" t="str">
        <f>IF(games!A581="", "", games!A581)</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 ref="K540" r:id="rId280"/>
    <hyperlink ref="K541" r:id="rId281"/>
    <hyperlink ref="K542" r:id="rId282"/>
    <hyperlink ref="K543" r:id="rId283"/>
    <hyperlink ref="K544" r:id="rId284"/>
    <hyperlink ref="K545" r:id="rId285"/>
    <hyperlink ref="K546" r:id="rId286"/>
    <hyperlink ref="K547" r:id="rId287"/>
    <hyperlink ref="K548" r:id="rId288"/>
    <hyperlink ref="K549" r:id="rId289"/>
    <hyperlink ref="K550" r:id="rId290"/>
    <hyperlink ref="K551" r:id="rId291"/>
    <hyperlink ref="K552" r:id="rId292"/>
    <hyperlink ref="K553" r:id="rId293"/>
    <hyperlink ref="K554" r:id="rId294"/>
    <hyperlink ref="K555" r:id="rId295"/>
    <hyperlink ref="K556" r:id="rId296"/>
    <hyperlink ref="K557" r:id="rId297"/>
    <hyperlink ref="K558" r:id="rId298"/>
    <hyperlink ref="K559" r:id="rId299"/>
    <hyperlink ref="K560" r:id="rId300"/>
    <hyperlink ref="K561" r:id="rId301"/>
    <hyperlink ref="K562" r:id="rId302"/>
    <hyperlink ref="K563" r:id="rId303"/>
    <hyperlink ref="K564" r:id="rId304"/>
    <hyperlink ref="K565" r:id="rId305"/>
    <hyperlink ref="K566" r:id="rId306"/>
    <hyperlink ref="K567" r:id="rId307"/>
    <hyperlink ref="K568" r:id="rId308"/>
    <hyperlink ref="K569" r:id="rId309"/>
    <hyperlink ref="K570" r:id="rId310"/>
    <hyperlink ref="K571" r:id="rId311"/>
    <hyperlink ref="K572" r:id="rId312"/>
    <hyperlink ref="K573" r:id="rId313"/>
    <hyperlink ref="K574" r:id="rId314"/>
    <hyperlink ref="K575" r:id="rId315"/>
    <hyperlink ref="K577" r:id="rId316"/>
    <hyperlink ref="K578" r:id="rId317"/>
    <hyperlink ref="K579" r:id="rId318"/>
    <hyperlink ref="K576" r:id="rId319"/>
  </hyperlinks>
  <pageMargins left="0.7" right="0.7" top="0.75" bottom="0.75" header="0.3" footer="0.3"/>
  <pageSetup paperSize="9" orientation="portrait" r:id="rId32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2026-08-25T08:36:36Z</dcterms:modified>
</cp:coreProperties>
</file>